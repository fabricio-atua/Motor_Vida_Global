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8608000-8EDE-48A2-BEE9-009BC18299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01_Resumo" sheetId="1" r:id="rId1"/>
    <sheet name="02_Premissas" sheetId="2" r:id="rId2"/>
    <sheet name="03_Mortalidade_BR-EMS2021" sheetId="3" r:id="rId3"/>
    <sheet name="04_Invalidez_Vindas" sheetId="4" r:id="rId4"/>
    <sheet name="05_Morbidez_Moser" sheetId="5" r:id="rId5"/>
    <sheet name="06_Morte" sheetId="6" r:id="rId6"/>
    <sheet name="07_IAC" sheetId="7" r:id="rId7"/>
    <sheet name="08_IAF" sheetId="8" r:id="rId8"/>
    <sheet name="09_IEA" sheetId="9" r:id="rId9"/>
    <sheet name="10_IPA" sheetId="10" r:id="rId10"/>
    <sheet name="11_IPTA" sheetId="11" r:id="rId11"/>
    <sheet name="12_IPDF" sheetId="12" r:id="rId12"/>
    <sheet name="13_IPDL" sheetId="13" r:id="rId13"/>
    <sheet name="15_DMHO_DMH" sheetId="15" r:id="rId14"/>
    <sheet name="14_AF" sheetId="14" r:id="rId15"/>
    <sheet name="16_Parametro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" l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</calcChain>
</file>

<file path=xl/sharedStrings.xml><?xml version="1.0" encoding="utf-8"?>
<sst xmlns="http://schemas.openxmlformats.org/spreadsheetml/2006/main" count="536" uniqueCount="247">
  <si>
    <t>ESTUDO ATUARIAL — VIDA CAPITAL GLOBAL | STG SEGUROS S.A. | v2 SEM TILLINGHAST</t>
  </si>
  <si>
    <t>Bases: BR-EMS 2021 (Mortalidade) | Álvaro Vindas (Invalidez) | Moser (Morbidez) — SEM qualquer dado ou premissa da Tillinghast</t>
  </si>
  <si>
    <t>Cobertura</t>
  </si>
  <si>
    <t>TP Anual</t>
  </si>
  <si>
    <t>TP Mensal</t>
  </si>
  <si>
    <t>Unidade</t>
  </si>
  <si>
    <t>Base Biométrica</t>
  </si>
  <si>
    <t>Observação</t>
  </si>
  <si>
    <t>Morte (Básica)</t>
  </si>
  <si>
    <t>% CS</t>
  </si>
  <si>
    <t>BR-EMS 2021 male</t>
  </si>
  <si>
    <t>Taxa ponderada por perfil corporativo 18-65 anos</t>
  </si>
  <si>
    <t>IAC – Inclusão Automática Cônjuge</t>
  </si>
  <si>
    <t>Mesma tábua mortalidade do titular</t>
  </si>
  <si>
    <t>IAF – Inclusão Automática Filhos</t>
  </si>
  <si>
    <t>Média simples idades 0-17 anos</t>
  </si>
  <si>
    <t>IEA – Indenização Especial Morte Acidental</t>
  </si>
  <si>
    <t>TR_morte × prop. tempo a negócios (30.39%)</t>
  </si>
  <si>
    <t>IPA – Invalidez Perm. Total/Parcial Acidente</t>
  </si>
  <si>
    <t>Álvaro Vindas</t>
  </si>
  <si>
    <t>DM=50% — hipótese conservadora para cobertura parcial+total</t>
  </si>
  <si>
    <t>IPTA – Invalidez Perm. Total Acidente</t>
  </si>
  <si>
    <t>DM=100% — capital integral</t>
  </si>
  <si>
    <t>IPDF – Invalidez Perm. Total Doença Funcional</t>
  </si>
  <si>
    <t>Álvaro Vindas +30%</t>
  </si>
  <si>
    <t>IPTA agravado 30% — sem tábua específica disponível</t>
  </si>
  <si>
    <t>IPDL – Invalidez Perm. Total Doença Laborativa</t>
  </si>
  <si>
    <t>AF – Auxílio Funeral</t>
  </si>
  <si>
    <t>TR_morte × (1 + 15% agravamento)</t>
  </si>
  <si>
    <t>DMHO – Despesas Méd. Hosp. e Odontológicas</t>
  </si>
  <si>
    <t>Moser (Morbidez)</t>
  </si>
  <si>
    <t>Dias/365 → frequência; DM=100%</t>
  </si>
  <si>
    <t>DMH – Despesas Médicas Hospitalares</t>
  </si>
  <si>
    <t>Mesma base DMHO (conservador)</t>
  </si>
  <si>
    <t>PREMISSAS ATUARIAIS — SEM TILLINGHAST</t>
  </si>
  <si>
    <t>BASES BIOMÉTRICAS UTILIZADAS</t>
  </si>
  <si>
    <t>Tábua</t>
  </si>
  <si>
    <t>Fonte</t>
  </si>
  <si>
    <t>Morte, IAC, IEA, AF</t>
  </si>
  <si>
    <t>UFRJ / FenaSeguro</t>
  </si>
  <si>
    <t>Mortalidade — idades 18-65</t>
  </si>
  <si>
    <t>IAF</t>
  </si>
  <si>
    <t>BR-EMS 2021 male (idades 0-17)</t>
  </si>
  <si>
    <t>Média simples dependentes filhos</t>
  </si>
  <si>
    <t>IPA, IPTA</t>
  </si>
  <si>
    <t>Vindas, A. — América Latina</t>
  </si>
  <si>
    <t>Entrada em invalidez — idades 18-65</t>
  </si>
  <si>
    <t>IPDF, IPDL</t>
  </si>
  <si>
    <t>Álvaro Vindas agravada 30%</t>
  </si>
  <si>
    <t>Derivado de Álvaro Vindas</t>
  </si>
  <si>
    <t>Sem tábua específica disponível</t>
  </si>
  <si>
    <t>DMHO, DMH</t>
  </si>
  <si>
    <t>Moser</t>
  </si>
  <si>
    <t>Moser, E.</t>
  </si>
  <si>
    <t>Morbidez — dias/ano ÷ 365</t>
  </si>
  <si>
    <t>PARÂMETROS TÉCNICOS APLICADOS</t>
  </si>
  <si>
    <t>Parâmetro</t>
  </si>
  <si>
    <t>Símbolo</t>
  </si>
  <si>
    <t>Valor</t>
  </si>
  <si>
    <t>Justificativa</t>
  </si>
  <si>
    <t>Carregamento IBNR</t>
  </si>
  <si>
    <t>%IBNR</t>
  </si>
  <si>
    <t>15,00%</t>
  </si>
  <si>
    <t>Padrão regulatório SUSEP — riscos pessoais</t>
  </si>
  <si>
    <t>Oscilação de risco</t>
  </si>
  <si>
    <t>θ</t>
  </si>
  <si>
    <t>5,00%</t>
  </si>
  <si>
    <t>Margem conservadora — julgamento atuarial</t>
  </si>
  <si>
    <t>Dano Médio IPA</t>
  </si>
  <si>
    <t>DM_IPA</t>
  </si>
  <si>
    <t>50,00%</t>
  </si>
  <si>
    <t>Hipótese conservadora para invalidez parcial+total</t>
  </si>
  <si>
    <t>Dano Médio IPTA/DMHO</t>
  </si>
  <si>
    <t>DM</t>
  </si>
  <si>
    <t>100,00%</t>
  </si>
  <si>
    <t>Capital integral / conservador</t>
  </si>
  <si>
    <t>Agravamento IPDF e IPDL</t>
  </si>
  <si>
    <t>agrav.</t>
  </si>
  <si>
    <t>30,00%</t>
  </si>
  <si>
    <t>Proxy sobre IPTA — sem tábua própria</t>
  </si>
  <si>
    <t>Agravamento AF</t>
  </si>
  <si>
    <t>Custo funeral adicional sobre mortalidade</t>
  </si>
  <si>
    <t>Prop. tempo a negócios (IEA)</t>
  </si>
  <si>
    <t>p_neg</t>
  </si>
  <si>
    <t>30.3881%</t>
  </si>
  <si>
    <t>11h/dia × 22dias × 11meses / 8760h</t>
  </si>
  <si>
    <t>TRIBUTAÇÃO</t>
  </si>
  <si>
    <t>PIS/COFINS sobre receita</t>
  </si>
  <si>
    <t>T</t>
  </si>
  <si>
    <t>Carga aprovada de 4,65%; sem transição tributária nesta versão. IOF de 0,38% aplicado separadamente.</t>
  </si>
  <si>
    <t>CARREGAMENTOS COMERCIAIS (PARAMETRIZADOS)</t>
  </si>
  <si>
    <t>Despesas Administrativas</t>
  </si>
  <si>
    <t>β_adm</t>
  </si>
  <si>
    <t>A DEFINIR</t>
  </si>
  <si>
    <t>1% a 25%</t>
  </si>
  <si>
    <t>Margem de Lucro</t>
  </si>
  <si>
    <t>β_luc</t>
  </si>
  <si>
    <t>1% a 10%</t>
  </si>
  <si>
    <t>Pró-Labore</t>
  </si>
  <si>
    <t>β_pro</t>
  </si>
  <si>
    <t>0% a 80%</t>
  </si>
  <si>
    <t>Agenciamento</t>
  </si>
  <si>
    <t>β_age</t>
  </si>
  <si>
    <t>0% a 25%</t>
  </si>
  <si>
    <t>Comissão de Corretagem</t>
  </si>
  <si>
    <t>β_cor</t>
  </si>
  <si>
    <t>0,01% a 80%</t>
  </si>
  <si>
    <t>NOTA</t>
  </si>
  <si>
    <t>Nenhum dado, premissa ou taxa da base Tillinghast foi utilizado nesta versão.</t>
  </si>
  <si>
    <t>Tillinghast eliminada integralmente.</t>
  </si>
  <si>
    <t>TÁBUA DE MORTALIDADE — BR-EMS 2021 MALE</t>
  </si>
  <si>
    <t>Idade</t>
  </si>
  <si>
    <t>qx anual</t>
  </si>
  <si>
    <t>qm mensal</t>
  </si>
  <si>
    <t>Peso corporativo</t>
  </si>
  <si>
    <t>—</t>
  </si>
  <si>
    <t>TÁBUA DE INVALIDEZ — ÁLVARO VINDAS</t>
  </si>
  <si>
    <t>ix (Álvaro Vindas)</t>
  </si>
  <si>
    <t>ix IPA (DM=50%)</t>
  </si>
  <si>
    <t>ix IPTA (DM=100%)</t>
  </si>
  <si>
    <t>TÁBUA DE MORBIDEZ — MOSER (dias de afastamento/ano)</t>
  </si>
  <si>
    <t>Dias/ano</t>
  </si>
  <si>
    <t>Prob. anual (d/365)</t>
  </si>
  <si>
    <t>Prob. mensal</t>
  </si>
  <si>
    <t>MEMÓRIA — MORTE</t>
  </si>
  <si>
    <t>BR-EMS 2021 male — ponderado por perfil corporativo 18-65 anos. DM=100%.</t>
  </si>
  <si>
    <t>Peso</t>
  </si>
  <si>
    <t>qx BR-EMS 2021</t>
  </si>
  <si>
    <t>qx × peso</t>
  </si>
  <si>
    <t>Peso/Total</t>
  </si>
  <si>
    <t>Contribuição</t>
  </si>
  <si>
    <t>TR (taxa de risco média ponderada)</t>
  </si>
  <si>
    <t>× (1 + IBNR 15%)</t>
  </si>
  <si>
    <t>× (1 + θ 5%)</t>
  </si>
  <si>
    <t>TP Mensal = 1-(1-TPa)^(1/12)</t>
  </si>
  <si>
    <t>MEMÓRIA — IAC – Inclusão Automática Cônjuge</t>
  </si>
  <si>
    <t>Mesma tábua mortalidade do titular (BR-EMS 2021 male — perfil 18-65).</t>
  </si>
  <si>
    <t>MEMÓRIA — IAF – Inclusão Automática Filhos</t>
  </si>
  <si>
    <t>BR-EMS 2021 male — idades 0 a 17 anos (dependentes filhos). Média simples.</t>
  </si>
  <si>
    <t>Obs.</t>
  </si>
  <si>
    <t>Dependente filho</t>
  </si>
  <si>
    <t>MEMÓRIA — IEA (Morte Acidental a Negócios)</t>
  </si>
  <si>
    <t>Proporção = 11h/dia × 22 dias/mês × 11 meses / 8.760 h/ano. Sem dados Tillinghast.</t>
  </si>
  <si>
    <t>TR Morte (BR-EMS 2021 ponderada 18-65)</t>
  </si>
  <si>
    <t>Horas a negócios/ano = 11h × 22 dias × 11 meses</t>
  </si>
  <si>
    <t>Total horas/ano</t>
  </si>
  <si>
    <t>Proporção de tempo a negócios</t>
  </si>
  <si>
    <t>TR_IEA = TR_morte × proporção</t>
  </si>
  <si>
    <t>TP IEA Anual</t>
  </si>
  <si>
    <t>TP IEA Mensal = 1-(1-TPa)^(1/12)</t>
  </si>
  <si>
    <t>MEMÓRIA — IPA – Invalidez Perm. Total/Parcial Acidente</t>
  </si>
  <si>
    <t>Álvaro Vindas — DM=50% (hipótese conservadora para cobertura parcial+total).</t>
  </si>
  <si>
    <t>ix × DM</t>
  </si>
  <si>
    <t>Contrib. pond.</t>
  </si>
  <si>
    <t>TR ponderada (Álvaro Vindas × DM)</t>
  </si>
  <si>
    <t>MEMÓRIA — IPTA – Invalidez Perm. Total Acidente</t>
  </si>
  <si>
    <t>Álvaro Vindas — DM=100% (capital integral).</t>
  </si>
  <si>
    <t>MEMÓRIA — IPDF – Invalidez Perm. Total Doença Funcional</t>
  </si>
  <si>
    <t>Base: Álvaro Vindas — IPTA (DM=100%)</t>
  </si>
  <si>
    <t>Agravamento técnico aplicado (30%)</t>
  </si>
  <si>
    <t>TP Anual = TP_IPTA × (1+30%)</t>
  </si>
  <si>
    <t>⚠ Sem tábua específica disponível — revisar com BRP/CNseg</t>
  </si>
  <si>
    <t>MEMÓRIA — IPDL – Invalidez Perm. Total Doença Laborativa</t>
  </si>
  <si>
    <t>MEMÓRIA — DMHO / DMH (Tábua Moser)</t>
  </si>
  <si>
    <t>Frequência = dias/365. DM=100%. Ponderação por perfil corporativo 18-65.</t>
  </si>
  <si>
    <t>Freq.(d/365)</t>
  </si>
  <si>
    <t>Freq.×Peso</t>
  </si>
  <si>
    <t>TR ponderada (Moser / 365)</t>
  </si>
  <si>
    <t>TP DMHO Anual</t>
  </si>
  <si>
    <t>TP DMHO Mensal</t>
  </si>
  <si>
    <t>TP DMH Anual (= DMHO — conservador)</t>
  </si>
  <si>
    <t>TP DMH Mensal</t>
  </si>
  <si>
    <t>MEMÓRIA — AF (Auxílio Funeral)</t>
  </si>
  <si>
    <t>TR Morte base (BR-EMS 2021 ponderada)</t>
  </si>
  <si>
    <t>TP Morte Anual</t>
  </si>
  <si>
    <t>Agravamento AF (15%)</t>
  </si>
  <si>
    <t>TP AF Anual = TP_Morte × (1+15%)</t>
  </si>
  <si>
    <t>TP AF Mensal = 1-(1-TPa)^(1/12)</t>
  </si>
  <si>
    <t>PARÂMETROS EDITÁVEIS — CARREGAMENTOS E TRIBUTOS</t>
  </si>
  <si>
    <t>CARREGAMENTOS COMERCIAIS — preencher</t>
  </si>
  <si>
    <t>Despesas Administrativas (β_adm)</t>
  </si>
  <si>
    <t>Margem de Lucro (β_luc)</t>
  </si>
  <si>
    <t>Pró-Labore (β_pro)</t>
  </si>
  <si>
    <t>Agenciamento (β_age)</t>
  </si>
  <si>
    <t>Comissão de Corretagem (β_cor)</t>
  </si>
  <si>
    <t>PARÂMETROS TÉCNICOS FIXOS</t>
  </si>
  <si>
    <t>IBNR (%IBNR)</t>
  </si>
  <si>
    <t>Fixo — padrão regulatório SUSEP</t>
  </si>
  <si>
    <t>Oscilação de risco (θ)</t>
  </si>
  <si>
    <t>Fixo — julgamento atuarial</t>
  </si>
  <si>
    <t>PIS/COFINS (T)</t>
  </si>
  <si>
    <t>Carga aprovada; sem transição tributária. IOF de 0,38% aplicado após o prêmio comercial.</t>
  </si>
  <si>
    <t>SUGESTÕES DO SIMULADOR PARA VALIDAÇÃO ATUARIAL</t>
  </si>
  <si>
    <t>Definição</t>
  </si>
  <si>
    <t>Taxa pura provisória = base antes das proteções usada no simulador. Taxa técnica sugerida = taxa pura × (1 + IBNR) × (1 + oscilação).</t>
  </si>
  <si>
    <t>Segmento</t>
  </si>
  <si>
    <t>Taxa pura anual provisória</t>
  </si>
  <si>
    <t>IBNR</t>
  </si>
  <si>
    <t>Oscilação</t>
  </si>
  <si>
    <t>Taxa técnica anual sugerida</t>
  </si>
  <si>
    <t>Taxa técnica mensal sugerida</t>
  </si>
  <si>
    <t>Taxa anual aprovada pelo atuário</t>
  </si>
  <si>
    <t>Funcionários</t>
  </si>
  <si>
    <t>% do capital segurado</t>
  </si>
  <si>
    <t>Sócios</t>
  </si>
  <si>
    <t>Funeral Individual — limite R$ 5.000</t>
  </si>
  <si>
    <t>Todos os segurados</t>
  </si>
  <si>
    <t>R$/vida/ano</t>
  </si>
  <si>
    <t>Funeral Individual — limite R$ 7.000</t>
  </si>
  <si>
    <t>Funeral Individual — limite R$ 10.000</t>
  </si>
  <si>
    <t>Funeral Individual — limite R$ 12.000</t>
  </si>
  <si>
    <t>Funeral Familiar — limite R$ 5.000</t>
  </si>
  <si>
    <t>Funeral Familiar — limite R$ 7.000</t>
  </si>
  <si>
    <t>Funeral Familiar — limite R$ 10.000</t>
  </si>
  <si>
    <t>Funeral Familiar — limite R$ 12.000</t>
  </si>
  <si>
    <t>Pendências</t>
  </si>
  <si>
    <t>Não incluídos</t>
  </si>
  <si>
    <t>Fator CNAE, porte, agravo de capital, despesas, PIS/COFINS, comissão, agenciamento e IOF entram posteriormente na formação do prêmio comercial.</t>
  </si>
  <si>
    <t>Uso</t>
  </si>
  <si>
    <t>Taxas provisórias para validação. A coluna amarela deve receber a taxa aprovada e formalizada pelo atuário na NTA.</t>
  </si>
  <si>
    <t>Sem taxa pura no simulador: Funcionários — IPTA, VIT e DMH;</t>
  </si>
  <si>
    <t>IEA-IND. ESPECIAL ACIDENTE MORTE ACIDENTAL</t>
  </si>
  <si>
    <t>IEM - INDENIZAÇÃO EXTRAORDINÁRIA POR MORTE</t>
  </si>
  <si>
    <t xml:space="preserve">IPA-INV. PERM T/PARC ACIDENTE </t>
  </si>
  <si>
    <t>DEIA - DESPESAS EXTRAORDINÁRIAS POR INVALIDEZ POR
ACIDENTE</t>
  </si>
  <si>
    <t>IPDL-INV PERM TOTAL DOENCA LABORATIVA</t>
  </si>
  <si>
    <t>IPDF-INV. FUNCIONAL DOENÇA</t>
  </si>
  <si>
    <t>IAC-INC. AUT. CÔNJ-BÁSICA</t>
  </si>
  <si>
    <t>VITA - VERBA POR INCAPACIDADE TEMPORARIA POR
ACIDENTE</t>
  </si>
  <si>
    <t>DMHO-DESP.MÉD. HOSP E ODONT.</t>
  </si>
  <si>
    <t>IAF-INC. AUT. FILHOS-BÁSICA</t>
  </si>
  <si>
    <t>DCF-DOENÇAS CONGÊNITAS FILHOS</t>
  </si>
  <si>
    <t>AA-AUXÍLIO ALIMENTAÇÃO</t>
  </si>
  <si>
    <t xml:space="preserve">VR-VERBAS RESCISÓRIAS </t>
  </si>
  <si>
    <t>BÁSICA-MORTE - SÓC</t>
  </si>
  <si>
    <t>IEA-IND.ESPECIAL ACIDENTE-SÓC</t>
  </si>
  <si>
    <t xml:space="preserve">IEM - INDENIZAÇÃO EXTRAORDINÁRIA POR MORTE-SÓC </t>
  </si>
  <si>
    <t>IPA-INV. PERM T/PARC ACID-SÓC</t>
  </si>
  <si>
    <t>DEIA - DESPESAS EXTRAORDINÁRIAS POR INVALIDEZ POR
ACIDENTE-SÓC</t>
  </si>
  <si>
    <t>IPDF-INV. FUNC DOENÇA-SÓC.</t>
  </si>
  <si>
    <t>IAC-INC. AUT. CÔNJ-BÁS. SÓC</t>
  </si>
  <si>
    <t>DMHO-DESP.MÉD. HOSP ODONT SÓC</t>
  </si>
  <si>
    <t>IAF-INC.AUT. FILHOS-BÁS.SÓC</t>
  </si>
  <si>
    <t>DCF-DOENÇAS CONG.FILHOS.SÓC.</t>
  </si>
  <si>
    <t>AA-AUXÍLIO ALIMENTAÇÃO - SÓC.</t>
  </si>
  <si>
    <t>BÁSICA-MORTE</t>
  </si>
  <si>
    <t>Taxa de Morte baseada na idade média de 36 anos da BR-EMS2021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</si>
</sst>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000%"/>
    <numFmt numFmtId="166" formatCode="0.0"/>
    <numFmt numFmtId="167" formatCode="0.\4%"/>
    <numFmt numFmtId="168" formatCode="&quot;R$&quot;\ #,##0.0000"/>
  </numFmts>
  <fonts count="20" x14ac:knownFonts="1">
    <font>
      <sz val="11"/>
      <color theme="1"/>
      <name val="Calibri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8B"/>
      <name val="Arial"/>
      <family val="2"/>
    </font>
    <font>
      <b/>
      <sz val="12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i/>
      <sz val="8"/>
      <color rgb="FF333333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i/>
      <sz val="9"/>
      <color rgb="FF1F2937"/>
      <name val="Arial"/>
      <family val="2"/>
    </font>
    <font>
      <b/>
      <sz val="9"/>
      <color rgb="FFFFFFFF"/>
      <name val="Arial"/>
      <family val="2"/>
    </font>
    <font>
      <sz val="9"/>
      <color rgb="FF1F2937"/>
      <name val="Arial"/>
      <family val="2"/>
    </font>
    <font>
      <b/>
      <sz val="9"/>
      <color rgb="FF0000FF"/>
      <name val="Arial"/>
      <family val="2"/>
    </font>
    <font>
      <sz val="9"/>
      <color rgb="FF7F6000"/>
      <name val="Arial"/>
      <family val="2"/>
    </font>
    <font>
      <b/>
      <sz val="9"/>
      <color rgb="FF1F2937"/>
      <name val="Arial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4F7FB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/>
      <right/>
      <top style="thin">
        <color rgb="FF17365D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7" fillId="7" borderId="0" xfId="0" applyFont="1" applyFill="1"/>
    <xf numFmtId="0" fontId="8" fillId="4" borderId="0" xfId="0" applyFont="1" applyFill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165" fontId="8" fillId="4" borderId="0" xfId="0" applyNumberFormat="1" applyFont="1" applyFill="1" applyAlignment="1">
      <alignment horizontal="right"/>
    </xf>
    <xf numFmtId="165" fontId="8" fillId="5" borderId="0" xfId="0" applyNumberFormat="1" applyFont="1" applyFill="1" applyAlignment="1">
      <alignment horizontal="right"/>
    </xf>
    <xf numFmtId="0" fontId="4" fillId="7" borderId="0" xfId="0" applyFont="1" applyFill="1" applyAlignment="1">
      <alignment horizontal="center" vertical="center"/>
    </xf>
    <xf numFmtId="165" fontId="8" fillId="7" borderId="0" xfId="0" applyNumberFormat="1" applyFont="1" applyFill="1" applyAlignment="1">
      <alignment horizontal="right"/>
    </xf>
    <xf numFmtId="2" fontId="8" fillId="4" borderId="0" xfId="0" applyNumberFormat="1" applyFont="1" applyFill="1" applyAlignment="1">
      <alignment horizontal="right"/>
    </xf>
    <xf numFmtId="2" fontId="8" fillId="5" borderId="0" xfId="0" applyNumberFormat="1" applyFont="1" applyFill="1" applyAlignment="1">
      <alignment horizontal="right"/>
    </xf>
    <xf numFmtId="2" fontId="8" fillId="7" borderId="0" xfId="0" applyNumberFormat="1" applyFont="1" applyFill="1" applyAlignment="1">
      <alignment horizontal="right"/>
    </xf>
    <xf numFmtId="166" fontId="8" fillId="5" borderId="0" xfId="0" applyNumberFormat="1" applyFont="1" applyFill="1" applyAlignment="1">
      <alignment horizontal="right"/>
    </xf>
    <xf numFmtId="10" fontId="8" fillId="5" borderId="0" xfId="0" applyNumberFormat="1" applyFont="1" applyFill="1" applyAlignment="1">
      <alignment horizontal="right"/>
    </xf>
    <xf numFmtId="166" fontId="8" fillId="4" borderId="0" xfId="0" applyNumberFormat="1" applyFont="1" applyFill="1" applyAlignment="1">
      <alignment horizontal="right"/>
    </xf>
    <xf numFmtId="10" fontId="8" fillId="4" borderId="0" xfId="0" applyNumberFormat="1" applyFont="1" applyFill="1" applyAlignment="1">
      <alignment horizontal="right"/>
    </xf>
    <xf numFmtId="165" fontId="5" fillId="4" borderId="0" xfId="0" applyNumberFormat="1" applyFont="1" applyFill="1" applyAlignment="1">
      <alignment horizontal="center"/>
    </xf>
    <xf numFmtId="164" fontId="5" fillId="7" borderId="0" xfId="0" applyNumberFormat="1" applyFont="1" applyFill="1" applyAlignment="1">
      <alignment horizontal="center"/>
    </xf>
    <xf numFmtId="0" fontId="0" fillId="5" borderId="0" xfId="0" applyFill="1"/>
    <xf numFmtId="0" fontId="11" fillId="5" borderId="0" xfId="0" applyFont="1" applyFill="1"/>
    <xf numFmtId="0" fontId="0" fillId="4" borderId="0" xfId="0" applyFill="1"/>
    <xf numFmtId="0" fontId="11" fillId="4" borderId="0" xfId="0" applyFont="1" applyFill="1"/>
    <xf numFmtId="165" fontId="5" fillId="4" borderId="0" xfId="0" applyNumberFormat="1" applyFont="1" applyFill="1" applyAlignment="1">
      <alignment horizontal="right"/>
    </xf>
    <xf numFmtId="1" fontId="5" fillId="4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164" fontId="5" fillId="7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9" fontId="5" fillId="4" borderId="0" xfId="0" applyNumberFormat="1" applyFont="1" applyFill="1" applyAlignment="1">
      <alignment horizontal="right"/>
    </xf>
    <xf numFmtId="0" fontId="12" fillId="8" borderId="0" xfId="0" applyFont="1" applyFill="1"/>
    <xf numFmtId="0" fontId="8" fillId="9" borderId="0" xfId="0" applyFont="1" applyFill="1"/>
    <xf numFmtId="0" fontId="11" fillId="9" borderId="0" xfId="0" applyFont="1" applyFill="1"/>
    <xf numFmtId="0" fontId="8" fillId="7" borderId="0" xfId="0" applyFont="1" applyFill="1"/>
    <xf numFmtId="10" fontId="7" fillId="7" borderId="0" xfId="0" applyNumberFormat="1" applyFont="1" applyFill="1" applyAlignment="1">
      <alignment horizontal="right"/>
    </xf>
    <xf numFmtId="0" fontId="11" fillId="7" borderId="0" xfId="0" applyFont="1" applyFill="1"/>
    <xf numFmtId="10" fontId="8" fillId="7" borderId="0" xfId="0" applyNumberFormat="1" applyFont="1" applyFill="1" applyAlignment="1">
      <alignment horizontal="left" vertical="center" wrapText="1"/>
    </xf>
    <xf numFmtId="0" fontId="9" fillId="10" borderId="2" xfId="0" applyFont="1" applyFill="1" applyBorder="1" applyAlignment="1">
      <alignment vertical="center"/>
    </xf>
    <xf numFmtId="0" fontId="9" fillId="10" borderId="3" xfId="0" applyFont="1" applyFill="1" applyBorder="1" applyAlignment="1">
      <alignment vertical="center"/>
    </xf>
    <xf numFmtId="0" fontId="13" fillId="11" borderId="0" xfId="0" applyFont="1" applyFill="1" applyAlignment="1">
      <alignment vertical="center" wrapText="1"/>
    </xf>
    <xf numFmtId="0" fontId="14" fillId="12" borderId="4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vertical="center" wrapText="1"/>
    </xf>
    <xf numFmtId="0" fontId="15" fillId="14" borderId="5" xfId="0" applyFont="1" applyFill="1" applyBorder="1" applyAlignment="1">
      <alignment vertical="center" wrapText="1"/>
    </xf>
    <xf numFmtId="165" fontId="15" fillId="13" borderId="5" xfId="0" applyNumberFormat="1" applyFont="1" applyFill="1" applyBorder="1" applyAlignment="1">
      <alignment vertical="center" wrapText="1"/>
    </xf>
    <xf numFmtId="165" fontId="15" fillId="14" borderId="5" xfId="0" applyNumberFormat="1" applyFont="1" applyFill="1" applyBorder="1" applyAlignment="1">
      <alignment vertical="center" wrapText="1"/>
    </xf>
    <xf numFmtId="10" fontId="15" fillId="13" borderId="5" xfId="0" applyNumberFormat="1" applyFont="1" applyFill="1" applyBorder="1" applyAlignment="1">
      <alignment vertical="center" wrapText="1"/>
    </xf>
    <xf numFmtId="10" fontId="15" fillId="14" borderId="5" xfId="0" applyNumberFormat="1" applyFont="1" applyFill="1" applyBorder="1" applyAlignment="1">
      <alignment vertical="center" wrapText="1"/>
    </xf>
    <xf numFmtId="165" fontId="16" fillId="15" borderId="6" xfId="0" applyNumberFormat="1" applyFont="1" applyFill="1" applyBorder="1" applyAlignment="1">
      <alignment vertical="center" wrapText="1"/>
    </xf>
    <xf numFmtId="168" fontId="15" fillId="14" borderId="5" xfId="0" applyNumberFormat="1" applyFont="1" applyFill="1" applyBorder="1" applyAlignment="1">
      <alignment vertical="center" wrapText="1"/>
    </xf>
    <xf numFmtId="168" fontId="16" fillId="15" borderId="6" xfId="0" applyNumberFormat="1" applyFont="1" applyFill="1" applyBorder="1" applyAlignment="1">
      <alignment vertical="center" wrapText="1"/>
    </xf>
    <xf numFmtId="168" fontId="15" fillId="13" borderId="5" xfId="0" applyNumberFormat="1" applyFont="1" applyFill="1" applyBorder="1" applyAlignment="1">
      <alignment vertical="center" wrapText="1"/>
    </xf>
    <xf numFmtId="0" fontId="17" fillId="15" borderId="7" xfId="0" applyFont="1" applyFill="1" applyBorder="1" applyAlignment="1">
      <alignment vertical="center" wrapText="1"/>
    </xf>
    <xf numFmtId="0" fontId="17" fillId="15" borderId="10" xfId="0" applyFont="1" applyFill="1" applyBorder="1" applyAlignment="1">
      <alignment vertical="center" wrapText="1"/>
    </xf>
    <xf numFmtId="0" fontId="17" fillId="15" borderId="1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7" borderId="0" xfId="0" applyFont="1" applyFill="1"/>
    <xf numFmtId="0" fontId="3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8" fillId="4" borderId="0" xfId="0" applyFont="1" applyFill="1"/>
    <xf numFmtId="0" fontId="3" fillId="2" borderId="0" xfId="0" applyFont="1" applyFill="1" applyAlignment="1">
      <alignment horizontal="center"/>
    </xf>
    <xf numFmtId="0" fontId="11" fillId="6" borderId="0" xfId="0" applyFont="1" applyFill="1"/>
    <xf numFmtId="0" fontId="11" fillId="6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17" fillId="15" borderId="8" xfId="0" applyFont="1" applyFill="1" applyBorder="1" applyAlignment="1">
      <alignment horizontal="left" vertical="center" wrapText="1"/>
    </xf>
    <xf numFmtId="0" fontId="17" fillId="15" borderId="9" xfId="0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left" vertical="center" wrapText="1"/>
    </xf>
    <xf numFmtId="0" fontId="17" fillId="15" borderId="11" xfId="0" applyFont="1" applyFill="1" applyBorder="1" applyAlignment="1">
      <alignment horizontal="left" vertical="center" wrapText="1"/>
    </xf>
    <xf numFmtId="0" fontId="17" fillId="15" borderId="13" xfId="0" applyFont="1" applyFill="1" applyBorder="1" applyAlignment="1">
      <alignment horizontal="left" vertical="center" wrapText="1"/>
    </xf>
    <xf numFmtId="0" fontId="17" fillId="15" borderId="14" xfId="0" applyFont="1" applyFill="1" applyBorder="1" applyAlignment="1">
      <alignment horizontal="left" vertical="center" wrapText="1"/>
    </xf>
    <xf numFmtId="0" fontId="13" fillId="11" borderId="15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165" fontId="18" fillId="13" borderId="5" xfId="0" applyNumberFormat="1" applyFont="1" applyFill="1" applyBorder="1" applyAlignment="1">
      <alignment vertical="center" wrapText="1"/>
    </xf>
    <xf numFmtId="165" fontId="18" fillId="14" borderId="5" xfId="0" applyNumberFormat="1" applyFont="1" applyFill="1" applyBorder="1" applyAlignment="1">
      <alignment vertical="center" wrapText="1"/>
    </xf>
    <xf numFmtId="168" fontId="18" fillId="14" borderId="5" xfId="0" applyNumberFormat="1" applyFont="1" applyFill="1" applyBorder="1" applyAlignment="1">
      <alignment vertical="center" wrapText="1"/>
    </xf>
    <xf numFmtId="168" fontId="18" fillId="13" borderId="5" xfId="0" applyNumberFormat="1" applyFont="1" applyFill="1" applyBorder="1" applyAlignment="1">
      <alignment vertical="center" wrapText="1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topLeftCell="B7" workbookViewId="0">
      <selection activeCell="J23" sqref="J23"/>
    </sheetView>
  </sheetViews>
  <sheetFormatPr defaultColWidth="8.6640625" defaultRowHeight="14.4" x14ac:dyDescent="0.3"/>
  <cols>
    <col min="1" max="1" width="40" customWidth="1"/>
    <col min="2" max="3" width="16" customWidth="1"/>
    <col min="4" max="4" width="12" customWidth="1"/>
    <col min="5" max="5" width="19" customWidth="1"/>
    <col min="6" max="6" width="14.6640625" customWidth="1"/>
    <col min="7" max="7" width="11" customWidth="1"/>
    <col min="8" max="9" width="18" customWidth="1"/>
    <col min="10" max="10" width="20" customWidth="1"/>
  </cols>
  <sheetData>
    <row r="1" spans="1:9" ht="27.75" customHeight="1" x14ac:dyDescent="0.3">
      <c r="A1" s="61" t="s">
        <v>0</v>
      </c>
      <c r="B1" s="61"/>
      <c r="C1" s="61"/>
      <c r="D1" s="61"/>
      <c r="E1" s="61"/>
      <c r="F1" s="61"/>
    </row>
    <row r="2" spans="1:9" ht="15.75" customHeight="1" x14ac:dyDescent="0.3">
      <c r="A2" s="62" t="s">
        <v>1</v>
      </c>
      <c r="B2" s="62"/>
      <c r="C2" s="62"/>
      <c r="D2" s="62"/>
      <c r="E2" s="62"/>
      <c r="F2" s="62"/>
    </row>
    <row r="4" spans="1:9" ht="19.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77"/>
      <c r="G4" s="77"/>
      <c r="H4" s="77"/>
      <c r="I4" s="77"/>
    </row>
    <row r="5" spans="1:9" ht="18" customHeight="1" x14ac:dyDescent="0.3">
      <c r="A5" s="4" t="s">
        <v>8</v>
      </c>
      <c r="B5" s="5">
        <v>3.0507297641509399E-3</v>
      </c>
      <c r="C5" s="5">
        <v>2.5458364860164701E-4</v>
      </c>
      <c r="D5" s="6" t="s">
        <v>9</v>
      </c>
      <c r="E5" s="4" t="s">
        <v>10</v>
      </c>
      <c r="F5" s="75" t="s">
        <v>11</v>
      </c>
      <c r="G5" s="75"/>
      <c r="H5" s="75"/>
      <c r="I5" s="75"/>
    </row>
    <row r="6" spans="1:9" ht="18" customHeight="1" x14ac:dyDescent="0.3">
      <c r="A6" s="7" t="s">
        <v>12</v>
      </c>
      <c r="B6" s="8">
        <v>3.0507297641509399E-3</v>
      </c>
      <c r="C6" s="8">
        <v>2.5458364860164701E-4</v>
      </c>
      <c r="D6" s="9" t="s">
        <v>9</v>
      </c>
      <c r="E6" s="7" t="s">
        <v>10</v>
      </c>
      <c r="F6" s="76" t="s">
        <v>13</v>
      </c>
      <c r="G6" s="76"/>
      <c r="H6" s="76"/>
      <c r="I6" s="76"/>
    </row>
    <row r="7" spans="1:9" ht="18" customHeight="1" x14ac:dyDescent="0.3">
      <c r="A7" s="4" t="s">
        <v>14</v>
      </c>
      <c r="B7" s="5">
        <v>3.5547458333333302E-4</v>
      </c>
      <c r="C7" s="5">
        <v>2.96277093740915E-5</v>
      </c>
      <c r="D7" s="6" t="s">
        <v>9</v>
      </c>
      <c r="E7" s="4" t="s">
        <v>10</v>
      </c>
      <c r="F7" s="75" t="s">
        <v>15</v>
      </c>
      <c r="G7" s="75"/>
      <c r="H7" s="75"/>
      <c r="I7" s="75"/>
    </row>
    <row r="8" spans="1:9" ht="18" customHeight="1" x14ac:dyDescent="0.3">
      <c r="A8" s="7" t="s">
        <v>16</v>
      </c>
      <c r="B8" s="8">
        <v>9.2705966120660004E-4</v>
      </c>
      <c r="C8" s="8">
        <v>7.7287817041416003E-5</v>
      </c>
      <c r="D8" s="9" t="s">
        <v>9</v>
      </c>
      <c r="E8" s="7" t="s">
        <v>10</v>
      </c>
      <c r="F8" s="76" t="s">
        <v>17</v>
      </c>
      <c r="G8" s="76"/>
      <c r="H8" s="76"/>
      <c r="I8" s="76"/>
    </row>
    <row r="9" spans="1:9" ht="18" customHeight="1" x14ac:dyDescent="0.3">
      <c r="A9" s="4" t="s">
        <v>18</v>
      </c>
      <c r="B9" s="5">
        <v>8.9152231132075504E-4</v>
      </c>
      <c r="C9" s="5">
        <v>7.4323900649653205E-5</v>
      </c>
      <c r="D9" s="6" t="s">
        <v>9</v>
      </c>
      <c r="E9" s="4" t="s">
        <v>19</v>
      </c>
      <c r="F9" s="75" t="s">
        <v>20</v>
      </c>
      <c r="G9" s="75"/>
      <c r="H9" s="75"/>
      <c r="I9" s="75"/>
    </row>
    <row r="10" spans="1:9" ht="18" customHeight="1" x14ac:dyDescent="0.3">
      <c r="A10" s="7" t="s">
        <v>21</v>
      </c>
      <c r="B10" s="8">
        <v>1.7830446226415101E-3</v>
      </c>
      <c r="C10" s="8">
        <v>1.4870862001148399E-4</v>
      </c>
      <c r="D10" s="9" t="s">
        <v>9</v>
      </c>
      <c r="E10" s="7" t="s">
        <v>19</v>
      </c>
      <c r="F10" s="76" t="s">
        <v>22</v>
      </c>
      <c r="G10" s="76"/>
      <c r="H10" s="76"/>
      <c r="I10" s="76"/>
    </row>
    <row r="11" spans="1:9" ht="18" customHeight="1" x14ac:dyDescent="0.3">
      <c r="A11" s="4" t="s">
        <v>23</v>
      </c>
      <c r="B11" s="5">
        <v>2.3179580094339599E-3</v>
      </c>
      <c r="C11" s="5">
        <v>1.9336868792641001E-4</v>
      </c>
      <c r="D11" s="6" t="s">
        <v>9</v>
      </c>
      <c r="E11" s="4" t="s">
        <v>24</v>
      </c>
      <c r="F11" s="75" t="s">
        <v>25</v>
      </c>
      <c r="G11" s="75"/>
      <c r="H11" s="75"/>
      <c r="I11" s="75"/>
    </row>
    <row r="12" spans="1:9" ht="18" customHeight="1" x14ac:dyDescent="0.3">
      <c r="A12" s="7" t="s">
        <v>26</v>
      </c>
      <c r="B12" s="8">
        <v>2.3179580094339599E-3</v>
      </c>
      <c r="C12" s="8">
        <v>1.9336868792641001E-4</v>
      </c>
      <c r="D12" s="9" t="s">
        <v>9</v>
      </c>
      <c r="E12" s="7" t="s">
        <v>24</v>
      </c>
      <c r="F12" s="76" t="s">
        <v>25</v>
      </c>
      <c r="G12" s="76"/>
      <c r="H12" s="76"/>
      <c r="I12" s="76"/>
    </row>
    <row r="13" spans="1:9" ht="18" customHeight="1" x14ac:dyDescent="0.3">
      <c r="A13" s="4" t="s">
        <v>27</v>
      </c>
      <c r="B13" s="5">
        <v>3.50833922877358E-3</v>
      </c>
      <c r="C13" s="5">
        <v>2.92832773019169E-4</v>
      </c>
      <c r="D13" s="6" t="s">
        <v>9</v>
      </c>
      <c r="E13" s="4" t="s">
        <v>10</v>
      </c>
      <c r="F13" s="75" t="s">
        <v>28</v>
      </c>
      <c r="G13" s="75"/>
      <c r="H13" s="75"/>
      <c r="I13" s="75"/>
    </row>
    <row r="14" spans="1:9" ht="18" customHeight="1" x14ac:dyDescent="0.3">
      <c r="A14" s="7" t="s">
        <v>29</v>
      </c>
      <c r="B14" s="8">
        <v>2.5885670715947301E-2</v>
      </c>
      <c r="C14" s="8">
        <v>2.1831635104798699E-3</v>
      </c>
      <c r="D14" s="9" t="s">
        <v>9</v>
      </c>
      <c r="E14" s="7" t="s">
        <v>30</v>
      </c>
      <c r="F14" s="76" t="s">
        <v>31</v>
      </c>
      <c r="G14" s="76"/>
      <c r="H14" s="76"/>
      <c r="I14" s="76"/>
    </row>
    <row r="15" spans="1:9" ht="18" customHeight="1" x14ac:dyDescent="0.3">
      <c r="A15" s="4" t="s">
        <v>32</v>
      </c>
      <c r="B15" s="5">
        <v>2.5885670715947301E-2</v>
      </c>
      <c r="C15" s="5">
        <v>2.1831635104798699E-3</v>
      </c>
      <c r="D15" s="6" t="s">
        <v>9</v>
      </c>
      <c r="E15" s="4" t="s">
        <v>30</v>
      </c>
      <c r="F15" s="75" t="s">
        <v>33</v>
      </c>
      <c r="G15" s="75"/>
      <c r="H15" s="75"/>
      <c r="I15" s="75"/>
    </row>
    <row r="18" spans="1:10" ht="22.05" customHeight="1" x14ac:dyDescent="0.3">
      <c r="A18" s="85" t="s">
        <v>192</v>
      </c>
      <c r="B18" s="86"/>
      <c r="C18" s="86"/>
      <c r="D18" s="86"/>
      <c r="E18" s="86"/>
      <c r="F18" s="86"/>
      <c r="G18" s="44"/>
      <c r="H18" s="44"/>
      <c r="I18" s="44"/>
      <c r="J18" s="45"/>
    </row>
    <row r="19" spans="1:10" x14ac:dyDescent="0.3">
      <c r="A19" s="46" t="s">
        <v>193</v>
      </c>
      <c r="B19" s="84" t="s">
        <v>194</v>
      </c>
      <c r="C19" s="84"/>
      <c r="D19" s="84"/>
      <c r="E19" s="84"/>
      <c r="F19" s="84"/>
      <c r="G19" s="84"/>
      <c r="H19" s="84"/>
      <c r="I19" s="84"/>
      <c r="J19" s="84"/>
    </row>
    <row r="20" spans="1:10" x14ac:dyDescent="0.3">
      <c r="B20" s="91" t="s">
        <v>246</v>
      </c>
      <c r="C20" s="91"/>
      <c r="D20" s="91"/>
      <c r="E20" s="91"/>
      <c r="F20" s="91"/>
      <c r="G20" s="91"/>
      <c r="H20" s="91"/>
      <c r="I20" s="91"/>
      <c r="J20" s="91"/>
    </row>
    <row r="21" spans="1:10" ht="37.950000000000003" customHeight="1" x14ac:dyDescent="0.3">
      <c r="A21" s="47" t="s">
        <v>2</v>
      </c>
      <c r="B21" s="47" t="s">
        <v>195</v>
      </c>
      <c r="C21" s="47" t="s">
        <v>5</v>
      </c>
      <c r="D21" s="47" t="s">
        <v>196</v>
      </c>
      <c r="E21" s="47" t="s">
        <v>197</v>
      </c>
      <c r="F21" s="47" t="s">
        <v>198</v>
      </c>
      <c r="G21" s="47" t="s">
        <v>199</v>
      </c>
      <c r="H21" s="47" t="s">
        <v>200</v>
      </c>
      <c r="I21" s="47" t="s">
        <v>201</v>
      </c>
    </row>
    <row r="22" spans="1:10" ht="31.05" customHeight="1" x14ac:dyDescent="0.3">
      <c r="A22" s="48" t="s">
        <v>245</v>
      </c>
      <c r="B22" s="48" t="s">
        <v>202</v>
      </c>
      <c r="C22" s="48" t="s">
        <v>203</v>
      </c>
      <c r="D22" s="50">
        <v>1.224E-3</v>
      </c>
      <c r="E22" s="52">
        <v>0.15</v>
      </c>
      <c r="F22" s="52">
        <v>0.05</v>
      </c>
      <c r="G22" s="87">
        <f>D22*(1+E22)*(1+F22)</f>
        <v>1.47798E-3</v>
      </c>
      <c r="H22" s="87">
        <f t="shared" ref="H22:H54" si="0">G22/12</f>
        <v>1.23165E-4</v>
      </c>
      <c r="I22" s="54"/>
    </row>
    <row r="23" spans="1:10" ht="31.05" customHeight="1" x14ac:dyDescent="0.3">
      <c r="A23" s="49" t="s">
        <v>221</v>
      </c>
      <c r="B23" s="49" t="s">
        <v>202</v>
      </c>
      <c r="C23" s="49" t="s">
        <v>203</v>
      </c>
      <c r="D23" s="51">
        <v>2.2687156659765358E-4</v>
      </c>
      <c r="E23" s="53">
        <v>0.15</v>
      </c>
      <c r="F23" s="53">
        <v>0.05</v>
      </c>
      <c r="G23" s="88">
        <f>D23*(1+E23)*(1+F23)</f>
        <v>2.7394741666666669E-4</v>
      </c>
      <c r="H23" s="88">
        <f t="shared" si="0"/>
        <v>2.282895138888889E-5</v>
      </c>
      <c r="I23" s="54"/>
    </row>
    <row r="24" spans="1:10" ht="31.05" customHeight="1" x14ac:dyDescent="0.3">
      <c r="A24" s="48" t="s">
        <v>223</v>
      </c>
      <c r="B24" s="48" t="s">
        <v>202</v>
      </c>
      <c r="C24" s="48" t="s">
        <v>203</v>
      </c>
      <c r="D24" s="50">
        <v>8.9160938578329877E-5</v>
      </c>
      <c r="E24" s="52">
        <v>0.15</v>
      </c>
      <c r="F24" s="52">
        <v>0.05</v>
      </c>
      <c r="G24" s="87">
        <f>D24*(1+E24)*(1+F24)</f>
        <v>1.0766183333333333E-4</v>
      </c>
      <c r="H24" s="87">
        <f t="shared" si="0"/>
        <v>8.9718194444444433E-6</v>
      </c>
      <c r="I24" s="54"/>
    </row>
    <row r="25" spans="1:10" ht="31.05" customHeight="1" x14ac:dyDescent="0.3">
      <c r="A25" s="49" t="s">
        <v>226</v>
      </c>
      <c r="B25" s="49" t="s">
        <v>202</v>
      </c>
      <c r="C25" s="49" t="s">
        <v>203</v>
      </c>
      <c r="D25" s="51">
        <v>1.6093988957902001E-4</v>
      </c>
      <c r="E25" s="53">
        <v>0.15</v>
      </c>
      <c r="F25" s="53">
        <v>0.05</v>
      </c>
      <c r="G25" s="88">
        <f>D25*(1+E25)*(1+F25)</f>
        <v>1.9433491666666667E-4</v>
      </c>
      <c r="H25" s="88">
        <f t="shared" si="0"/>
        <v>1.6194576388888889E-5</v>
      </c>
      <c r="I25" s="54"/>
    </row>
    <row r="26" spans="1:10" ht="31.05" customHeight="1" x14ac:dyDescent="0.3">
      <c r="A26" s="48" t="s">
        <v>222</v>
      </c>
      <c r="B26" s="48" t="s">
        <v>202</v>
      </c>
      <c r="C26" s="48" t="s">
        <v>203</v>
      </c>
      <c r="D26" s="50">
        <v>1.2494021781708617E-3</v>
      </c>
      <c r="E26" s="52">
        <v>0.15</v>
      </c>
      <c r="F26" s="52">
        <v>0.05</v>
      </c>
      <c r="G26" s="87">
        <f>D26*(1+E26)*(1+F26)</f>
        <v>1.5086531301413155E-3</v>
      </c>
      <c r="H26" s="87">
        <f t="shared" si="0"/>
        <v>1.2572109417844296E-4</v>
      </c>
      <c r="I26" s="54"/>
    </row>
    <row r="27" spans="1:10" ht="34.200000000000003" x14ac:dyDescent="0.3">
      <c r="A27" s="49" t="s">
        <v>224</v>
      </c>
      <c r="B27" s="49" t="s">
        <v>202</v>
      </c>
      <c r="C27" s="49" t="s">
        <v>203</v>
      </c>
      <c r="D27" s="51">
        <v>5.5383881071369998E-5</v>
      </c>
      <c r="E27" s="53">
        <v>0.15</v>
      </c>
      <c r="F27" s="53">
        <v>0.05</v>
      </c>
      <c r="G27" s="88">
        <f>D27*(1+E27)*(1+F27)</f>
        <v>6.6876036393679277E-5</v>
      </c>
      <c r="H27" s="88">
        <f t="shared" si="0"/>
        <v>5.5730030328066064E-6</v>
      </c>
      <c r="I27" s="54"/>
    </row>
    <row r="28" spans="1:10" ht="31.05" customHeight="1" x14ac:dyDescent="0.3">
      <c r="A28" s="48" t="s">
        <v>225</v>
      </c>
      <c r="B28" s="48" t="s">
        <v>202</v>
      </c>
      <c r="C28" s="48" t="s">
        <v>203</v>
      </c>
      <c r="D28" s="50">
        <v>5.4973705061550887E-4</v>
      </c>
      <c r="E28" s="52">
        <v>0.15</v>
      </c>
      <c r="F28" s="52">
        <v>0.05</v>
      </c>
      <c r="G28" s="87">
        <f>D28*(1+E28)*(1+F28)</f>
        <v>6.6380748861822692E-4</v>
      </c>
      <c r="H28" s="87">
        <f t="shared" si="0"/>
        <v>5.5317290718185574E-5</v>
      </c>
      <c r="I28" s="54"/>
    </row>
    <row r="29" spans="1:10" ht="31.05" customHeight="1" x14ac:dyDescent="0.3">
      <c r="A29" s="49" t="s">
        <v>227</v>
      </c>
      <c r="B29" s="49" t="s">
        <v>202</v>
      </c>
      <c r="C29" s="49" t="s">
        <v>203</v>
      </c>
      <c r="D29" s="51">
        <v>3.7482065345125848E-4</v>
      </c>
      <c r="E29" s="53">
        <v>0.15</v>
      </c>
      <c r="F29" s="53">
        <v>0.05</v>
      </c>
      <c r="G29" s="88">
        <f>D29*(1+E29)*(1+F29)</f>
        <v>4.525959390423946E-4</v>
      </c>
      <c r="H29" s="88">
        <f t="shared" si="0"/>
        <v>3.7716328253532885E-5</v>
      </c>
      <c r="I29" s="54"/>
    </row>
    <row r="30" spans="1:10" ht="31.05" customHeight="1" x14ac:dyDescent="0.3">
      <c r="A30" s="48" t="s">
        <v>228</v>
      </c>
      <c r="B30" s="48" t="s">
        <v>202</v>
      </c>
      <c r="C30" s="48" t="s">
        <v>203</v>
      </c>
      <c r="D30" s="50">
        <v>7.9697634759882084E-3</v>
      </c>
      <c r="E30" s="52">
        <v>0.15</v>
      </c>
      <c r="F30" s="52">
        <v>0.05</v>
      </c>
      <c r="G30" s="87">
        <f>D30*(1+E30)*(1+F30)</f>
        <v>9.623489397255762E-3</v>
      </c>
      <c r="H30" s="87">
        <f t="shared" si="0"/>
        <v>8.0195744977131346E-4</v>
      </c>
      <c r="I30" s="54"/>
    </row>
    <row r="31" spans="1:10" ht="31.05" customHeight="1" x14ac:dyDescent="0.3">
      <c r="A31" s="49" t="s">
        <v>229</v>
      </c>
      <c r="B31" s="49" t="s">
        <v>202</v>
      </c>
      <c r="C31" s="49" t="s">
        <v>203</v>
      </c>
      <c r="D31" s="51">
        <v>3.1154666678713315E-3</v>
      </c>
      <c r="E31" s="53">
        <v>0.15</v>
      </c>
      <c r="F31" s="53">
        <v>0.05</v>
      </c>
      <c r="G31" s="88">
        <f>D31*(1+E31)*(1+F31)</f>
        <v>3.7619260014546325E-3</v>
      </c>
      <c r="H31" s="88">
        <f t="shared" si="0"/>
        <v>3.1349383345455269E-4</v>
      </c>
      <c r="I31" s="54"/>
    </row>
    <row r="32" spans="1:10" ht="31.05" customHeight="1" x14ac:dyDescent="0.3">
      <c r="A32" s="48" t="s">
        <v>230</v>
      </c>
      <c r="B32" s="48" t="s">
        <v>202</v>
      </c>
      <c r="C32" s="48" t="s">
        <v>203</v>
      </c>
      <c r="D32" s="50">
        <v>1.382264406989746E-4</v>
      </c>
      <c r="E32" s="52">
        <v>0.15</v>
      </c>
      <c r="F32" s="52">
        <v>0.05</v>
      </c>
      <c r="G32" s="87">
        <f>D32*(1+E32)*(1+F32)</f>
        <v>1.6690842714401182E-4</v>
      </c>
      <c r="H32" s="87">
        <f t="shared" si="0"/>
        <v>1.3909035595334318E-5</v>
      </c>
      <c r="I32" s="54"/>
    </row>
    <row r="33" spans="1:9" ht="31.05" customHeight="1" x14ac:dyDescent="0.3">
      <c r="A33" s="49" t="s">
        <v>231</v>
      </c>
      <c r="B33" s="49" t="s">
        <v>202</v>
      </c>
      <c r="C33" s="49" t="s">
        <v>203</v>
      </c>
      <c r="D33" s="51">
        <v>5.613692670253963E-4</v>
      </c>
      <c r="E33" s="53">
        <v>0.15</v>
      </c>
      <c r="F33" s="53">
        <v>0.05</v>
      </c>
      <c r="G33" s="88">
        <f>D33*(1+E33)*(1+F33)</f>
        <v>6.7785338993316601E-4</v>
      </c>
      <c r="H33" s="88">
        <f t="shared" si="0"/>
        <v>5.6487782494430501E-5</v>
      </c>
      <c r="I33" s="54"/>
    </row>
    <row r="34" spans="1:9" ht="31.05" customHeight="1" x14ac:dyDescent="0.3">
      <c r="A34" s="48" t="s">
        <v>232</v>
      </c>
      <c r="B34" s="48" t="s">
        <v>202</v>
      </c>
      <c r="C34" s="48" t="s">
        <v>203</v>
      </c>
      <c r="D34" s="50">
        <v>1.2493992054352534E-3</v>
      </c>
      <c r="E34" s="52">
        <v>0.15</v>
      </c>
      <c r="F34" s="52">
        <v>0.05</v>
      </c>
      <c r="G34" s="87">
        <f>D34*(1+E34)*(1+F34)</f>
        <v>1.5086495405630684E-3</v>
      </c>
      <c r="H34" s="87">
        <f t="shared" si="0"/>
        <v>1.2572079504692238E-4</v>
      </c>
      <c r="I34" s="54"/>
    </row>
    <row r="35" spans="1:9" ht="31.05" customHeight="1" x14ac:dyDescent="0.3">
      <c r="A35" s="49" t="s">
        <v>233</v>
      </c>
      <c r="B35" s="49" t="s">
        <v>202</v>
      </c>
      <c r="C35" s="49" t="s">
        <v>203</v>
      </c>
      <c r="D35" s="51">
        <v>1.2493992054352534E-3</v>
      </c>
      <c r="E35" s="53">
        <v>0.15</v>
      </c>
      <c r="F35" s="53">
        <v>0.05</v>
      </c>
      <c r="G35" s="88">
        <f>D35*(1+E35)*(1+F35)</f>
        <v>1.5086495405630684E-3</v>
      </c>
      <c r="H35" s="88">
        <f t="shared" si="0"/>
        <v>1.2572079504692238E-4</v>
      </c>
      <c r="I35" s="54"/>
    </row>
    <row r="36" spans="1:9" ht="31.05" customHeight="1" x14ac:dyDescent="0.3">
      <c r="A36" s="48" t="s">
        <v>234</v>
      </c>
      <c r="B36" s="48" t="s">
        <v>204</v>
      </c>
      <c r="C36" s="48" t="s">
        <v>203</v>
      </c>
      <c r="D36" s="50">
        <v>2.8451560190569051E-3</v>
      </c>
      <c r="E36" s="52">
        <v>0.15</v>
      </c>
      <c r="F36" s="52">
        <v>0.05</v>
      </c>
      <c r="G36" s="87">
        <f>D36*(1+E36)*(1+F36)</f>
        <v>3.4355258930112128E-3</v>
      </c>
      <c r="H36" s="87">
        <f t="shared" si="0"/>
        <v>2.8629382441760105E-4</v>
      </c>
      <c r="I36" s="54"/>
    </row>
    <row r="37" spans="1:9" ht="31.05" customHeight="1" x14ac:dyDescent="0.3">
      <c r="A37" s="49" t="s">
        <v>235</v>
      </c>
      <c r="B37" s="49" t="s">
        <v>204</v>
      </c>
      <c r="C37" s="49" t="s">
        <v>203</v>
      </c>
      <c r="D37" s="51">
        <v>1.3593709372385963E-4</v>
      </c>
      <c r="E37" s="53">
        <v>0.15</v>
      </c>
      <c r="F37" s="53">
        <v>0.05</v>
      </c>
      <c r="G37" s="88">
        <f>D37*(1+E37)*(1+F37)</f>
        <v>1.6414404067156051E-4</v>
      </c>
      <c r="H37" s="88">
        <f t="shared" si="0"/>
        <v>1.3678670055963377E-5</v>
      </c>
      <c r="I37" s="54"/>
    </row>
    <row r="38" spans="1:9" ht="31.05" customHeight="1" x14ac:dyDescent="0.3">
      <c r="A38" s="48" t="s">
        <v>237</v>
      </c>
      <c r="B38" s="48" t="s">
        <v>204</v>
      </c>
      <c r="C38" s="48" t="s">
        <v>203</v>
      </c>
      <c r="D38" s="50">
        <v>4.1095742579230167E-5</v>
      </c>
      <c r="E38" s="52">
        <v>0.15</v>
      </c>
      <c r="F38" s="52">
        <v>0.05</v>
      </c>
      <c r="G38" s="87">
        <f>D38*(1+E38)*(1+F38)</f>
        <v>4.9623109164420426E-5</v>
      </c>
      <c r="H38" s="87">
        <f t="shared" si="0"/>
        <v>4.1352590970350352E-6</v>
      </c>
      <c r="I38" s="54"/>
    </row>
    <row r="39" spans="1:9" ht="31.05" customHeight="1" x14ac:dyDescent="0.3">
      <c r="A39" s="49" t="s">
        <v>239</v>
      </c>
      <c r="B39" s="49" t="s">
        <v>204</v>
      </c>
      <c r="C39" s="49" t="s">
        <v>203</v>
      </c>
      <c r="D39" s="51">
        <v>3.7411430252959783E-4</v>
      </c>
      <c r="E39" s="53">
        <v>0.15</v>
      </c>
      <c r="F39" s="53">
        <v>0.05</v>
      </c>
      <c r="G39" s="88">
        <f>D39*(1+E39)*(1+F39)</f>
        <v>4.5174302030448937E-4</v>
      </c>
      <c r="H39" s="88">
        <f t="shared" si="0"/>
        <v>3.7645251692040781E-5</v>
      </c>
      <c r="I39" s="54"/>
    </row>
    <row r="40" spans="1:9" ht="31.05" customHeight="1" x14ac:dyDescent="0.3">
      <c r="A40" s="48" t="s">
        <v>236</v>
      </c>
      <c r="B40" s="48" t="s">
        <v>204</v>
      </c>
      <c r="C40" s="48" t="s">
        <v>203</v>
      </c>
      <c r="D40" s="50">
        <v>2.9041696358244593E-3</v>
      </c>
      <c r="E40" s="52">
        <v>0.15</v>
      </c>
      <c r="F40" s="52">
        <v>0.05</v>
      </c>
      <c r="G40" s="87">
        <f>D40*(1+E40)*(1+F40)</f>
        <v>3.5067848352580348E-3</v>
      </c>
      <c r="H40" s="87">
        <f t="shared" si="0"/>
        <v>2.9223206960483623E-4</v>
      </c>
      <c r="I40" s="54"/>
    </row>
    <row r="41" spans="1:9" ht="31.05" customHeight="1" x14ac:dyDescent="0.3">
      <c r="A41" s="49" t="s">
        <v>238</v>
      </c>
      <c r="B41" s="49" t="s">
        <v>204</v>
      </c>
      <c r="C41" s="49" t="s">
        <v>203</v>
      </c>
      <c r="D41" s="51">
        <v>3.108221359540569E-5</v>
      </c>
      <c r="E41" s="53">
        <v>0.15</v>
      </c>
      <c r="F41" s="53">
        <v>0.05</v>
      </c>
      <c r="G41" s="88">
        <f>D41*(1+E41)*(1+F41)</f>
        <v>3.7531772916452368E-5</v>
      </c>
      <c r="H41" s="88">
        <f t="shared" si="0"/>
        <v>3.1276477430376972E-6</v>
      </c>
      <c r="I41" s="54"/>
    </row>
    <row r="42" spans="1:9" ht="31.05" customHeight="1" x14ac:dyDescent="0.3">
      <c r="A42" s="48" t="s">
        <v>240</v>
      </c>
      <c r="B42" s="48" t="s">
        <v>204</v>
      </c>
      <c r="C42" s="48" t="s">
        <v>203</v>
      </c>
      <c r="D42" s="50">
        <v>8.7125421067920619E-4</v>
      </c>
      <c r="E42" s="52">
        <v>0.15</v>
      </c>
      <c r="F42" s="52">
        <v>0.05</v>
      </c>
      <c r="G42" s="87">
        <f>D42*(1+E42)*(1+F42)</f>
        <v>1.0520394593951413E-3</v>
      </c>
      <c r="H42" s="87">
        <f t="shared" si="0"/>
        <v>8.7669954949595112E-5</v>
      </c>
      <c r="I42" s="54"/>
    </row>
    <row r="43" spans="1:9" ht="31.05" customHeight="1" x14ac:dyDescent="0.3">
      <c r="A43" s="49" t="s">
        <v>241</v>
      </c>
      <c r="B43" s="49" t="s">
        <v>204</v>
      </c>
      <c r="C43" s="49" t="s">
        <v>203</v>
      </c>
      <c r="D43" s="51">
        <v>3.0712661530266595E-3</v>
      </c>
      <c r="E43" s="53">
        <v>0.15</v>
      </c>
      <c r="F43" s="53">
        <v>0.05</v>
      </c>
      <c r="G43" s="88">
        <f>D43*(1+E43)*(1+F43)</f>
        <v>3.7085538797796912E-3</v>
      </c>
      <c r="H43" s="88">
        <f t="shared" si="0"/>
        <v>3.090461566483076E-4</v>
      </c>
      <c r="I43" s="54"/>
    </row>
    <row r="44" spans="1:9" ht="31.05" customHeight="1" x14ac:dyDescent="0.3">
      <c r="A44" s="48" t="s">
        <v>242</v>
      </c>
      <c r="B44" s="48" t="s">
        <v>204</v>
      </c>
      <c r="C44" s="48" t="s">
        <v>203</v>
      </c>
      <c r="D44" s="50">
        <v>1.3544080432693686E-4</v>
      </c>
      <c r="E44" s="52">
        <v>0.15</v>
      </c>
      <c r="F44" s="52">
        <v>0.05</v>
      </c>
      <c r="G44" s="87">
        <f>D44*(1+E44)*(1+F44)</f>
        <v>1.6354477122477627E-4</v>
      </c>
      <c r="H44" s="87">
        <f t="shared" si="0"/>
        <v>1.3628730935398022E-5</v>
      </c>
      <c r="I44" s="54"/>
    </row>
    <row r="45" spans="1:9" ht="31.05" customHeight="1" x14ac:dyDescent="0.3">
      <c r="A45" s="49" t="s">
        <v>243</v>
      </c>
      <c r="B45" s="49" t="s">
        <v>204</v>
      </c>
      <c r="C45" s="49" t="s">
        <v>203</v>
      </c>
      <c r="D45" s="51">
        <v>4.3662347028937084E-4</v>
      </c>
      <c r="E45" s="53">
        <v>0.15</v>
      </c>
      <c r="F45" s="53">
        <v>0.05</v>
      </c>
      <c r="G45" s="88">
        <f>D45*(1+E45)*(1+F45)</f>
        <v>5.2722284037441528E-4</v>
      </c>
      <c r="H45" s="88">
        <f t="shared" si="0"/>
        <v>4.3935236697867942E-5</v>
      </c>
      <c r="I45" s="54"/>
    </row>
    <row r="46" spans="1:9" ht="31.05" customHeight="1" x14ac:dyDescent="0.3">
      <c r="A46" s="48" t="s">
        <v>244</v>
      </c>
      <c r="B46" s="48" t="s">
        <v>204</v>
      </c>
      <c r="C46" s="48" t="s">
        <v>203</v>
      </c>
      <c r="D46" s="50">
        <v>2.9041286251782314E-3</v>
      </c>
      <c r="E46" s="52">
        <v>0.15</v>
      </c>
      <c r="F46" s="52">
        <v>0.05</v>
      </c>
      <c r="G46" s="87">
        <f>D46*(1+E46)*(1+F46)</f>
        <v>3.5067353149027146E-3</v>
      </c>
      <c r="H46" s="87">
        <f t="shared" si="0"/>
        <v>2.9222794290855955E-4</v>
      </c>
      <c r="I46" s="54"/>
    </row>
    <row r="47" spans="1:9" ht="31.05" customHeight="1" x14ac:dyDescent="0.3">
      <c r="A47" s="49" t="s">
        <v>205</v>
      </c>
      <c r="B47" s="49" t="s">
        <v>206</v>
      </c>
      <c r="C47" s="49" t="s">
        <v>207</v>
      </c>
      <c r="D47" s="55">
        <v>6.2885</v>
      </c>
      <c r="E47" s="53">
        <v>0</v>
      </c>
      <c r="F47" s="53">
        <v>0.05</v>
      </c>
      <c r="G47" s="89">
        <f>D47*(1+E47)*(1+F47)</f>
        <v>6.6029249999999999</v>
      </c>
      <c r="H47" s="89">
        <f t="shared" si="0"/>
        <v>0.55024375000000003</v>
      </c>
      <c r="I47" s="56"/>
    </row>
    <row r="48" spans="1:9" ht="31.05" customHeight="1" x14ac:dyDescent="0.3">
      <c r="A48" s="48" t="s">
        <v>208</v>
      </c>
      <c r="B48" s="48" t="s">
        <v>206</v>
      </c>
      <c r="C48" s="48" t="s">
        <v>207</v>
      </c>
      <c r="D48" s="57">
        <v>8.8039000000000005</v>
      </c>
      <c r="E48" s="52">
        <v>0</v>
      </c>
      <c r="F48" s="52">
        <v>0.05</v>
      </c>
      <c r="G48" s="90">
        <f>D48*(1+E48)*(1+F48)</f>
        <v>9.2440950000000015</v>
      </c>
      <c r="H48" s="90">
        <f t="shared" si="0"/>
        <v>0.77034125000000009</v>
      </c>
      <c r="I48" s="56"/>
    </row>
    <row r="49" spans="1:10" ht="31.05" customHeight="1" x14ac:dyDescent="0.3">
      <c r="A49" s="49" t="s">
        <v>209</v>
      </c>
      <c r="B49" s="49" t="s">
        <v>206</v>
      </c>
      <c r="C49" s="49" t="s">
        <v>207</v>
      </c>
      <c r="D49" s="55">
        <v>12.577</v>
      </c>
      <c r="E49" s="53">
        <v>0</v>
      </c>
      <c r="F49" s="53">
        <v>0.05</v>
      </c>
      <c r="G49" s="89">
        <f>D49*(1+E49)*(1+F49)</f>
        <v>13.20585</v>
      </c>
      <c r="H49" s="89">
        <f t="shared" si="0"/>
        <v>1.1004875000000001</v>
      </c>
      <c r="I49" s="56"/>
    </row>
    <row r="50" spans="1:10" ht="31.05" customHeight="1" x14ac:dyDescent="0.3">
      <c r="A50" s="48" t="s">
        <v>210</v>
      </c>
      <c r="B50" s="48" t="s">
        <v>206</v>
      </c>
      <c r="C50" s="48" t="s">
        <v>207</v>
      </c>
      <c r="D50" s="57">
        <v>15.0924</v>
      </c>
      <c r="E50" s="52">
        <v>0</v>
      </c>
      <c r="F50" s="52">
        <v>0.05</v>
      </c>
      <c r="G50" s="90">
        <f>D50*(1+E50)*(1+F50)</f>
        <v>15.847020000000001</v>
      </c>
      <c r="H50" s="90">
        <f t="shared" si="0"/>
        <v>1.3205850000000001</v>
      </c>
      <c r="I50" s="56"/>
    </row>
    <row r="51" spans="1:10" ht="31.05" customHeight="1" x14ac:dyDescent="0.3">
      <c r="A51" s="49" t="s">
        <v>211</v>
      </c>
      <c r="B51" s="49" t="s">
        <v>206</v>
      </c>
      <c r="C51" s="49" t="s">
        <v>207</v>
      </c>
      <c r="D51" s="55">
        <v>12.921357294028722</v>
      </c>
      <c r="E51" s="53">
        <v>0</v>
      </c>
      <c r="F51" s="53">
        <v>0.05</v>
      </c>
      <c r="G51" s="89">
        <f>D51*(1+E51)*(1+F51)</f>
        <v>13.567425158730158</v>
      </c>
      <c r="H51" s="89">
        <f t="shared" si="0"/>
        <v>1.1306187632275131</v>
      </c>
      <c r="I51" s="56"/>
    </row>
    <row r="52" spans="1:10" ht="31.05" customHeight="1" x14ac:dyDescent="0.3">
      <c r="A52" s="48" t="s">
        <v>212</v>
      </c>
      <c r="B52" s="48" t="s">
        <v>206</v>
      </c>
      <c r="C52" s="48" t="s">
        <v>207</v>
      </c>
      <c r="D52" s="57">
        <v>18.089900211640213</v>
      </c>
      <c r="E52" s="52">
        <v>0</v>
      </c>
      <c r="F52" s="52">
        <v>0.05</v>
      </c>
      <c r="G52" s="90">
        <f>D52*(1+E52)*(1+F52)</f>
        <v>18.994395222222224</v>
      </c>
      <c r="H52" s="90">
        <f t="shared" si="0"/>
        <v>1.5828662685185186</v>
      </c>
      <c r="I52" s="56"/>
    </row>
    <row r="53" spans="1:10" ht="31.05" customHeight="1" x14ac:dyDescent="0.3">
      <c r="A53" s="49" t="s">
        <v>213</v>
      </c>
      <c r="B53" s="49" t="s">
        <v>206</v>
      </c>
      <c r="C53" s="49" t="s">
        <v>207</v>
      </c>
      <c r="D53" s="55">
        <v>25.842714588057444</v>
      </c>
      <c r="E53" s="53">
        <v>0</v>
      </c>
      <c r="F53" s="53">
        <v>0.05</v>
      </c>
      <c r="G53" s="89">
        <f>D53*(1+E53)*(1+F53)</f>
        <v>27.134850317460316</v>
      </c>
      <c r="H53" s="89">
        <f t="shared" si="0"/>
        <v>2.2612375264550262</v>
      </c>
      <c r="I53" s="56"/>
    </row>
    <row r="54" spans="1:10" ht="31.05" customHeight="1" x14ac:dyDescent="0.3">
      <c r="A54" s="48" t="s">
        <v>214</v>
      </c>
      <c r="B54" s="48" t="s">
        <v>206</v>
      </c>
      <c r="C54" s="48" t="s">
        <v>207</v>
      </c>
      <c r="D54" s="57">
        <v>31.011257505668933</v>
      </c>
      <c r="E54" s="52">
        <v>0</v>
      </c>
      <c r="F54" s="52">
        <v>0.05</v>
      </c>
      <c r="G54" s="90">
        <f>D54*(1+E54)*(1+F54)</f>
        <v>32.561820380952383</v>
      </c>
      <c r="H54" s="90">
        <f t="shared" si="0"/>
        <v>2.713485031746032</v>
      </c>
      <c r="I54" s="56"/>
    </row>
    <row r="56" spans="1:10" x14ac:dyDescent="0.3">
      <c r="A56" s="58" t="s">
        <v>215</v>
      </c>
      <c r="B56" s="78" t="s">
        <v>220</v>
      </c>
      <c r="C56" s="78"/>
      <c r="D56" s="78"/>
      <c r="E56" s="78"/>
      <c r="F56" s="78"/>
      <c r="G56" s="78"/>
      <c r="H56" s="78"/>
      <c r="I56" s="78"/>
      <c r="J56" s="79"/>
    </row>
    <row r="57" spans="1:10" x14ac:dyDescent="0.3">
      <c r="A57" s="59" t="s">
        <v>216</v>
      </c>
      <c r="B57" s="80" t="s">
        <v>217</v>
      </c>
      <c r="C57" s="80"/>
      <c r="D57" s="80"/>
      <c r="E57" s="80"/>
      <c r="F57" s="80"/>
      <c r="G57" s="80"/>
      <c r="H57" s="80"/>
      <c r="I57" s="80"/>
      <c r="J57" s="81"/>
    </row>
    <row r="58" spans="1:10" x14ac:dyDescent="0.3">
      <c r="A58" s="60" t="s">
        <v>218</v>
      </c>
      <c r="B58" s="82" t="s">
        <v>219</v>
      </c>
      <c r="C58" s="82"/>
      <c r="D58" s="82"/>
      <c r="E58" s="82"/>
      <c r="F58" s="82"/>
      <c r="G58" s="82"/>
      <c r="H58" s="82"/>
      <c r="I58" s="82"/>
      <c r="J58" s="83"/>
    </row>
  </sheetData>
  <mergeCells count="20">
    <mergeCell ref="B56:J56"/>
    <mergeCell ref="B57:J57"/>
    <mergeCell ref="B58:J58"/>
    <mergeCell ref="A18:F18"/>
    <mergeCell ref="B20:J20"/>
    <mergeCell ref="F13:I13"/>
    <mergeCell ref="F14:I14"/>
    <mergeCell ref="F15:I15"/>
    <mergeCell ref="F4:I4"/>
    <mergeCell ref="B19:J19"/>
    <mergeCell ref="F8:I8"/>
    <mergeCell ref="F9:I9"/>
    <mergeCell ref="F10:I10"/>
    <mergeCell ref="F11:I11"/>
    <mergeCell ref="F12:I12"/>
    <mergeCell ref="A1:F1"/>
    <mergeCell ref="A2:F2"/>
    <mergeCell ref="F5:I5"/>
    <mergeCell ref="F6:I6"/>
    <mergeCell ref="F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showGridLines="0" workbookViewId="0"/>
  </sheetViews>
  <sheetFormatPr defaultColWidth="8.6640625" defaultRowHeight="14.4" x14ac:dyDescent="0.3"/>
  <cols>
    <col min="1" max="1" width="40" customWidth="1"/>
    <col min="2" max="2" width="27.109375" customWidth="1"/>
    <col min="3" max="3" width="35" customWidth="1"/>
    <col min="4" max="4" width="45.33203125" customWidth="1"/>
  </cols>
  <sheetData>
    <row r="1" spans="1:4" ht="25.5" customHeight="1" x14ac:dyDescent="0.3">
      <c r="A1" s="64" t="s">
        <v>34</v>
      </c>
      <c r="B1" s="64"/>
      <c r="C1" s="64"/>
      <c r="D1" s="64"/>
    </row>
    <row r="2" spans="1:4" ht="19.5" customHeight="1" x14ac:dyDescent="0.3">
      <c r="A2" s="63" t="s">
        <v>35</v>
      </c>
      <c r="B2" s="63"/>
      <c r="C2" s="63"/>
      <c r="D2" s="63"/>
    </row>
    <row r="3" spans="1:4" x14ac:dyDescent="0.3">
      <c r="A3" s="10" t="s">
        <v>2</v>
      </c>
      <c r="B3" s="10" t="s">
        <v>36</v>
      </c>
      <c r="C3" s="10" t="s">
        <v>37</v>
      </c>
      <c r="D3" s="10" t="s">
        <v>7</v>
      </c>
    </row>
    <row r="4" spans="1:4" ht="15.75" customHeight="1" x14ac:dyDescent="0.3">
      <c r="A4" s="11" t="s">
        <v>38</v>
      </c>
      <c r="B4" s="11" t="s">
        <v>10</v>
      </c>
      <c r="C4" s="11" t="s">
        <v>39</v>
      </c>
      <c r="D4" s="11" t="s">
        <v>40</v>
      </c>
    </row>
    <row r="5" spans="1:4" ht="15.75" customHeight="1" x14ac:dyDescent="0.3">
      <c r="A5" s="11" t="s">
        <v>41</v>
      </c>
      <c r="B5" s="11" t="s">
        <v>42</v>
      </c>
      <c r="C5" s="11" t="s">
        <v>39</v>
      </c>
      <c r="D5" s="11" t="s">
        <v>43</v>
      </c>
    </row>
    <row r="6" spans="1:4" ht="15.75" customHeight="1" x14ac:dyDescent="0.3">
      <c r="A6" s="11" t="s">
        <v>44</v>
      </c>
      <c r="B6" s="11" t="s">
        <v>19</v>
      </c>
      <c r="C6" s="11" t="s">
        <v>45</v>
      </c>
      <c r="D6" s="11" t="s">
        <v>46</v>
      </c>
    </row>
    <row r="7" spans="1:4" ht="15.75" customHeight="1" x14ac:dyDescent="0.3">
      <c r="A7" s="11" t="s">
        <v>47</v>
      </c>
      <c r="B7" s="11" t="s">
        <v>48</v>
      </c>
      <c r="C7" s="11" t="s">
        <v>49</v>
      </c>
      <c r="D7" s="11" t="s">
        <v>50</v>
      </c>
    </row>
    <row r="8" spans="1:4" ht="15.75" customHeight="1" x14ac:dyDescent="0.3">
      <c r="A8" s="11" t="s">
        <v>51</v>
      </c>
      <c r="B8" s="11" t="s">
        <v>52</v>
      </c>
      <c r="C8" s="11" t="s">
        <v>53</v>
      </c>
      <c r="D8" s="11" t="s">
        <v>54</v>
      </c>
    </row>
    <row r="10" spans="1:4" ht="19.5" customHeight="1" x14ac:dyDescent="0.3">
      <c r="A10" s="63" t="s">
        <v>55</v>
      </c>
      <c r="B10" s="63"/>
      <c r="C10" s="63"/>
      <c r="D10" s="63"/>
    </row>
    <row r="11" spans="1:4" x14ac:dyDescent="0.3">
      <c r="A11" s="10" t="s">
        <v>56</v>
      </c>
      <c r="B11" s="10" t="s">
        <v>57</v>
      </c>
      <c r="C11" s="10" t="s">
        <v>58</v>
      </c>
      <c r="D11" s="10" t="s">
        <v>59</v>
      </c>
    </row>
    <row r="12" spans="1:4" ht="15.75" customHeight="1" x14ac:dyDescent="0.3">
      <c r="A12" s="12" t="s">
        <v>60</v>
      </c>
      <c r="B12" s="12" t="s">
        <v>61</v>
      </c>
      <c r="C12" s="12" t="s">
        <v>62</v>
      </c>
      <c r="D12" s="12" t="s">
        <v>63</v>
      </c>
    </row>
    <row r="13" spans="1:4" ht="15.75" customHeight="1" x14ac:dyDescent="0.3">
      <c r="A13" s="12" t="s">
        <v>64</v>
      </c>
      <c r="B13" s="12" t="s">
        <v>65</v>
      </c>
      <c r="C13" s="12" t="s">
        <v>66</v>
      </c>
      <c r="D13" s="12" t="s">
        <v>67</v>
      </c>
    </row>
    <row r="14" spans="1:4" ht="15.75" customHeight="1" x14ac:dyDescent="0.3">
      <c r="A14" s="12" t="s">
        <v>68</v>
      </c>
      <c r="B14" s="12" t="s">
        <v>69</v>
      </c>
      <c r="C14" s="12" t="s">
        <v>70</v>
      </c>
      <c r="D14" s="12" t="s">
        <v>71</v>
      </c>
    </row>
    <row r="15" spans="1:4" ht="15.75" customHeight="1" x14ac:dyDescent="0.3">
      <c r="A15" s="12" t="s">
        <v>72</v>
      </c>
      <c r="B15" s="12" t="s">
        <v>73</v>
      </c>
      <c r="C15" s="12" t="s">
        <v>74</v>
      </c>
      <c r="D15" s="12" t="s">
        <v>75</v>
      </c>
    </row>
    <row r="16" spans="1:4" ht="15.75" customHeight="1" x14ac:dyDescent="0.3">
      <c r="A16" s="12" t="s">
        <v>76</v>
      </c>
      <c r="B16" s="12" t="s">
        <v>77</v>
      </c>
      <c r="C16" s="12" t="s">
        <v>78</v>
      </c>
      <c r="D16" s="12" t="s">
        <v>79</v>
      </c>
    </row>
    <row r="17" spans="1:4" ht="15.75" customHeight="1" x14ac:dyDescent="0.3">
      <c r="A17" s="12" t="s">
        <v>80</v>
      </c>
      <c r="B17" s="12" t="s">
        <v>77</v>
      </c>
      <c r="C17" s="12" t="s">
        <v>62</v>
      </c>
      <c r="D17" s="12" t="s">
        <v>81</v>
      </c>
    </row>
    <row r="18" spans="1:4" ht="15.75" customHeight="1" x14ac:dyDescent="0.3">
      <c r="A18" s="12" t="s">
        <v>82</v>
      </c>
      <c r="B18" s="12" t="s">
        <v>83</v>
      </c>
      <c r="C18" s="12" t="s">
        <v>84</v>
      </c>
      <c r="D18" s="12" t="s">
        <v>85</v>
      </c>
    </row>
    <row r="20" spans="1:4" ht="19.5" customHeight="1" x14ac:dyDescent="0.3">
      <c r="A20" s="63" t="s">
        <v>86</v>
      </c>
      <c r="B20" s="63"/>
      <c r="C20" s="63"/>
      <c r="D20" s="63"/>
    </row>
    <row r="21" spans="1:4" x14ac:dyDescent="0.3">
      <c r="A21" s="10" t="s">
        <v>56</v>
      </c>
      <c r="B21" s="10" t="s">
        <v>57</v>
      </c>
      <c r="C21" s="10" t="s">
        <v>58</v>
      </c>
      <c r="D21" s="10" t="s">
        <v>7</v>
      </c>
    </row>
    <row r="22" spans="1:4" ht="15.75" customHeight="1" x14ac:dyDescent="0.3">
      <c r="A22" s="12" t="s">
        <v>87</v>
      </c>
      <c r="B22" s="12" t="s">
        <v>88</v>
      </c>
      <c r="C22" s="43">
        <v>4.65E-2</v>
      </c>
      <c r="D22" s="12" t="s">
        <v>89</v>
      </c>
    </row>
    <row r="24" spans="1:4" ht="19.5" customHeight="1" x14ac:dyDescent="0.3">
      <c r="A24" s="63" t="s">
        <v>90</v>
      </c>
      <c r="B24" s="63"/>
      <c r="C24" s="63"/>
      <c r="D24" s="63"/>
    </row>
    <row r="25" spans="1:4" x14ac:dyDescent="0.3">
      <c r="A25" s="10" t="s">
        <v>56</v>
      </c>
      <c r="B25" s="10" t="s">
        <v>57</v>
      </c>
      <c r="C25" s="10" t="s">
        <v>58</v>
      </c>
      <c r="D25" s="10" t="s">
        <v>7</v>
      </c>
    </row>
    <row r="26" spans="1:4" ht="15.75" customHeight="1" x14ac:dyDescent="0.3">
      <c r="A26" s="11" t="s">
        <v>91</v>
      </c>
      <c r="B26" s="11" t="s">
        <v>92</v>
      </c>
      <c r="C26" s="11" t="s">
        <v>93</v>
      </c>
      <c r="D26" s="11" t="s">
        <v>94</v>
      </c>
    </row>
    <row r="27" spans="1:4" ht="15.75" customHeight="1" x14ac:dyDescent="0.3">
      <c r="A27" s="11" t="s">
        <v>95</v>
      </c>
      <c r="B27" s="11" t="s">
        <v>96</v>
      </c>
      <c r="C27" s="11" t="s">
        <v>93</v>
      </c>
      <c r="D27" s="11" t="s">
        <v>97</v>
      </c>
    </row>
    <row r="28" spans="1:4" ht="15.75" customHeight="1" x14ac:dyDescent="0.3">
      <c r="A28" s="11" t="s">
        <v>98</v>
      </c>
      <c r="B28" s="11" t="s">
        <v>99</v>
      </c>
      <c r="C28" s="11" t="s">
        <v>93</v>
      </c>
      <c r="D28" s="11" t="s">
        <v>100</v>
      </c>
    </row>
    <row r="29" spans="1:4" ht="15.75" customHeight="1" x14ac:dyDescent="0.3">
      <c r="A29" s="11" t="s">
        <v>101</v>
      </c>
      <c r="B29" s="11" t="s">
        <v>102</v>
      </c>
      <c r="C29" s="11" t="s">
        <v>93</v>
      </c>
      <c r="D29" s="11" t="s">
        <v>103</v>
      </c>
    </row>
    <row r="30" spans="1:4" ht="15.75" customHeight="1" x14ac:dyDescent="0.3">
      <c r="A30" s="11" t="s">
        <v>104</v>
      </c>
      <c r="B30" s="11" t="s">
        <v>105</v>
      </c>
      <c r="C30" s="11" t="s">
        <v>93</v>
      </c>
      <c r="D30" s="11" t="s">
        <v>106</v>
      </c>
    </row>
    <row r="32" spans="1:4" ht="19.5" customHeight="1" x14ac:dyDescent="0.3">
      <c r="A32" s="63" t="s">
        <v>107</v>
      </c>
      <c r="B32" s="63"/>
      <c r="C32" s="63"/>
      <c r="D32" s="63"/>
    </row>
    <row r="33" spans="1:4" ht="15.75" customHeight="1" x14ac:dyDescent="0.3">
      <c r="A33" s="13" t="s">
        <v>108</v>
      </c>
      <c r="B33" s="13"/>
      <c r="C33" s="13"/>
      <c r="D33" s="13" t="s">
        <v>109</v>
      </c>
    </row>
  </sheetData>
  <mergeCells count="6">
    <mergeCell ref="A32:D32"/>
    <mergeCell ref="A1:D1"/>
    <mergeCell ref="A2:D2"/>
    <mergeCell ref="A10:D10"/>
    <mergeCell ref="A20:D20"/>
    <mergeCell ref="A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3"/>
  <sheetViews>
    <sheetView showGridLines="0" workbookViewId="0"/>
  </sheetViews>
  <sheetFormatPr defaultColWidth="8.6640625" defaultRowHeight="14.4" x14ac:dyDescent="0.3"/>
  <cols>
    <col min="1" max="1" width="8" customWidth="1"/>
    <col min="2" max="2" width="18" customWidth="1"/>
    <col min="3" max="4" width="14" customWidth="1"/>
  </cols>
  <sheetData>
    <row r="1" spans="1:4" ht="24" customHeight="1" x14ac:dyDescent="0.3">
      <c r="A1" s="65" t="s">
        <v>110</v>
      </c>
      <c r="B1" s="65"/>
      <c r="C1" s="65"/>
      <c r="D1" s="65"/>
    </row>
    <row r="2" spans="1:4" x14ac:dyDescent="0.3">
      <c r="A2" s="3" t="s">
        <v>111</v>
      </c>
      <c r="B2" s="3" t="s">
        <v>112</v>
      </c>
      <c r="C2" s="3" t="s">
        <v>113</v>
      </c>
      <c r="D2" s="3" t="s">
        <v>114</v>
      </c>
    </row>
    <row r="3" spans="1:4" x14ac:dyDescent="0.3">
      <c r="A3" s="6">
        <v>0</v>
      </c>
      <c r="B3" s="14">
        <v>3.7100000000000002E-4</v>
      </c>
      <c r="C3" s="14">
        <v>3.0921925034621497E-5</v>
      </c>
      <c r="D3" s="6" t="s">
        <v>115</v>
      </c>
    </row>
    <row r="4" spans="1:4" x14ac:dyDescent="0.3">
      <c r="A4" s="9">
        <v>1</v>
      </c>
      <c r="B4" s="15">
        <v>2.42E-4</v>
      </c>
      <c r="C4" s="15">
        <v>2.0168903832051802E-5</v>
      </c>
      <c r="D4" s="9" t="s">
        <v>115</v>
      </c>
    </row>
    <row r="5" spans="1:4" x14ac:dyDescent="0.3">
      <c r="A5" s="6">
        <v>2</v>
      </c>
      <c r="B5" s="14">
        <v>2.13E-4</v>
      </c>
      <c r="C5" s="14">
        <v>1.7751733079607299E-5</v>
      </c>
      <c r="D5" s="6" t="s">
        <v>115</v>
      </c>
    </row>
    <row r="6" spans="1:4" x14ac:dyDescent="0.3">
      <c r="A6" s="9">
        <v>3</v>
      </c>
      <c r="B6" s="15">
        <v>1.9900000000000001E-4</v>
      </c>
      <c r="C6" s="15">
        <v>1.6584846063816299E-5</v>
      </c>
      <c r="D6" s="9" t="s">
        <v>115</v>
      </c>
    </row>
    <row r="7" spans="1:4" x14ac:dyDescent="0.3">
      <c r="A7" s="6">
        <v>4</v>
      </c>
      <c r="B7" s="14">
        <v>1.92E-4</v>
      </c>
      <c r="C7" s="14">
        <v>1.6001408172705601E-5</v>
      </c>
      <c r="D7" s="6" t="s">
        <v>115</v>
      </c>
    </row>
    <row r="8" spans="1:4" x14ac:dyDescent="0.3">
      <c r="A8" s="9">
        <v>5</v>
      </c>
      <c r="B8" s="15">
        <v>1.8799999999999999E-4</v>
      </c>
      <c r="C8" s="15">
        <v>1.5668016773329199E-5</v>
      </c>
      <c r="D8" s="9" t="s">
        <v>115</v>
      </c>
    </row>
    <row r="9" spans="1:4" x14ac:dyDescent="0.3">
      <c r="A9" s="6">
        <v>6</v>
      </c>
      <c r="B9" s="14">
        <v>1.8599999999999999E-4</v>
      </c>
      <c r="C9" s="14">
        <v>1.5501321532052098E-5</v>
      </c>
      <c r="D9" s="6" t="s">
        <v>115</v>
      </c>
    </row>
    <row r="10" spans="1:4" x14ac:dyDescent="0.3">
      <c r="A10" s="9">
        <v>7</v>
      </c>
      <c r="B10" s="15">
        <v>1.8699999999999999E-4</v>
      </c>
      <c r="C10" s="15">
        <v>1.5584669114443501E-5</v>
      </c>
      <c r="D10" s="9" t="s">
        <v>115</v>
      </c>
    </row>
    <row r="11" spans="1:4" x14ac:dyDescent="0.3">
      <c r="A11" s="6">
        <v>8</v>
      </c>
      <c r="B11" s="14">
        <v>1.8900000000000001E-4</v>
      </c>
      <c r="C11" s="14">
        <v>1.5751364508487202E-5</v>
      </c>
      <c r="D11" s="6" t="s">
        <v>115</v>
      </c>
    </row>
    <row r="12" spans="1:4" x14ac:dyDescent="0.3">
      <c r="A12" s="9">
        <v>9</v>
      </c>
      <c r="B12" s="15">
        <v>1.9599999999999999E-4</v>
      </c>
      <c r="C12" s="15">
        <v>1.6334800794881601E-5</v>
      </c>
      <c r="D12" s="9" t="s">
        <v>115</v>
      </c>
    </row>
    <row r="13" spans="1:4" x14ac:dyDescent="0.3">
      <c r="A13" s="6">
        <v>10</v>
      </c>
      <c r="B13" s="14">
        <v>2.0900000000000001E-4</v>
      </c>
      <c r="C13" s="14">
        <v>1.7418335261032401E-5</v>
      </c>
      <c r="D13" s="6" t="s">
        <v>115</v>
      </c>
    </row>
    <row r="14" spans="1:4" x14ac:dyDescent="0.3">
      <c r="A14" s="9">
        <v>11</v>
      </c>
      <c r="B14" s="15">
        <v>2.33E-4</v>
      </c>
      <c r="C14" s="15">
        <v>1.9418740513588199E-5</v>
      </c>
      <c r="D14" s="9" t="s">
        <v>115</v>
      </c>
    </row>
    <row r="15" spans="1:4" x14ac:dyDescent="0.3">
      <c r="A15" s="6">
        <v>12</v>
      </c>
      <c r="B15" s="14">
        <v>2.7E-4</v>
      </c>
      <c r="C15" s="14">
        <v>2.25027848553827E-5</v>
      </c>
      <c r="D15" s="6" t="s">
        <v>115</v>
      </c>
    </row>
    <row r="16" spans="1:4" x14ac:dyDescent="0.3">
      <c r="A16" s="9">
        <v>13</v>
      </c>
      <c r="B16" s="15">
        <v>3.2400000000000001E-4</v>
      </c>
      <c r="C16" s="15">
        <v>2.70040103301783E-5</v>
      </c>
      <c r="D16" s="9" t="s">
        <v>115</v>
      </c>
    </row>
    <row r="17" spans="1:4" x14ac:dyDescent="0.3">
      <c r="A17" s="6">
        <v>14</v>
      </c>
      <c r="B17" s="14">
        <v>3.9399999999999998E-4</v>
      </c>
      <c r="C17" s="14">
        <v>3.28392639790121E-5</v>
      </c>
      <c r="D17" s="6" t="s">
        <v>115</v>
      </c>
    </row>
    <row r="18" spans="1:4" x14ac:dyDescent="0.3">
      <c r="A18" s="9">
        <v>15</v>
      </c>
      <c r="B18" s="15">
        <v>4.7600000000000002E-4</v>
      </c>
      <c r="C18" s="15">
        <v>3.9675323243781902E-5</v>
      </c>
      <c r="D18" s="9" t="s">
        <v>115</v>
      </c>
    </row>
    <row r="19" spans="1:4" x14ac:dyDescent="0.3">
      <c r="A19" s="6">
        <v>16</v>
      </c>
      <c r="B19" s="14">
        <v>5.6800000000000004E-4</v>
      </c>
      <c r="C19" s="14">
        <v>4.7345660251329997E-5</v>
      </c>
      <c r="D19" s="6" t="s">
        <v>115</v>
      </c>
    </row>
    <row r="20" spans="1:4" x14ac:dyDescent="0.3">
      <c r="A20" s="9">
        <v>17</v>
      </c>
      <c r="B20" s="15">
        <v>6.6200000000000005E-4</v>
      </c>
      <c r="C20" s="15">
        <v>5.5183412235648703E-5</v>
      </c>
      <c r="D20" s="9" t="s">
        <v>115</v>
      </c>
    </row>
    <row r="21" spans="1:4" x14ac:dyDescent="0.3">
      <c r="A21" s="16">
        <v>18</v>
      </c>
      <c r="B21" s="17">
        <v>7.5199999999999996E-4</v>
      </c>
      <c r="C21" s="17">
        <v>6.2688276160627305E-5</v>
      </c>
      <c r="D21" s="16">
        <v>3</v>
      </c>
    </row>
    <row r="22" spans="1:4" x14ac:dyDescent="0.3">
      <c r="A22" s="16">
        <v>19</v>
      </c>
      <c r="B22" s="17">
        <v>8.3299999999999997E-4</v>
      </c>
      <c r="C22" s="17">
        <v>6.9443183484674305E-5</v>
      </c>
      <c r="D22" s="16">
        <v>3</v>
      </c>
    </row>
    <row r="23" spans="1:4" x14ac:dyDescent="0.3">
      <c r="A23" s="16">
        <v>20</v>
      </c>
      <c r="B23" s="17">
        <v>9.0200000000000002E-4</v>
      </c>
      <c r="C23" s="17">
        <v>7.5197759739187298E-5</v>
      </c>
      <c r="D23" s="16">
        <v>3</v>
      </c>
    </row>
    <row r="24" spans="1:4" x14ac:dyDescent="0.3">
      <c r="A24" s="16">
        <v>21</v>
      </c>
      <c r="B24" s="17">
        <v>9.5699999999999995E-4</v>
      </c>
      <c r="C24" s="17">
        <v>7.9785001746213196E-5</v>
      </c>
      <c r="D24" s="16">
        <v>3</v>
      </c>
    </row>
    <row r="25" spans="1:4" x14ac:dyDescent="0.3">
      <c r="A25" s="16">
        <v>22</v>
      </c>
      <c r="B25" s="17">
        <v>9.9799999999999997E-4</v>
      </c>
      <c r="C25" s="17">
        <v>8.3204732759689702E-5</v>
      </c>
      <c r="D25" s="16">
        <v>3</v>
      </c>
    </row>
    <row r="26" spans="1:4" x14ac:dyDescent="0.3">
      <c r="A26" s="16">
        <v>23</v>
      </c>
      <c r="B26" s="17">
        <v>1.0250000000000001E-3</v>
      </c>
      <c r="C26" s="17">
        <v>8.5456821002805104E-5</v>
      </c>
      <c r="D26" s="16">
        <v>3</v>
      </c>
    </row>
    <row r="27" spans="1:4" x14ac:dyDescent="0.3">
      <c r="A27" s="16">
        <v>24</v>
      </c>
      <c r="B27" s="17">
        <v>1.0399999999999999E-3</v>
      </c>
      <c r="C27" s="17">
        <v>8.6708005247571106E-5</v>
      </c>
      <c r="D27" s="16">
        <v>3</v>
      </c>
    </row>
    <row r="28" spans="1:4" x14ac:dyDescent="0.3">
      <c r="A28" s="16">
        <v>25</v>
      </c>
      <c r="B28" s="17">
        <v>1.047E-3</v>
      </c>
      <c r="C28" s="17">
        <v>8.7291897122088194E-5</v>
      </c>
      <c r="D28" s="16">
        <v>3</v>
      </c>
    </row>
    <row r="29" spans="1:4" x14ac:dyDescent="0.3">
      <c r="A29" s="16">
        <v>26</v>
      </c>
      <c r="B29" s="17">
        <v>1.0480000000000001E-3</v>
      </c>
      <c r="C29" s="17">
        <v>8.7375310553139393E-5</v>
      </c>
      <c r="D29" s="16">
        <v>5</v>
      </c>
    </row>
    <row r="30" spans="1:4" x14ac:dyDescent="0.3">
      <c r="A30" s="16">
        <v>27</v>
      </c>
      <c r="B30" s="17">
        <v>1.0460000000000001E-3</v>
      </c>
      <c r="C30" s="17">
        <v>8.7208483767531306E-5</v>
      </c>
      <c r="D30" s="16">
        <v>5</v>
      </c>
    </row>
    <row r="31" spans="1:4" x14ac:dyDescent="0.3">
      <c r="A31" s="16">
        <v>28</v>
      </c>
      <c r="B31" s="17">
        <v>1.0430000000000001E-3</v>
      </c>
      <c r="C31" s="17">
        <v>8.6958244163048995E-5</v>
      </c>
      <c r="D31" s="16">
        <v>5</v>
      </c>
    </row>
    <row r="32" spans="1:4" x14ac:dyDescent="0.3">
      <c r="A32" s="16">
        <v>29</v>
      </c>
      <c r="B32" s="17">
        <v>1.042E-3</v>
      </c>
      <c r="C32" s="17">
        <v>8.6874831114691604E-5</v>
      </c>
      <c r="D32" s="16">
        <v>5</v>
      </c>
    </row>
    <row r="33" spans="1:4" x14ac:dyDescent="0.3">
      <c r="A33" s="16">
        <v>30</v>
      </c>
      <c r="B33" s="17">
        <v>1.0449999999999999E-3</v>
      </c>
      <c r="C33" s="17">
        <v>8.7125070489468798E-5</v>
      </c>
      <c r="D33" s="16">
        <v>5</v>
      </c>
    </row>
    <row r="34" spans="1:4" x14ac:dyDescent="0.3">
      <c r="A34" s="16">
        <v>31</v>
      </c>
      <c r="B34" s="17">
        <v>1.0529999999999999E-3</v>
      </c>
      <c r="C34" s="17">
        <v>8.7792378856810197E-5</v>
      </c>
      <c r="D34" s="16">
        <v>5</v>
      </c>
    </row>
    <row r="35" spans="1:4" x14ac:dyDescent="0.3">
      <c r="A35" s="16">
        <v>32</v>
      </c>
      <c r="B35" s="17">
        <v>1.0690000000000001E-3</v>
      </c>
      <c r="C35" s="17">
        <v>8.9127010287848294E-5</v>
      </c>
      <c r="D35" s="16">
        <v>5</v>
      </c>
    </row>
    <row r="36" spans="1:4" x14ac:dyDescent="0.3">
      <c r="A36" s="16">
        <v>33</v>
      </c>
      <c r="B36" s="17">
        <v>1.093E-3</v>
      </c>
      <c r="C36" s="17">
        <v>9.1128994176514807E-5</v>
      </c>
      <c r="D36" s="16">
        <v>5</v>
      </c>
    </row>
    <row r="37" spans="1:4" x14ac:dyDescent="0.3">
      <c r="A37" s="16">
        <v>34</v>
      </c>
      <c r="B37" s="17">
        <v>1.126E-3</v>
      </c>
      <c r="C37" s="17">
        <v>9.3881794018368895E-5</v>
      </c>
      <c r="D37" s="16">
        <v>5</v>
      </c>
    </row>
    <row r="38" spans="1:4" x14ac:dyDescent="0.3">
      <c r="A38" s="16">
        <v>35</v>
      </c>
      <c r="B38" s="17">
        <v>1.17E-3</v>
      </c>
      <c r="C38" s="17">
        <v>9.7552323490956994E-5</v>
      </c>
      <c r="D38" s="16">
        <v>5</v>
      </c>
    </row>
    <row r="39" spans="1:4" x14ac:dyDescent="0.3">
      <c r="A39" s="16">
        <v>36</v>
      </c>
      <c r="B39" s="17">
        <v>1.224E-3</v>
      </c>
      <c r="C39" s="17">
        <v>1.02057266787581E-4</v>
      </c>
      <c r="D39" s="16">
        <v>4</v>
      </c>
    </row>
    <row r="40" spans="1:4" x14ac:dyDescent="0.3">
      <c r="A40" s="16">
        <v>37</v>
      </c>
      <c r="B40" s="17">
        <v>1.2899999999999999E-3</v>
      </c>
      <c r="C40" s="17">
        <v>1.07563611807859E-4</v>
      </c>
      <c r="D40" s="16">
        <v>4</v>
      </c>
    </row>
    <row r="41" spans="1:4" x14ac:dyDescent="0.3">
      <c r="A41" s="16">
        <v>38</v>
      </c>
      <c r="B41" s="17">
        <v>1.3669999999999999E-3</v>
      </c>
      <c r="C41" s="17">
        <v>1.13988102601881E-4</v>
      </c>
      <c r="D41" s="16">
        <v>4</v>
      </c>
    </row>
    <row r="42" spans="1:4" x14ac:dyDescent="0.3">
      <c r="A42" s="16">
        <v>39</v>
      </c>
      <c r="B42" s="17">
        <v>1.4580000000000001E-3</v>
      </c>
      <c r="C42" s="17">
        <v>1.21581268086146E-4</v>
      </c>
      <c r="D42" s="16">
        <v>4</v>
      </c>
    </row>
    <row r="43" spans="1:4" x14ac:dyDescent="0.3">
      <c r="A43" s="16">
        <v>40</v>
      </c>
      <c r="B43" s="17">
        <v>1.5610000000000001E-3</v>
      </c>
      <c r="C43" s="17">
        <v>1.3017649546243101E-4</v>
      </c>
      <c r="D43" s="16">
        <v>4</v>
      </c>
    </row>
    <row r="44" spans="1:4" x14ac:dyDescent="0.3">
      <c r="A44" s="16">
        <v>41</v>
      </c>
      <c r="B44" s="17">
        <v>1.6789999999999999E-3</v>
      </c>
      <c r="C44" s="17">
        <v>1.40024454011956E-4</v>
      </c>
      <c r="D44" s="16">
        <v>4</v>
      </c>
    </row>
    <row r="45" spans="1:4" x14ac:dyDescent="0.3">
      <c r="A45" s="16">
        <v>42</v>
      </c>
      <c r="B45" s="17">
        <v>1.812E-3</v>
      </c>
      <c r="C45" s="17">
        <v>1.5112555086982399E-4</v>
      </c>
      <c r="D45" s="16">
        <v>4</v>
      </c>
    </row>
    <row r="46" spans="1:4" x14ac:dyDescent="0.3">
      <c r="A46" s="16">
        <v>43</v>
      </c>
      <c r="B46" s="17">
        <v>1.9599999999999999E-3</v>
      </c>
      <c r="C46" s="17">
        <v>1.6348024510992601E-4</v>
      </c>
      <c r="D46" s="16">
        <v>4</v>
      </c>
    </row>
    <row r="47" spans="1:4" x14ac:dyDescent="0.3">
      <c r="A47" s="16">
        <v>44</v>
      </c>
      <c r="B47" s="17">
        <v>2.1259999999999999E-3</v>
      </c>
      <c r="C47" s="17">
        <v>1.7733953566867499E-4</v>
      </c>
      <c r="D47" s="16">
        <v>4</v>
      </c>
    </row>
    <row r="48" spans="1:4" x14ac:dyDescent="0.3">
      <c r="A48" s="16">
        <v>45</v>
      </c>
      <c r="B48" s="17">
        <v>2.3110000000000001E-3</v>
      </c>
      <c r="C48" s="17">
        <v>1.9278762089280899E-4</v>
      </c>
      <c r="D48" s="16">
        <v>4</v>
      </c>
    </row>
    <row r="49" spans="1:4" x14ac:dyDescent="0.3">
      <c r="A49" s="16">
        <v>46</v>
      </c>
      <c r="B49" s="17">
        <v>2.5149999999999999E-3</v>
      </c>
      <c r="C49" s="17">
        <v>2.0982531068713999E-4</v>
      </c>
      <c r="D49" s="16">
        <v>3</v>
      </c>
    </row>
    <row r="50" spans="1:4" x14ac:dyDescent="0.3">
      <c r="A50" s="16">
        <v>47</v>
      </c>
      <c r="B50" s="17">
        <v>2.7399999999999998E-3</v>
      </c>
      <c r="C50" s="17">
        <v>2.2862058491890399E-4</v>
      </c>
      <c r="D50" s="16">
        <v>3</v>
      </c>
    </row>
    <row r="51" spans="1:4" x14ac:dyDescent="0.3">
      <c r="A51" s="16">
        <v>48</v>
      </c>
      <c r="B51" s="17">
        <v>2.9889999999999999E-3</v>
      </c>
      <c r="C51" s="17">
        <v>2.4942522017834502E-4</v>
      </c>
      <c r="D51" s="16">
        <v>3</v>
      </c>
    </row>
    <row r="52" spans="1:4" x14ac:dyDescent="0.3">
      <c r="A52" s="16">
        <v>49</v>
      </c>
      <c r="B52" s="17">
        <v>3.2629999999999998E-3</v>
      </c>
      <c r="C52" s="17">
        <v>2.7232417916123202E-4</v>
      </c>
      <c r="D52" s="16">
        <v>3</v>
      </c>
    </row>
    <row r="53" spans="1:4" x14ac:dyDescent="0.3">
      <c r="A53" s="16">
        <v>50</v>
      </c>
      <c r="B53" s="17">
        <v>3.565E-3</v>
      </c>
      <c r="C53" s="17">
        <v>2.9756986361917397E-4</v>
      </c>
      <c r="D53" s="16">
        <v>3</v>
      </c>
    </row>
    <row r="54" spans="1:4" x14ac:dyDescent="0.3">
      <c r="A54" s="16">
        <v>51</v>
      </c>
      <c r="B54" s="17">
        <v>3.8960000000000002E-3</v>
      </c>
      <c r="C54" s="17">
        <v>3.2524786027643399E-4</v>
      </c>
      <c r="D54" s="16">
        <v>3</v>
      </c>
    </row>
    <row r="55" spans="1:4" x14ac:dyDescent="0.3">
      <c r="A55" s="16">
        <v>52</v>
      </c>
      <c r="B55" s="17">
        <v>4.2599999999999999E-3</v>
      </c>
      <c r="C55" s="17">
        <v>3.5569502986876301E-4</v>
      </c>
      <c r="D55" s="16">
        <v>3</v>
      </c>
    </row>
    <row r="56" spans="1:4" x14ac:dyDescent="0.3">
      <c r="A56" s="16">
        <v>53</v>
      </c>
      <c r="B56" s="17">
        <v>4.6589999999999999E-3</v>
      </c>
      <c r="C56" s="17">
        <v>3.8908153552219598E-4</v>
      </c>
      <c r="D56" s="16">
        <v>3</v>
      </c>
    </row>
    <row r="57" spans="1:4" x14ac:dyDescent="0.3">
      <c r="A57" s="16">
        <v>54</v>
      </c>
      <c r="B57" s="17">
        <v>5.0980000000000001E-3</v>
      </c>
      <c r="C57" s="17">
        <v>4.2582923703005099E-4</v>
      </c>
      <c r="D57" s="16">
        <v>3</v>
      </c>
    </row>
    <row r="58" spans="1:4" x14ac:dyDescent="0.3">
      <c r="A58" s="16">
        <v>55</v>
      </c>
      <c r="B58" s="17">
        <v>5.5779999999999996E-3</v>
      </c>
      <c r="C58" s="17">
        <v>4.6602597086153901E-4</v>
      </c>
      <c r="D58" s="16">
        <v>3</v>
      </c>
    </row>
    <row r="59" spans="1:4" x14ac:dyDescent="0.3">
      <c r="A59" s="16">
        <v>56</v>
      </c>
      <c r="B59" s="17">
        <v>6.1060000000000003E-3</v>
      </c>
      <c r="C59" s="17">
        <v>5.1026292582334598E-4</v>
      </c>
      <c r="D59" s="16">
        <v>1.5</v>
      </c>
    </row>
    <row r="60" spans="1:4" x14ac:dyDescent="0.3">
      <c r="A60" s="16">
        <v>57</v>
      </c>
      <c r="B60" s="17">
        <v>6.6839999999999998E-3</v>
      </c>
      <c r="C60" s="17">
        <v>5.5871369196736098E-4</v>
      </c>
      <c r="D60" s="16">
        <v>1.5</v>
      </c>
    </row>
    <row r="61" spans="1:4" x14ac:dyDescent="0.3">
      <c r="A61" s="16">
        <v>58</v>
      </c>
      <c r="B61" s="17">
        <v>7.3179999999999999E-3</v>
      </c>
      <c r="C61" s="17">
        <v>6.1188837966585897E-4</v>
      </c>
      <c r="D61" s="16">
        <v>1.5</v>
      </c>
    </row>
    <row r="62" spans="1:4" x14ac:dyDescent="0.3">
      <c r="A62" s="16">
        <v>59</v>
      </c>
      <c r="B62" s="17">
        <v>8.0140000000000003E-3</v>
      </c>
      <c r="C62" s="17">
        <v>6.7029897421000395E-4</v>
      </c>
      <c r="D62" s="16">
        <v>1.5</v>
      </c>
    </row>
    <row r="63" spans="1:4" x14ac:dyDescent="0.3">
      <c r="A63" s="16">
        <v>60</v>
      </c>
      <c r="B63" s="17">
        <v>8.7760000000000008E-3</v>
      </c>
      <c r="C63" s="17">
        <v>7.3429159965077205E-4</v>
      </c>
      <c r="D63" s="16">
        <v>1.5</v>
      </c>
    </row>
    <row r="64" spans="1:4" x14ac:dyDescent="0.3">
      <c r="A64" s="16">
        <v>61</v>
      </c>
      <c r="B64" s="17">
        <v>9.6100000000000005E-3</v>
      </c>
      <c r="C64" s="17">
        <v>8.04382480263932E-4</v>
      </c>
      <c r="D64" s="16">
        <v>1.5</v>
      </c>
    </row>
    <row r="65" spans="1:4" x14ac:dyDescent="0.3">
      <c r="A65" s="16">
        <v>62</v>
      </c>
      <c r="B65" s="17">
        <v>1.0526000000000001E-2</v>
      </c>
      <c r="C65" s="17">
        <v>8.8142716313366299E-4</v>
      </c>
      <c r="D65" s="16">
        <v>1.5</v>
      </c>
    </row>
    <row r="66" spans="1:4" x14ac:dyDescent="0.3">
      <c r="A66" s="16">
        <v>63</v>
      </c>
      <c r="B66" s="17">
        <v>1.1528999999999999E-2</v>
      </c>
      <c r="C66" s="17">
        <v>9.6586443418689204E-4</v>
      </c>
      <c r="D66" s="16">
        <v>1.5</v>
      </c>
    </row>
    <row r="67" spans="1:4" x14ac:dyDescent="0.3">
      <c r="A67" s="16">
        <v>64</v>
      </c>
      <c r="B67" s="17">
        <v>1.2626999999999999E-2</v>
      </c>
      <c r="C67" s="17">
        <v>1.05838934985159E-3</v>
      </c>
      <c r="D67" s="16">
        <v>1.5</v>
      </c>
    </row>
    <row r="68" spans="1:4" x14ac:dyDescent="0.3">
      <c r="A68" s="16">
        <v>65</v>
      </c>
      <c r="B68" s="17">
        <v>1.3832000000000001E-2</v>
      </c>
      <c r="C68" s="17">
        <v>1.1600394249536899E-3</v>
      </c>
      <c r="D68" s="16">
        <v>1.5</v>
      </c>
    </row>
    <row r="69" spans="1:4" x14ac:dyDescent="0.3">
      <c r="A69" s="6">
        <v>66</v>
      </c>
      <c r="B69" s="14">
        <v>1.5151E-2</v>
      </c>
      <c r="C69" s="14">
        <v>1.2714367929725901E-3</v>
      </c>
      <c r="D69" s="6" t="s">
        <v>115</v>
      </c>
    </row>
    <row r="70" spans="1:4" x14ac:dyDescent="0.3">
      <c r="A70" s="9">
        <v>67</v>
      </c>
      <c r="B70" s="15">
        <v>1.6596E-2</v>
      </c>
      <c r="C70" s="15">
        <v>1.3936326984070901E-3</v>
      </c>
      <c r="D70" s="9" t="s">
        <v>115</v>
      </c>
    </row>
    <row r="71" spans="1:4" x14ac:dyDescent="0.3">
      <c r="A71" s="6">
        <v>68</v>
      </c>
      <c r="B71" s="14">
        <v>1.8179000000000001E-2</v>
      </c>
      <c r="C71" s="14">
        <v>1.52768758732913E-3</v>
      </c>
      <c r="D71" s="6" t="s">
        <v>115</v>
      </c>
    </row>
    <row r="72" spans="1:4" x14ac:dyDescent="0.3">
      <c r="A72" s="9">
        <v>69</v>
      </c>
      <c r="B72" s="15">
        <v>1.9914000000000001E-2</v>
      </c>
      <c r="C72" s="15">
        <v>1.6748422225746401E-3</v>
      </c>
      <c r="D72" s="9" t="s">
        <v>115</v>
      </c>
    </row>
    <row r="73" spans="1:4" x14ac:dyDescent="0.3">
      <c r="A73" s="6">
        <v>70</v>
      </c>
      <c r="B73" s="14">
        <v>2.1814E-2</v>
      </c>
      <c r="C73" s="14">
        <v>1.83626557937522E-3</v>
      </c>
      <c r="D73" s="6" t="s">
        <v>115</v>
      </c>
    </row>
    <row r="74" spans="1:4" x14ac:dyDescent="0.3">
      <c r="A74" s="9">
        <v>71</v>
      </c>
      <c r="B74" s="15">
        <v>2.3893999999999999E-2</v>
      </c>
      <c r="C74" s="15">
        <v>2.0133115563173401E-3</v>
      </c>
      <c r="D74" s="9" t="s">
        <v>115</v>
      </c>
    </row>
    <row r="75" spans="1:4" x14ac:dyDescent="0.3">
      <c r="A75" s="6">
        <v>72</v>
      </c>
      <c r="B75" s="14">
        <v>2.6171E-2</v>
      </c>
      <c r="C75" s="14">
        <v>2.20752278265046E-3</v>
      </c>
      <c r="D75" s="6" t="s">
        <v>115</v>
      </c>
    </row>
    <row r="76" spans="1:4" x14ac:dyDescent="0.3">
      <c r="A76" s="9">
        <v>73</v>
      </c>
      <c r="B76" s="15">
        <v>2.8663000000000001E-2</v>
      </c>
      <c r="C76" s="15">
        <v>2.4205495691053099E-3</v>
      </c>
      <c r="D76" s="9" t="s">
        <v>115</v>
      </c>
    </row>
    <row r="77" spans="1:4" x14ac:dyDescent="0.3">
      <c r="A77" s="6">
        <v>74</v>
      </c>
      <c r="B77" s="14">
        <v>3.1392000000000003E-2</v>
      </c>
      <c r="C77" s="14">
        <v>2.65441161146496E-3</v>
      </c>
      <c r="D77" s="6" t="s">
        <v>115</v>
      </c>
    </row>
    <row r="78" spans="1:4" x14ac:dyDescent="0.3">
      <c r="A78" s="9">
        <v>75</v>
      </c>
      <c r="B78" s="15">
        <v>3.4377999999999999E-2</v>
      </c>
      <c r="C78" s="15">
        <v>2.9109903020387898E-3</v>
      </c>
      <c r="D78" s="9" t="s">
        <v>115</v>
      </c>
    </row>
    <row r="79" spans="1:4" x14ac:dyDescent="0.3">
      <c r="A79" s="6">
        <v>76</v>
      </c>
      <c r="B79" s="14">
        <v>3.7645999999999999E-2</v>
      </c>
      <c r="C79" s="14">
        <v>3.1926353859893499E-3</v>
      </c>
      <c r="D79" s="6" t="s">
        <v>115</v>
      </c>
    </row>
    <row r="80" spans="1:4" x14ac:dyDescent="0.3">
      <c r="A80" s="9">
        <v>77</v>
      </c>
      <c r="B80" s="15">
        <v>4.1222000000000002E-2</v>
      </c>
      <c r="C80" s="15">
        <v>3.5018310738817999E-3</v>
      </c>
      <c r="D80" s="9" t="s">
        <v>115</v>
      </c>
    </row>
    <row r="81" spans="1:4" x14ac:dyDescent="0.3">
      <c r="A81" s="6">
        <v>78</v>
      </c>
      <c r="B81" s="14">
        <v>4.5130999999999998E-2</v>
      </c>
      <c r="C81" s="14">
        <v>3.84103101996913E-3</v>
      </c>
      <c r="D81" s="6" t="s">
        <v>115</v>
      </c>
    </row>
    <row r="82" spans="1:4" x14ac:dyDescent="0.3">
      <c r="A82" s="9">
        <v>79</v>
      </c>
      <c r="B82" s="15">
        <v>4.9411999999999998E-2</v>
      </c>
      <c r="C82" s="15">
        <v>4.21397439480842E-3</v>
      </c>
      <c r="D82" s="9" t="s">
        <v>115</v>
      </c>
    </row>
    <row r="83" spans="1:4" x14ac:dyDescent="0.3">
      <c r="A83" s="6">
        <v>80</v>
      </c>
      <c r="B83" s="14">
        <v>5.4094000000000003E-2</v>
      </c>
      <c r="C83" s="14">
        <v>4.6236180671362899E-3</v>
      </c>
      <c r="D83" s="6" t="s">
        <v>115</v>
      </c>
    </row>
    <row r="84" spans="1:4" x14ac:dyDescent="0.3">
      <c r="A84" s="9">
        <v>81</v>
      </c>
      <c r="B84" s="15">
        <v>5.9213000000000002E-2</v>
      </c>
      <c r="C84" s="15">
        <v>5.0736287746074903E-3</v>
      </c>
      <c r="D84" s="9" t="s">
        <v>115</v>
      </c>
    </row>
    <row r="85" spans="1:4" x14ac:dyDescent="0.3">
      <c r="A85" s="6">
        <v>82</v>
      </c>
      <c r="B85" s="14">
        <v>6.4809000000000005E-2</v>
      </c>
      <c r="C85" s="14">
        <v>5.5681477849877101E-3</v>
      </c>
      <c r="D85" s="6" t="s">
        <v>115</v>
      </c>
    </row>
    <row r="86" spans="1:4" x14ac:dyDescent="0.3">
      <c r="A86" s="9">
        <v>83</v>
      </c>
      <c r="B86" s="15">
        <v>7.0923E-2</v>
      </c>
      <c r="C86" s="15">
        <v>6.1115529173363398E-3</v>
      </c>
      <c r="D86" s="9" t="s">
        <v>115</v>
      </c>
    </row>
    <row r="87" spans="1:4" x14ac:dyDescent="0.3">
      <c r="A87" s="6">
        <v>84</v>
      </c>
      <c r="B87" s="14">
        <v>7.7605999999999994E-2</v>
      </c>
      <c r="C87" s="14">
        <v>6.7092927489119701E-3</v>
      </c>
      <c r="D87" s="6" t="s">
        <v>115</v>
      </c>
    </row>
    <row r="88" spans="1:4" x14ac:dyDescent="0.3">
      <c r="A88" s="9">
        <v>85</v>
      </c>
      <c r="B88" s="15">
        <v>8.4900000000000003E-2</v>
      </c>
      <c r="C88" s="15">
        <v>7.3662295287388897E-3</v>
      </c>
      <c r="D88" s="9" t="s">
        <v>115</v>
      </c>
    </row>
    <row r="89" spans="1:4" x14ac:dyDescent="0.3">
      <c r="A89" s="6">
        <v>86</v>
      </c>
      <c r="B89" s="14">
        <v>9.2858999999999997E-2</v>
      </c>
      <c r="C89" s="14">
        <v>8.0885587506061007E-3</v>
      </c>
      <c r="D89" s="6" t="s">
        <v>115</v>
      </c>
    </row>
    <row r="90" spans="1:4" x14ac:dyDescent="0.3">
      <c r="A90" s="9">
        <v>87</v>
      </c>
      <c r="B90" s="15">
        <v>0.10154199999999999</v>
      </c>
      <c r="C90" s="15">
        <v>8.8832518866023297E-3</v>
      </c>
      <c r="D90" s="9" t="s">
        <v>115</v>
      </c>
    </row>
    <row r="91" spans="1:4" x14ac:dyDescent="0.3">
      <c r="A91" s="6">
        <v>88</v>
      </c>
      <c r="B91" s="14">
        <v>0.111011</v>
      </c>
      <c r="C91" s="14">
        <v>9.7579473215432307E-3</v>
      </c>
      <c r="D91" s="6" t="s">
        <v>115</v>
      </c>
    </row>
    <row r="92" spans="1:4" x14ac:dyDescent="0.3">
      <c r="A92" s="9">
        <v>89</v>
      </c>
      <c r="B92" s="15">
        <v>0.121327</v>
      </c>
      <c r="C92" s="15">
        <v>1.07206583739095E-2</v>
      </c>
      <c r="D92" s="9" t="s">
        <v>115</v>
      </c>
    </row>
    <row r="93" spans="1:4" x14ac:dyDescent="0.3">
      <c r="A93" s="6">
        <v>90</v>
      </c>
      <c r="B93" s="14">
        <v>0.13256799999999999</v>
      </c>
      <c r="C93" s="14">
        <v>1.17815604734E-2</v>
      </c>
      <c r="D93" s="6" t="s">
        <v>115</v>
      </c>
    </row>
    <row r="94" spans="1:4" x14ac:dyDescent="0.3">
      <c r="A94" s="9">
        <v>91</v>
      </c>
      <c r="B94" s="15">
        <v>0.14480799999999999</v>
      </c>
      <c r="C94" s="15">
        <v>1.29511751322113E-2</v>
      </c>
      <c r="D94" s="9" t="s">
        <v>115</v>
      </c>
    </row>
    <row r="95" spans="1:4" x14ac:dyDescent="0.3">
      <c r="A95" s="6">
        <v>92</v>
      </c>
      <c r="B95" s="14">
        <v>0.15811800000000001</v>
      </c>
      <c r="C95" s="14">
        <v>1.42405813097285E-2</v>
      </c>
      <c r="D95" s="6" t="s">
        <v>115</v>
      </c>
    </row>
    <row r="96" spans="1:4" x14ac:dyDescent="0.3">
      <c r="A96" s="9">
        <v>93</v>
      </c>
      <c r="B96" s="15">
        <v>0.17258100000000001</v>
      </c>
      <c r="C96" s="15">
        <v>1.56630435621605E-2</v>
      </c>
      <c r="D96" s="9" t="s">
        <v>115</v>
      </c>
    </row>
    <row r="97" spans="1:4" x14ac:dyDescent="0.3">
      <c r="A97" s="6">
        <v>94</v>
      </c>
      <c r="B97" s="14">
        <v>0.188281</v>
      </c>
      <c r="C97" s="14">
        <v>1.7233201519373902E-2</v>
      </c>
      <c r="D97" s="6" t="s">
        <v>115</v>
      </c>
    </row>
    <row r="98" spans="1:4" x14ac:dyDescent="0.3">
      <c r="A98" s="9">
        <v>95</v>
      </c>
      <c r="B98" s="15">
        <v>0.20530000000000001</v>
      </c>
      <c r="C98" s="15">
        <v>1.89670346607199E-2</v>
      </c>
      <c r="D98" s="9" t="s">
        <v>115</v>
      </c>
    </row>
    <row r="99" spans="1:4" x14ac:dyDescent="0.3">
      <c r="A99" s="6">
        <v>96</v>
      </c>
      <c r="B99" s="14">
        <v>0.223746</v>
      </c>
      <c r="C99" s="14">
        <v>2.0885112124918E-2</v>
      </c>
      <c r="D99" s="6" t="s">
        <v>115</v>
      </c>
    </row>
    <row r="100" spans="1:4" x14ac:dyDescent="0.3">
      <c r="A100" s="9">
        <v>97</v>
      </c>
      <c r="B100" s="15">
        <v>0.243699</v>
      </c>
      <c r="C100" s="15">
        <v>2.3007515594245999E-2</v>
      </c>
      <c r="D100" s="9" t="s">
        <v>115</v>
      </c>
    </row>
    <row r="101" spans="1:4" x14ac:dyDescent="0.3">
      <c r="A101" s="6">
        <v>98</v>
      </c>
      <c r="B101" s="14">
        <v>0.26525500000000002</v>
      </c>
      <c r="C101" s="14">
        <v>2.53589031647189E-2</v>
      </c>
      <c r="D101" s="6" t="s">
        <v>115</v>
      </c>
    </row>
    <row r="102" spans="1:4" x14ac:dyDescent="0.3">
      <c r="A102" s="9">
        <v>99</v>
      </c>
      <c r="B102" s="15">
        <v>0.28854400000000002</v>
      </c>
      <c r="C102" s="15">
        <v>2.79714884149053E-2</v>
      </c>
      <c r="D102" s="9" t="s">
        <v>115</v>
      </c>
    </row>
    <row r="103" spans="1:4" x14ac:dyDescent="0.3">
      <c r="A103" s="6">
        <v>100</v>
      </c>
      <c r="B103" s="14">
        <v>0.31359599999999999</v>
      </c>
      <c r="C103" s="14">
        <v>3.0870863927467001E-2</v>
      </c>
      <c r="D103" s="6" t="s">
        <v>115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8"/>
  <sheetViews>
    <sheetView showGridLines="0" workbookViewId="0"/>
  </sheetViews>
  <sheetFormatPr defaultColWidth="8.6640625" defaultRowHeight="14.4" x14ac:dyDescent="0.3"/>
  <cols>
    <col min="1" max="1" width="8" customWidth="1"/>
    <col min="2" max="4" width="18" customWidth="1"/>
  </cols>
  <sheetData>
    <row r="1" spans="1:4" x14ac:dyDescent="0.3">
      <c r="A1" s="65" t="s">
        <v>116</v>
      </c>
      <c r="B1" s="65"/>
      <c r="C1" s="65"/>
      <c r="D1" s="65"/>
    </row>
    <row r="2" spans="1:4" x14ac:dyDescent="0.3">
      <c r="A2" s="3" t="s">
        <v>111</v>
      </c>
      <c r="B2" s="3" t="s">
        <v>117</v>
      </c>
      <c r="C2" s="3" t="s">
        <v>118</v>
      </c>
      <c r="D2" s="3" t="s">
        <v>119</v>
      </c>
    </row>
    <row r="3" spans="1:4" x14ac:dyDescent="0.3">
      <c r="A3" s="6">
        <v>15</v>
      </c>
      <c r="B3" s="14">
        <v>5.7499999999999999E-4</v>
      </c>
      <c r="C3" s="14">
        <v>2.875E-4</v>
      </c>
      <c r="D3" s="14">
        <v>5.7499999999999999E-4</v>
      </c>
    </row>
    <row r="4" spans="1:4" x14ac:dyDescent="0.3">
      <c r="A4" s="9">
        <v>16</v>
      </c>
      <c r="B4" s="15">
        <v>5.7300000000000005E-4</v>
      </c>
      <c r="C4" s="15">
        <v>2.8650000000000003E-4</v>
      </c>
      <c r="D4" s="15">
        <v>5.7300000000000005E-4</v>
      </c>
    </row>
    <row r="5" spans="1:4" x14ac:dyDescent="0.3">
      <c r="A5" s="6">
        <v>17</v>
      </c>
      <c r="B5" s="14">
        <v>5.7200000000000003E-4</v>
      </c>
      <c r="C5" s="14">
        <v>2.8600000000000001E-4</v>
      </c>
      <c r="D5" s="14">
        <v>5.7200000000000003E-4</v>
      </c>
    </row>
    <row r="6" spans="1:4" x14ac:dyDescent="0.3">
      <c r="A6" s="16">
        <v>18</v>
      </c>
      <c r="B6" s="17">
        <v>5.6999999999999998E-4</v>
      </c>
      <c r="C6" s="17">
        <v>2.8499999999999999E-4</v>
      </c>
      <c r="D6" s="17">
        <v>5.6999999999999998E-4</v>
      </c>
    </row>
    <row r="7" spans="1:4" x14ac:dyDescent="0.3">
      <c r="A7" s="16">
        <v>19</v>
      </c>
      <c r="B7" s="17">
        <v>5.6899999999999995E-4</v>
      </c>
      <c r="C7" s="17">
        <v>2.8449999999999998E-4</v>
      </c>
      <c r="D7" s="17">
        <v>5.6899999999999995E-4</v>
      </c>
    </row>
    <row r="8" spans="1:4" x14ac:dyDescent="0.3">
      <c r="A8" s="16">
        <v>20</v>
      </c>
      <c r="B8" s="17">
        <v>5.6899999999999995E-4</v>
      </c>
      <c r="C8" s="17">
        <v>2.8449999999999998E-4</v>
      </c>
      <c r="D8" s="17">
        <v>5.6899999999999995E-4</v>
      </c>
    </row>
    <row r="9" spans="1:4" x14ac:dyDescent="0.3">
      <c r="A9" s="16">
        <v>21</v>
      </c>
      <c r="B9" s="17">
        <v>5.6899999999999995E-4</v>
      </c>
      <c r="C9" s="17">
        <v>2.8449999999999998E-4</v>
      </c>
      <c r="D9" s="17">
        <v>5.6899999999999995E-4</v>
      </c>
    </row>
    <row r="10" spans="1:4" x14ac:dyDescent="0.3">
      <c r="A10" s="16">
        <v>22</v>
      </c>
      <c r="B10" s="17">
        <v>5.6899999999999995E-4</v>
      </c>
      <c r="C10" s="17">
        <v>2.8449999999999998E-4</v>
      </c>
      <c r="D10" s="17">
        <v>5.6899999999999995E-4</v>
      </c>
    </row>
    <row r="11" spans="1:4" x14ac:dyDescent="0.3">
      <c r="A11" s="16">
        <v>23</v>
      </c>
      <c r="B11" s="17">
        <v>5.6999999999999998E-4</v>
      </c>
      <c r="C11" s="17">
        <v>2.8499999999999999E-4</v>
      </c>
      <c r="D11" s="17">
        <v>5.6999999999999998E-4</v>
      </c>
    </row>
    <row r="12" spans="1:4" x14ac:dyDescent="0.3">
      <c r="A12" s="16">
        <v>24</v>
      </c>
      <c r="B12" s="17">
        <v>5.7200000000000003E-4</v>
      </c>
      <c r="C12" s="17">
        <v>2.8600000000000001E-4</v>
      </c>
      <c r="D12" s="17">
        <v>5.7200000000000003E-4</v>
      </c>
    </row>
    <row r="13" spans="1:4" x14ac:dyDescent="0.3">
      <c r="A13" s="16">
        <v>25</v>
      </c>
      <c r="B13" s="17">
        <v>5.7499999999999999E-4</v>
      </c>
      <c r="C13" s="17">
        <v>2.875E-4</v>
      </c>
      <c r="D13" s="17">
        <v>5.7499999999999999E-4</v>
      </c>
    </row>
    <row r="14" spans="1:4" x14ac:dyDescent="0.3">
      <c r="A14" s="16">
        <v>26</v>
      </c>
      <c r="B14" s="17">
        <v>5.7899999999999998E-4</v>
      </c>
      <c r="C14" s="17">
        <v>2.8949999999999999E-4</v>
      </c>
      <c r="D14" s="17">
        <v>5.7899999999999998E-4</v>
      </c>
    </row>
    <row r="15" spans="1:4" x14ac:dyDescent="0.3">
      <c r="A15" s="16">
        <v>27</v>
      </c>
      <c r="B15" s="17">
        <v>5.8299999999999997E-4</v>
      </c>
      <c r="C15" s="17">
        <v>2.9149999999999998E-4</v>
      </c>
      <c r="D15" s="17">
        <v>5.8299999999999997E-4</v>
      </c>
    </row>
    <row r="16" spans="1:4" x14ac:dyDescent="0.3">
      <c r="A16" s="16">
        <v>28</v>
      </c>
      <c r="B16" s="17">
        <v>5.8900000000000001E-4</v>
      </c>
      <c r="C16" s="17">
        <v>2.945E-4</v>
      </c>
      <c r="D16" s="17">
        <v>5.8900000000000001E-4</v>
      </c>
    </row>
    <row r="17" spans="1:4" x14ac:dyDescent="0.3">
      <c r="A17" s="16">
        <v>29</v>
      </c>
      <c r="B17" s="17">
        <v>5.9599999999999996E-4</v>
      </c>
      <c r="C17" s="17">
        <v>2.9799999999999998E-4</v>
      </c>
      <c r="D17" s="17">
        <v>5.9599999999999996E-4</v>
      </c>
    </row>
    <row r="18" spans="1:4" x14ac:dyDescent="0.3">
      <c r="A18" s="16">
        <v>30</v>
      </c>
      <c r="B18" s="17">
        <v>6.0499999999999996E-4</v>
      </c>
      <c r="C18" s="17">
        <v>3.0249999999999998E-4</v>
      </c>
      <c r="D18" s="17">
        <v>6.0499999999999996E-4</v>
      </c>
    </row>
    <row r="19" spans="1:4" x14ac:dyDescent="0.3">
      <c r="A19" s="16">
        <v>31</v>
      </c>
      <c r="B19" s="17">
        <v>6.1499999999999999E-4</v>
      </c>
      <c r="C19" s="17">
        <v>3.0749999999999999E-4</v>
      </c>
      <c r="D19" s="17">
        <v>6.1499999999999999E-4</v>
      </c>
    </row>
    <row r="20" spans="1:4" x14ac:dyDescent="0.3">
      <c r="A20" s="16">
        <v>32</v>
      </c>
      <c r="B20" s="17">
        <v>6.2799999999999998E-4</v>
      </c>
      <c r="C20" s="17">
        <v>3.1399999999999999E-4</v>
      </c>
      <c r="D20" s="17">
        <v>6.2799999999999998E-4</v>
      </c>
    </row>
    <row r="21" spans="1:4" x14ac:dyDescent="0.3">
      <c r="A21" s="16">
        <v>33</v>
      </c>
      <c r="B21" s="17">
        <v>6.4300000000000002E-4</v>
      </c>
      <c r="C21" s="17">
        <v>3.2150000000000001E-4</v>
      </c>
      <c r="D21" s="17">
        <v>6.4300000000000002E-4</v>
      </c>
    </row>
    <row r="22" spans="1:4" x14ac:dyDescent="0.3">
      <c r="A22" s="16">
        <v>34</v>
      </c>
      <c r="B22" s="17">
        <v>6.6E-4</v>
      </c>
      <c r="C22" s="17">
        <v>3.3E-4</v>
      </c>
      <c r="D22" s="17">
        <v>6.6E-4</v>
      </c>
    </row>
    <row r="23" spans="1:4" x14ac:dyDescent="0.3">
      <c r="A23" s="16">
        <v>35</v>
      </c>
      <c r="B23" s="17">
        <v>6.8099999999999996E-4</v>
      </c>
      <c r="C23" s="17">
        <v>3.4049999999999998E-4</v>
      </c>
      <c r="D23" s="17">
        <v>6.8099999999999996E-4</v>
      </c>
    </row>
    <row r="24" spans="1:4" x14ac:dyDescent="0.3">
      <c r="A24" s="16">
        <v>36</v>
      </c>
      <c r="B24" s="17">
        <v>7.0399999999999998E-4</v>
      </c>
      <c r="C24" s="17">
        <v>3.5199999999999999E-4</v>
      </c>
      <c r="D24" s="17">
        <v>7.0399999999999998E-4</v>
      </c>
    </row>
    <row r="25" spans="1:4" x14ac:dyDescent="0.3">
      <c r="A25" s="16">
        <v>37</v>
      </c>
      <c r="B25" s="17">
        <v>7.3200000000000001E-4</v>
      </c>
      <c r="C25" s="17">
        <v>3.6600000000000001E-4</v>
      </c>
      <c r="D25" s="17">
        <v>7.3200000000000001E-4</v>
      </c>
    </row>
    <row r="26" spans="1:4" x14ac:dyDescent="0.3">
      <c r="A26" s="16">
        <v>38</v>
      </c>
      <c r="B26" s="17">
        <v>7.6400000000000003E-4</v>
      </c>
      <c r="C26" s="17">
        <v>3.8200000000000002E-4</v>
      </c>
      <c r="D26" s="17">
        <v>7.6400000000000003E-4</v>
      </c>
    </row>
    <row r="27" spans="1:4" x14ac:dyDescent="0.3">
      <c r="A27" s="16">
        <v>39</v>
      </c>
      <c r="B27" s="17">
        <v>8.0099999999999995E-4</v>
      </c>
      <c r="C27" s="17">
        <v>4.0049999999999998E-4</v>
      </c>
      <c r="D27" s="17">
        <v>8.0099999999999995E-4</v>
      </c>
    </row>
    <row r="28" spans="1:4" x14ac:dyDescent="0.3">
      <c r="A28" s="16">
        <v>40</v>
      </c>
      <c r="B28" s="17">
        <v>8.4400000000000002E-4</v>
      </c>
      <c r="C28" s="17">
        <v>4.2200000000000001E-4</v>
      </c>
      <c r="D28" s="17">
        <v>8.4400000000000002E-4</v>
      </c>
    </row>
    <row r="29" spans="1:4" x14ac:dyDescent="0.3">
      <c r="A29" s="16">
        <v>41</v>
      </c>
      <c r="B29" s="17">
        <v>8.9300000000000002E-4</v>
      </c>
      <c r="C29" s="17">
        <v>4.4650000000000001E-4</v>
      </c>
      <c r="D29" s="17">
        <v>8.9300000000000002E-4</v>
      </c>
    </row>
    <row r="30" spans="1:4" x14ac:dyDescent="0.3">
      <c r="A30" s="16">
        <v>42</v>
      </c>
      <c r="B30" s="17">
        <v>9.4899999999999997E-4</v>
      </c>
      <c r="C30" s="17">
        <v>4.7449999999999999E-4</v>
      </c>
      <c r="D30" s="17">
        <v>9.4899999999999997E-4</v>
      </c>
    </row>
    <row r="31" spans="1:4" x14ac:dyDescent="0.3">
      <c r="A31" s="16">
        <v>43</v>
      </c>
      <c r="B31" s="17">
        <v>1.0139999999999999E-3</v>
      </c>
      <c r="C31" s="17">
        <v>5.0699999999999996E-4</v>
      </c>
      <c r="D31" s="17">
        <v>1.0139999999999999E-3</v>
      </c>
    </row>
    <row r="32" spans="1:4" x14ac:dyDescent="0.3">
      <c r="A32" s="16">
        <v>44</v>
      </c>
      <c r="B32" s="17">
        <v>1.088E-3</v>
      </c>
      <c r="C32" s="17">
        <v>5.44E-4</v>
      </c>
      <c r="D32" s="17">
        <v>1.088E-3</v>
      </c>
    </row>
    <row r="33" spans="1:4" x14ac:dyDescent="0.3">
      <c r="A33" s="16">
        <v>45</v>
      </c>
      <c r="B33" s="17">
        <v>1.1739999999999999E-3</v>
      </c>
      <c r="C33" s="17">
        <v>5.8699999999999996E-4</v>
      </c>
      <c r="D33" s="17">
        <v>1.1739999999999999E-3</v>
      </c>
    </row>
    <row r="34" spans="1:4" x14ac:dyDescent="0.3">
      <c r="A34" s="16">
        <v>46</v>
      </c>
      <c r="B34" s="17">
        <v>1.271E-3</v>
      </c>
      <c r="C34" s="17">
        <v>6.355E-4</v>
      </c>
      <c r="D34" s="17">
        <v>1.271E-3</v>
      </c>
    </row>
    <row r="35" spans="1:4" x14ac:dyDescent="0.3">
      <c r="A35" s="16">
        <v>47</v>
      </c>
      <c r="B35" s="17">
        <v>1.3829999999999999E-3</v>
      </c>
      <c r="C35" s="17">
        <v>6.9149999999999995E-4</v>
      </c>
      <c r="D35" s="17">
        <v>1.3829999999999999E-3</v>
      </c>
    </row>
    <row r="36" spans="1:4" x14ac:dyDescent="0.3">
      <c r="A36" s="16">
        <v>48</v>
      </c>
      <c r="B36" s="17">
        <v>1.511E-3</v>
      </c>
      <c r="C36" s="17">
        <v>7.5549999999999999E-4</v>
      </c>
      <c r="D36" s="17">
        <v>1.511E-3</v>
      </c>
    </row>
    <row r="37" spans="1:4" x14ac:dyDescent="0.3">
      <c r="A37" s="16">
        <v>49</v>
      </c>
      <c r="B37" s="17">
        <v>1.6570000000000001E-3</v>
      </c>
      <c r="C37" s="17">
        <v>8.2850000000000003E-4</v>
      </c>
      <c r="D37" s="17">
        <v>1.6570000000000001E-3</v>
      </c>
    </row>
    <row r="38" spans="1:4" x14ac:dyDescent="0.3">
      <c r="A38" s="16">
        <v>50</v>
      </c>
      <c r="B38" s="17">
        <v>1.823E-3</v>
      </c>
      <c r="C38" s="17">
        <v>9.1149999999999998E-4</v>
      </c>
      <c r="D38" s="17">
        <v>1.823E-3</v>
      </c>
    </row>
    <row r="39" spans="1:4" x14ac:dyDescent="0.3">
      <c r="A39" s="16">
        <v>51</v>
      </c>
      <c r="B39" s="17">
        <v>2.0140000000000002E-3</v>
      </c>
      <c r="C39" s="17">
        <v>1.0070000000000001E-3</v>
      </c>
      <c r="D39" s="17">
        <v>2.0140000000000002E-3</v>
      </c>
    </row>
    <row r="40" spans="1:4" x14ac:dyDescent="0.3">
      <c r="A40" s="16">
        <v>52</v>
      </c>
      <c r="B40" s="17">
        <v>2.2309999999999999E-3</v>
      </c>
      <c r="C40" s="17">
        <v>1.1155E-3</v>
      </c>
      <c r="D40" s="17">
        <v>2.2309999999999999E-3</v>
      </c>
    </row>
    <row r="41" spans="1:4" x14ac:dyDescent="0.3">
      <c r="A41" s="16">
        <v>53</v>
      </c>
      <c r="B41" s="17">
        <v>2.4789999999999999E-3</v>
      </c>
      <c r="C41" s="17">
        <v>1.2394999999999999E-3</v>
      </c>
      <c r="D41" s="17">
        <v>2.4789999999999999E-3</v>
      </c>
    </row>
    <row r="42" spans="1:4" x14ac:dyDescent="0.3">
      <c r="A42" s="16">
        <v>54</v>
      </c>
      <c r="B42" s="17">
        <v>2.7620000000000001E-3</v>
      </c>
      <c r="C42" s="17">
        <v>1.3810000000000001E-3</v>
      </c>
      <c r="D42" s="17">
        <v>2.7620000000000001E-3</v>
      </c>
    </row>
    <row r="43" spans="1:4" x14ac:dyDescent="0.3">
      <c r="A43" s="16">
        <v>55</v>
      </c>
      <c r="B43" s="17">
        <v>3.0890000000000002E-3</v>
      </c>
      <c r="C43" s="17">
        <v>1.5445000000000001E-3</v>
      </c>
      <c r="D43" s="17">
        <v>3.0890000000000002E-3</v>
      </c>
    </row>
    <row r="44" spans="1:4" x14ac:dyDescent="0.3">
      <c r="A44" s="16">
        <v>56</v>
      </c>
      <c r="B44" s="17">
        <v>3.4520000000000002E-3</v>
      </c>
      <c r="C44" s="17">
        <v>1.7260000000000001E-3</v>
      </c>
      <c r="D44" s="17">
        <v>3.4520000000000002E-3</v>
      </c>
    </row>
    <row r="45" spans="1:4" x14ac:dyDescent="0.3">
      <c r="A45" s="16">
        <v>57</v>
      </c>
      <c r="B45" s="17">
        <v>3.872E-3</v>
      </c>
      <c r="C45" s="17">
        <v>1.936E-3</v>
      </c>
      <c r="D45" s="17">
        <v>3.872E-3</v>
      </c>
    </row>
    <row r="46" spans="1:4" x14ac:dyDescent="0.3">
      <c r="A46" s="16">
        <v>58</v>
      </c>
      <c r="B46" s="17">
        <v>4.3499999999999997E-3</v>
      </c>
      <c r="C46" s="17">
        <v>2.1749999999999999E-3</v>
      </c>
      <c r="D46" s="17">
        <v>4.3499999999999997E-3</v>
      </c>
    </row>
    <row r="47" spans="1:4" x14ac:dyDescent="0.3">
      <c r="A47" s="16">
        <v>59</v>
      </c>
      <c r="B47" s="17">
        <v>4.895E-3</v>
      </c>
      <c r="C47" s="17">
        <v>2.4475E-3</v>
      </c>
      <c r="D47" s="17">
        <v>4.895E-3</v>
      </c>
    </row>
    <row r="48" spans="1:4" x14ac:dyDescent="0.3">
      <c r="A48" s="16">
        <v>60</v>
      </c>
      <c r="B48" s="17">
        <v>5.5160000000000001E-3</v>
      </c>
      <c r="C48" s="17">
        <v>2.758E-3</v>
      </c>
      <c r="D48" s="17">
        <v>5.5160000000000001E-3</v>
      </c>
    </row>
    <row r="49" spans="1:4" x14ac:dyDescent="0.3">
      <c r="A49" s="16">
        <v>61</v>
      </c>
      <c r="B49" s="17">
        <v>6.2230000000000002E-3</v>
      </c>
      <c r="C49" s="17">
        <v>3.1115000000000001E-3</v>
      </c>
      <c r="D49" s="17">
        <v>6.2230000000000002E-3</v>
      </c>
    </row>
    <row r="50" spans="1:4" x14ac:dyDescent="0.3">
      <c r="A50" s="16">
        <v>62</v>
      </c>
      <c r="B50" s="17">
        <v>7.0289999999999997E-3</v>
      </c>
      <c r="C50" s="17">
        <v>3.5144999999999998E-3</v>
      </c>
      <c r="D50" s="17">
        <v>7.0289999999999997E-3</v>
      </c>
    </row>
    <row r="51" spans="1:4" x14ac:dyDescent="0.3">
      <c r="A51" s="16">
        <v>63</v>
      </c>
      <c r="B51" s="17">
        <v>7.9469999999999992E-3</v>
      </c>
      <c r="C51" s="17">
        <v>3.9734999999999996E-3</v>
      </c>
      <c r="D51" s="17">
        <v>7.9469999999999992E-3</v>
      </c>
    </row>
    <row r="52" spans="1:4" x14ac:dyDescent="0.3">
      <c r="A52" s="16">
        <v>64</v>
      </c>
      <c r="B52" s="17">
        <v>8.9929999999999993E-3</v>
      </c>
      <c r="C52" s="17">
        <v>4.4964999999999996E-3</v>
      </c>
      <c r="D52" s="17">
        <v>8.9929999999999993E-3</v>
      </c>
    </row>
    <row r="53" spans="1:4" x14ac:dyDescent="0.3">
      <c r="A53" s="16">
        <v>65</v>
      </c>
      <c r="B53" s="17">
        <v>1.0182999999999999E-2</v>
      </c>
      <c r="C53" s="17">
        <v>5.0914999999999997E-3</v>
      </c>
      <c r="D53" s="17">
        <v>1.0182999999999999E-2</v>
      </c>
    </row>
    <row r="54" spans="1:4" x14ac:dyDescent="0.3">
      <c r="A54" s="9">
        <v>66</v>
      </c>
      <c r="B54" s="15">
        <v>1.1542E-2</v>
      </c>
      <c r="C54" s="15">
        <v>5.7710000000000001E-3</v>
      </c>
      <c r="D54" s="15">
        <v>1.1542E-2</v>
      </c>
    </row>
    <row r="55" spans="1:4" x14ac:dyDescent="0.3">
      <c r="A55" s="6">
        <v>67</v>
      </c>
      <c r="B55" s="14">
        <v>1.3087E-2</v>
      </c>
      <c r="C55" s="14">
        <v>6.5434999999999998E-3</v>
      </c>
      <c r="D55" s="14">
        <v>1.3087E-2</v>
      </c>
    </row>
    <row r="56" spans="1:4" x14ac:dyDescent="0.3">
      <c r="A56" s="9">
        <v>68</v>
      </c>
      <c r="B56" s="15">
        <v>1.4847000000000001E-2</v>
      </c>
      <c r="C56" s="15">
        <v>7.4235000000000004E-3</v>
      </c>
      <c r="D56" s="15">
        <v>1.4847000000000001E-2</v>
      </c>
    </row>
    <row r="57" spans="1:4" x14ac:dyDescent="0.3">
      <c r="A57" s="6">
        <v>69</v>
      </c>
      <c r="B57" s="14">
        <v>1.6851999999999999E-2</v>
      </c>
      <c r="C57" s="14">
        <v>8.4259999999999995E-3</v>
      </c>
      <c r="D57" s="14">
        <v>1.6851999999999999E-2</v>
      </c>
    </row>
    <row r="58" spans="1:4" x14ac:dyDescent="0.3">
      <c r="A58" s="9">
        <v>70</v>
      </c>
      <c r="B58" s="15">
        <v>1.9134999999999999E-2</v>
      </c>
      <c r="C58" s="15">
        <v>9.5674999999999996E-3</v>
      </c>
      <c r="D58" s="15">
        <v>1.9134999999999999E-2</v>
      </c>
    </row>
    <row r="59" spans="1:4" x14ac:dyDescent="0.3">
      <c r="A59" s="6">
        <v>71</v>
      </c>
      <c r="B59" s="14">
        <v>2.1734E-2</v>
      </c>
      <c r="C59" s="14">
        <v>1.0867E-2</v>
      </c>
      <c r="D59" s="14">
        <v>2.1734E-2</v>
      </c>
    </row>
    <row r="60" spans="1:4" x14ac:dyDescent="0.3">
      <c r="A60" s="9">
        <v>72</v>
      </c>
      <c r="B60" s="15">
        <v>2.4695000000000002E-2</v>
      </c>
      <c r="C60" s="15">
        <v>1.2347500000000001E-2</v>
      </c>
      <c r="D60" s="15">
        <v>2.4695000000000002E-2</v>
      </c>
    </row>
    <row r="61" spans="1:4" x14ac:dyDescent="0.3">
      <c r="A61" s="6">
        <v>73</v>
      </c>
      <c r="B61" s="14">
        <v>2.8066000000000001E-2</v>
      </c>
      <c r="C61" s="14">
        <v>1.4033E-2</v>
      </c>
      <c r="D61" s="14">
        <v>2.8066000000000001E-2</v>
      </c>
    </row>
    <row r="62" spans="1:4" x14ac:dyDescent="0.3">
      <c r="A62" s="9">
        <v>74</v>
      </c>
      <c r="B62" s="15">
        <v>3.1904000000000002E-2</v>
      </c>
      <c r="C62" s="15">
        <v>1.5952000000000001E-2</v>
      </c>
      <c r="D62" s="15">
        <v>3.1904000000000002E-2</v>
      </c>
    </row>
    <row r="63" spans="1:4" x14ac:dyDescent="0.3">
      <c r="A63" s="6">
        <v>75</v>
      </c>
      <c r="B63" s="14">
        <v>3.6275000000000002E-2</v>
      </c>
      <c r="C63" s="14">
        <v>1.8137500000000001E-2</v>
      </c>
      <c r="D63" s="14">
        <v>3.6275000000000002E-2</v>
      </c>
    </row>
    <row r="64" spans="1:4" x14ac:dyDescent="0.3">
      <c r="A64" s="9">
        <v>76</v>
      </c>
      <c r="B64" s="15">
        <v>4.1251999999999997E-2</v>
      </c>
      <c r="C64" s="15">
        <v>2.0625999999999999E-2</v>
      </c>
      <c r="D64" s="15">
        <v>4.1251999999999997E-2</v>
      </c>
    </row>
    <row r="65" spans="1:4" x14ac:dyDescent="0.3">
      <c r="A65" s="6">
        <v>77</v>
      </c>
      <c r="B65" s="14">
        <v>4.6919000000000002E-2</v>
      </c>
      <c r="C65" s="14">
        <v>2.3459500000000001E-2</v>
      </c>
      <c r="D65" s="14">
        <v>4.6919000000000002E-2</v>
      </c>
    </row>
    <row r="66" spans="1:4" x14ac:dyDescent="0.3">
      <c r="A66" s="9">
        <v>78</v>
      </c>
      <c r="B66" s="15">
        <v>5.5370999999999997E-2</v>
      </c>
      <c r="C66" s="15">
        <v>2.7685499999999998E-2</v>
      </c>
      <c r="D66" s="15">
        <v>5.5370999999999997E-2</v>
      </c>
    </row>
    <row r="67" spans="1:4" x14ac:dyDescent="0.3">
      <c r="A67" s="6">
        <v>79</v>
      </c>
      <c r="B67" s="14">
        <v>6.0718000000000001E-2</v>
      </c>
      <c r="C67" s="14">
        <v>3.0359000000000001E-2</v>
      </c>
      <c r="D67" s="14">
        <v>6.0718000000000001E-2</v>
      </c>
    </row>
    <row r="68" spans="1:4" x14ac:dyDescent="0.3">
      <c r="A68" s="9">
        <v>80</v>
      </c>
      <c r="B68" s="15">
        <v>6.9084000000000007E-2</v>
      </c>
      <c r="C68" s="15">
        <v>3.4542000000000003E-2</v>
      </c>
      <c r="D68" s="15">
        <v>6.9084000000000007E-2</v>
      </c>
    </row>
    <row r="69" spans="1:4" x14ac:dyDescent="0.3">
      <c r="A69" s="6">
        <v>81</v>
      </c>
      <c r="B69" s="14">
        <v>7.8607999999999997E-2</v>
      </c>
      <c r="C69" s="14">
        <v>3.9303999999999999E-2</v>
      </c>
      <c r="D69" s="14">
        <v>7.8607999999999997E-2</v>
      </c>
    </row>
    <row r="70" spans="1:4" x14ac:dyDescent="0.3">
      <c r="A70" s="9">
        <v>82</v>
      </c>
      <c r="B70" s="15">
        <v>8.9453000000000005E-2</v>
      </c>
      <c r="C70" s="15">
        <v>4.4726500000000002E-2</v>
      </c>
      <c r="D70" s="15">
        <v>8.9453000000000005E-2</v>
      </c>
    </row>
    <row r="71" spans="1:4" x14ac:dyDescent="0.3">
      <c r="A71" s="6">
        <v>83</v>
      </c>
      <c r="B71" s="14">
        <v>0.1018</v>
      </c>
      <c r="C71" s="14">
        <v>5.0900000000000001E-2</v>
      </c>
      <c r="D71" s="14">
        <v>0.1018</v>
      </c>
    </row>
    <row r="72" spans="1:4" x14ac:dyDescent="0.3">
      <c r="A72" s="9">
        <v>84</v>
      </c>
      <c r="B72" s="15">
        <v>0.115859</v>
      </c>
      <c r="C72" s="15">
        <v>5.7929500000000002E-2</v>
      </c>
      <c r="D72" s="15">
        <v>0.115859</v>
      </c>
    </row>
    <row r="73" spans="1:4" x14ac:dyDescent="0.3">
      <c r="A73" s="6">
        <v>85</v>
      </c>
      <c r="B73" s="14">
        <v>0.13180500000000001</v>
      </c>
      <c r="C73" s="14">
        <v>6.5902500000000003E-2</v>
      </c>
      <c r="D73" s="14">
        <v>0.13180500000000001</v>
      </c>
    </row>
    <row r="74" spans="1:4" x14ac:dyDescent="0.3">
      <c r="A74" s="9">
        <v>86</v>
      </c>
      <c r="B74" s="15">
        <v>0.15009</v>
      </c>
      <c r="C74" s="15">
        <v>7.5045000000000001E-2</v>
      </c>
      <c r="D74" s="15">
        <v>0.15009</v>
      </c>
    </row>
    <row r="75" spans="1:4" x14ac:dyDescent="0.3">
      <c r="A75" s="6">
        <v>87</v>
      </c>
      <c r="B75" s="14">
        <v>0.17083999999999999</v>
      </c>
      <c r="C75" s="14">
        <v>8.5419999999999996E-2</v>
      </c>
      <c r="D75" s="14">
        <v>0.17083999999999999</v>
      </c>
    </row>
    <row r="76" spans="1:4" x14ac:dyDescent="0.3">
      <c r="A76" s="9">
        <v>88</v>
      </c>
      <c r="B76" s="15">
        <v>0.194465</v>
      </c>
      <c r="C76" s="15">
        <v>9.7232499999999999E-2</v>
      </c>
      <c r="D76" s="15">
        <v>0.194465</v>
      </c>
    </row>
    <row r="77" spans="1:4" x14ac:dyDescent="0.3">
      <c r="A77" s="6">
        <v>89</v>
      </c>
      <c r="B77" s="14">
        <v>0.221363</v>
      </c>
      <c r="C77" s="14">
        <v>0.1106815</v>
      </c>
      <c r="D77" s="14">
        <v>0.221363</v>
      </c>
    </row>
    <row r="78" spans="1:4" x14ac:dyDescent="0.3">
      <c r="A78" s="9">
        <v>90</v>
      </c>
      <c r="B78" s="15">
        <v>0.25198799999999999</v>
      </c>
      <c r="C78" s="15">
        <v>0.12599399999999999</v>
      </c>
      <c r="D78" s="15">
        <v>0.25198799999999999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7"/>
  <sheetViews>
    <sheetView showGridLines="0" workbookViewId="0"/>
  </sheetViews>
  <sheetFormatPr defaultColWidth="8.6640625" defaultRowHeight="14.4" x14ac:dyDescent="0.3"/>
  <cols>
    <col min="1" max="1" width="8" customWidth="1"/>
    <col min="2" max="2" width="14" customWidth="1"/>
    <col min="3" max="4" width="18" customWidth="1"/>
  </cols>
  <sheetData>
    <row r="1" spans="1:4" x14ac:dyDescent="0.3">
      <c r="A1" s="65" t="s">
        <v>120</v>
      </c>
      <c r="B1" s="65"/>
      <c r="C1" s="65"/>
      <c r="D1" s="65"/>
    </row>
    <row r="2" spans="1:4" x14ac:dyDescent="0.3">
      <c r="A2" s="3" t="s">
        <v>111</v>
      </c>
      <c r="B2" s="3" t="s">
        <v>121</v>
      </c>
      <c r="C2" s="3" t="s">
        <v>122</v>
      </c>
      <c r="D2" s="3" t="s">
        <v>123</v>
      </c>
    </row>
    <row r="3" spans="1:4" x14ac:dyDescent="0.3">
      <c r="A3" s="6">
        <v>16</v>
      </c>
      <c r="B3" s="18">
        <v>6.87</v>
      </c>
      <c r="C3" s="14">
        <v>1.88219178082192E-2</v>
      </c>
      <c r="D3" s="14">
        <v>1.5821890675127299E-3</v>
      </c>
    </row>
    <row r="4" spans="1:4" x14ac:dyDescent="0.3">
      <c r="A4" s="9">
        <v>17</v>
      </c>
      <c r="B4" s="19">
        <v>6.65</v>
      </c>
      <c r="C4" s="15">
        <v>1.8219178082191801E-2</v>
      </c>
      <c r="D4" s="15">
        <v>1.53109260846507E-3</v>
      </c>
    </row>
    <row r="5" spans="1:4" x14ac:dyDescent="0.3">
      <c r="A5" s="16">
        <v>18</v>
      </c>
      <c r="B5" s="20">
        <v>6.36</v>
      </c>
      <c r="C5" s="17">
        <v>1.7424657534246601E-2</v>
      </c>
      <c r="D5" s="17">
        <v>1.46378210231013E-3</v>
      </c>
    </row>
    <row r="6" spans="1:4" x14ac:dyDescent="0.3">
      <c r="A6" s="16">
        <v>19</v>
      </c>
      <c r="B6" s="20">
        <v>5.9</v>
      </c>
      <c r="C6" s="17">
        <v>1.6164383561643798E-2</v>
      </c>
      <c r="D6" s="17">
        <v>1.3571159799683501E-3</v>
      </c>
    </row>
    <row r="7" spans="1:4" x14ac:dyDescent="0.3">
      <c r="A7" s="16">
        <v>20</v>
      </c>
      <c r="B7" s="20">
        <v>5.39</v>
      </c>
      <c r="C7" s="17">
        <v>1.4767123287671199E-2</v>
      </c>
      <c r="D7" s="17">
        <v>1.23900202700522E-3</v>
      </c>
    </row>
    <row r="8" spans="1:4" x14ac:dyDescent="0.3">
      <c r="A8" s="16">
        <v>21</v>
      </c>
      <c r="B8" s="20">
        <v>5.12</v>
      </c>
      <c r="C8" s="17">
        <v>1.4027397260274001E-2</v>
      </c>
      <c r="D8" s="17">
        <v>1.1765332608636399E-3</v>
      </c>
    </row>
    <row r="9" spans="1:4" x14ac:dyDescent="0.3">
      <c r="A9" s="16">
        <v>22</v>
      </c>
      <c r="B9" s="20">
        <v>4.96</v>
      </c>
      <c r="C9" s="17">
        <v>1.3589041095890399E-2</v>
      </c>
      <c r="D9" s="17">
        <v>1.1395350024571199E-3</v>
      </c>
    </row>
    <row r="10" spans="1:4" x14ac:dyDescent="0.3">
      <c r="A10" s="16">
        <v>23</v>
      </c>
      <c r="B10" s="20">
        <v>4.88</v>
      </c>
      <c r="C10" s="17">
        <v>1.33698630136986E-2</v>
      </c>
      <c r="D10" s="17">
        <v>1.1210415247888701E-3</v>
      </c>
    </row>
    <row r="11" spans="1:4" x14ac:dyDescent="0.3">
      <c r="A11" s="16">
        <v>24</v>
      </c>
      <c r="B11" s="20">
        <v>4.8099999999999996</v>
      </c>
      <c r="C11" s="17">
        <v>1.31780821917808E-2</v>
      </c>
      <c r="D11" s="17">
        <v>1.1048628208126801E-3</v>
      </c>
    </row>
    <row r="12" spans="1:4" x14ac:dyDescent="0.3">
      <c r="A12" s="16">
        <v>25</v>
      </c>
      <c r="B12" s="20">
        <v>4.8499999999999996</v>
      </c>
      <c r="C12" s="17">
        <v>1.32876712328767E-2</v>
      </c>
      <c r="D12" s="17">
        <v>1.1141074415556001E-3</v>
      </c>
    </row>
    <row r="13" spans="1:4" x14ac:dyDescent="0.3">
      <c r="A13" s="16">
        <v>26</v>
      </c>
      <c r="B13" s="20">
        <v>4.88</v>
      </c>
      <c r="C13" s="17">
        <v>1.33698630136986E-2</v>
      </c>
      <c r="D13" s="17">
        <v>1.1210415247888701E-3</v>
      </c>
    </row>
    <row r="14" spans="1:4" x14ac:dyDescent="0.3">
      <c r="A14" s="16">
        <v>27</v>
      </c>
      <c r="B14" s="20">
        <v>4.9800000000000004</v>
      </c>
      <c r="C14" s="17">
        <v>1.36438356164384E-2</v>
      </c>
      <c r="D14" s="17">
        <v>1.1441589604295199E-3</v>
      </c>
    </row>
    <row r="15" spans="1:4" x14ac:dyDescent="0.3">
      <c r="A15" s="16">
        <v>28</v>
      </c>
      <c r="B15" s="20">
        <v>5.1100000000000003</v>
      </c>
      <c r="C15" s="17">
        <v>1.4E-2</v>
      </c>
      <c r="D15" s="17">
        <v>1.17422042800675E-3</v>
      </c>
    </row>
    <row r="16" spans="1:4" x14ac:dyDescent="0.3">
      <c r="A16" s="16">
        <v>29</v>
      </c>
      <c r="B16" s="20">
        <v>5.25</v>
      </c>
      <c r="C16" s="17">
        <v>1.4383561643835601E-2</v>
      </c>
      <c r="D16" s="17">
        <v>1.20660545013362E-3</v>
      </c>
    </row>
    <row r="17" spans="1:4" x14ac:dyDescent="0.3">
      <c r="A17" s="16">
        <v>30</v>
      </c>
      <c r="B17" s="20">
        <v>5.41</v>
      </c>
      <c r="C17" s="17">
        <v>1.48219178082192E-2</v>
      </c>
      <c r="D17" s="17">
        <v>1.2436310531625E-3</v>
      </c>
    </row>
    <row r="18" spans="1:4" x14ac:dyDescent="0.3">
      <c r="A18" s="16">
        <v>31</v>
      </c>
      <c r="B18" s="20">
        <v>5.61</v>
      </c>
      <c r="C18" s="17">
        <v>1.5369863013698601E-2</v>
      </c>
      <c r="D18" s="17">
        <v>1.2899342995628101E-3</v>
      </c>
    </row>
    <row r="19" spans="1:4" x14ac:dyDescent="0.3">
      <c r="A19" s="16">
        <v>32</v>
      </c>
      <c r="B19" s="20">
        <v>5.83</v>
      </c>
      <c r="C19" s="17">
        <v>1.5972602739726002E-2</v>
      </c>
      <c r="D19" s="17">
        <v>1.3408951600747401E-3</v>
      </c>
    </row>
    <row r="20" spans="1:4" x14ac:dyDescent="0.3">
      <c r="A20" s="16">
        <v>33</v>
      </c>
      <c r="B20" s="20">
        <v>6.05</v>
      </c>
      <c r="C20" s="17">
        <v>1.6575342465753401E-2</v>
      </c>
      <c r="D20" s="17">
        <v>1.3918846421128201E-3</v>
      </c>
    </row>
    <row r="21" spans="1:4" x14ac:dyDescent="0.3">
      <c r="A21" s="16">
        <v>34</v>
      </c>
      <c r="B21" s="20">
        <v>6.27</v>
      </c>
      <c r="C21" s="17">
        <v>1.71780821917808E-2</v>
      </c>
      <c r="D21" s="17">
        <v>1.4429027793089199E-3</v>
      </c>
    </row>
    <row r="22" spans="1:4" x14ac:dyDescent="0.3">
      <c r="A22" s="16">
        <v>35</v>
      </c>
      <c r="B22" s="20">
        <v>6.48</v>
      </c>
      <c r="C22" s="17">
        <v>1.7753424657534302E-2</v>
      </c>
      <c r="D22" s="17">
        <v>1.4916286722210801E-3</v>
      </c>
    </row>
    <row r="23" spans="1:4" x14ac:dyDescent="0.3">
      <c r="A23" s="16">
        <v>36</v>
      </c>
      <c r="B23" s="20">
        <v>6.67</v>
      </c>
      <c r="C23" s="17">
        <v>1.8273972602739701E-2</v>
      </c>
      <c r="D23" s="17">
        <v>1.5357365526971201E-3</v>
      </c>
    </row>
    <row r="24" spans="1:4" x14ac:dyDescent="0.3">
      <c r="A24" s="16">
        <v>37</v>
      </c>
      <c r="B24" s="20">
        <v>6.84</v>
      </c>
      <c r="C24" s="17">
        <v>1.8739726027397301E-2</v>
      </c>
      <c r="D24" s="17">
        <v>1.57521967455587E-3</v>
      </c>
    </row>
    <row r="25" spans="1:4" x14ac:dyDescent="0.3">
      <c r="A25" s="16">
        <v>38</v>
      </c>
      <c r="B25" s="20">
        <v>6.99</v>
      </c>
      <c r="C25" s="17">
        <v>1.9150684931506901E-2</v>
      </c>
      <c r="D25" s="17">
        <v>1.6100719920456601E-3</v>
      </c>
    </row>
    <row r="26" spans="1:4" x14ac:dyDescent="0.3">
      <c r="A26" s="16">
        <v>39</v>
      </c>
      <c r="B26" s="20">
        <v>7.12</v>
      </c>
      <c r="C26" s="17">
        <v>1.9506849315068499E-2</v>
      </c>
      <c r="D26" s="17">
        <v>1.64028816306039E-3</v>
      </c>
    </row>
    <row r="27" spans="1:4" x14ac:dyDescent="0.3">
      <c r="A27" s="16">
        <v>40</v>
      </c>
      <c r="B27" s="20">
        <v>7.24</v>
      </c>
      <c r="C27" s="17">
        <v>1.9835616438356199E-2</v>
      </c>
      <c r="D27" s="17">
        <v>1.66818894475895E-3</v>
      </c>
    </row>
    <row r="28" spans="1:4" x14ac:dyDescent="0.3">
      <c r="A28" s="16">
        <v>41</v>
      </c>
      <c r="B28" s="20">
        <v>7.36</v>
      </c>
      <c r="C28" s="17">
        <v>2.0164383561643798E-2</v>
      </c>
      <c r="D28" s="17">
        <v>1.6960983063937199E-3</v>
      </c>
    </row>
    <row r="29" spans="1:4" x14ac:dyDescent="0.3">
      <c r="A29" s="16">
        <v>42</v>
      </c>
      <c r="B29" s="20">
        <v>7.49</v>
      </c>
      <c r="C29" s="17">
        <v>2.0520547945205501E-2</v>
      </c>
      <c r="D29" s="17">
        <v>1.7263431367848801E-3</v>
      </c>
    </row>
    <row r="30" spans="1:4" x14ac:dyDescent="0.3">
      <c r="A30" s="16">
        <v>43</v>
      </c>
      <c r="B30" s="20">
        <v>7.63</v>
      </c>
      <c r="C30" s="17">
        <v>2.0904109589041101E-2</v>
      </c>
      <c r="D30" s="17">
        <v>1.7589257690566701E-3</v>
      </c>
    </row>
    <row r="31" spans="1:4" x14ac:dyDescent="0.3">
      <c r="A31" s="16">
        <v>44</v>
      </c>
      <c r="B31" s="20">
        <v>7.78</v>
      </c>
      <c r="C31" s="17">
        <v>2.13150684931507E-2</v>
      </c>
      <c r="D31" s="17">
        <v>1.7938487188361399E-3</v>
      </c>
    </row>
    <row r="32" spans="1:4" x14ac:dyDescent="0.3">
      <c r="A32" s="16">
        <v>45</v>
      </c>
      <c r="B32" s="20">
        <v>7.96</v>
      </c>
      <c r="C32" s="17">
        <v>2.1808219178082199E-2</v>
      </c>
      <c r="D32" s="17">
        <v>1.8357740069506699E-3</v>
      </c>
    </row>
    <row r="33" spans="1:4" x14ac:dyDescent="0.3">
      <c r="A33" s="16">
        <v>46</v>
      </c>
      <c r="B33" s="20">
        <v>8.18</v>
      </c>
      <c r="C33" s="17">
        <v>2.2410958904109601E-2</v>
      </c>
      <c r="D33" s="17">
        <v>1.8870423455382701E-3</v>
      </c>
    </row>
    <row r="34" spans="1:4" x14ac:dyDescent="0.3">
      <c r="A34" s="16">
        <v>47</v>
      </c>
      <c r="B34" s="20">
        <v>8.4600000000000009</v>
      </c>
      <c r="C34" s="17">
        <v>2.3178082191780799E-2</v>
      </c>
      <c r="D34" s="17">
        <v>1.95233488166779E-3</v>
      </c>
    </row>
    <row r="35" spans="1:4" x14ac:dyDescent="0.3">
      <c r="A35" s="16">
        <v>48</v>
      </c>
      <c r="B35" s="20">
        <v>8.82</v>
      </c>
      <c r="C35" s="17">
        <v>2.4164383561643799E-2</v>
      </c>
      <c r="D35" s="17">
        <v>2.0363515284082001E-3</v>
      </c>
    </row>
    <row r="36" spans="1:4" x14ac:dyDescent="0.3">
      <c r="A36" s="16">
        <v>49</v>
      </c>
      <c r="B36" s="20">
        <v>9.27</v>
      </c>
      <c r="C36" s="17">
        <v>2.5397260273972599E-2</v>
      </c>
      <c r="D36" s="17">
        <v>2.14148186952756E-3</v>
      </c>
    </row>
    <row r="37" spans="1:4" x14ac:dyDescent="0.3">
      <c r="A37" s="16">
        <v>50</v>
      </c>
      <c r="B37" s="20">
        <v>9.82</v>
      </c>
      <c r="C37" s="17">
        <v>2.69041095890411E-2</v>
      </c>
      <c r="D37" s="17">
        <v>2.2701401883642499E-3</v>
      </c>
    </row>
    <row r="38" spans="1:4" x14ac:dyDescent="0.3">
      <c r="A38" s="16">
        <v>51</v>
      </c>
      <c r="B38" s="20">
        <v>10.41</v>
      </c>
      <c r="C38" s="17">
        <v>2.8520547945205501E-2</v>
      </c>
      <c r="D38" s="17">
        <v>2.40835866699629E-3</v>
      </c>
    </row>
    <row r="39" spans="1:4" x14ac:dyDescent="0.3">
      <c r="A39" s="16">
        <v>52</v>
      </c>
      <c r="B39" s="20">
        <v>11.02</v>
      </c>
      <c r="C39" s="17">
        <v>3.0191780821917799E-2</v>
      </c>
      <c r="D39" s="17">
        <v>2.5514843513930702E-3</v>
      </c>
    </row>
    <row r="40" spans="1:4" x14ac:dyDescent="0.3">
      <c r="A40" s="16">
        <v>53</v>
      </c>
      <c r="B40" s="20">
        <v>11.65</v>
      </c>
      <c r="C40" s="17">
        <v>3.1917808219178098E-2</v>
      </c>
      <c r="D40" s="17">
        <v>2.69954020751528E-3</v>
      </c>
    </row>
    <row r="41" spans="1:4" x14ac:dyDescent="0.3">
      <c r="A41" s="16">
        <v>54</v>
      </c>
      <c r="B41" s="20">
        <v>12.28</v>
      </c>
      <c r="C41" s="17">
        <v>3.3643835616438397E-2</v>
      </c>
      <c r="D41" s="17">
        <v>2.84783823777579E-3</v>
      </c>
    </row>
    <row r="42" spans="1:4" x14ac:dyDescent="0.3">
      <c r="A42" s="16">
        <v>55</v>
      </c>
      <c r="B42" s="20">
        <v>12.92</v>
      </c>
      <c r="C42" s="17">
        <v>3.5397260273972601E-2</v>
      </c>
      <c r="D42" s="17">
        <v>2.99873902983283E-3</v>
      </c>
    </row>
    <row r="43" spans="1:4" x14ac:dyDescent="0.3">
      <c r="A43" s="16">
        <v>56</v>
      </c>
      <c r="B43" s="20">
        <v>13.56</v>
      </c>
      <c r="C43" s="17">
        <v>3.7150684931506903E-2</v>
      </c>
      <c r="D43" s="17">
        <v>3.1498914758714101E-3</v>
      </c>
    </row>
    <row r="44" spans="1:4" x14ac:dyDescent="0.3">
      <c r="A44" s="16">
        <v>57</v>
      </c>
      <c r="B44" s="20">
        <v>11.2</v>
      </c>
      <c r="C44" s="17">
        <v>3.0684931506849301E-2</v>
      </c>
      <c r="D44" s="17">
        <v>2.5937613611347601E-3</v>
      </c>
    </row>
    <row r="45" spans="1:4" x14ac:dyDescent="0.3">
      <c r="A45" s="16">
        <v>58</v>
      </c>
      <c r="B45" s="20">
        <v>11.84</v>
      </c>
      <c r="C45" s="17">
        <v>3.2438356164383599E-2</v>
      </c>
      <c r="D45" s="17">
        <v>2.7442394676029402E-3</v>
      </c>
    </row>
    <row r="46" spans="1:4" x14ac:dyDescent="0.3">
      <c r="A46" s="16">
        <v>59</v>
      </c>
      <c r="B46" s="20">
        <v>15.18</v>
      </c>
      <c r="C46" s="17">
        <v>4.15890410958904E-2</v>
      </c>
      <c r="D46" s="17">
        <v>3.5336267529630901E-3</v>
      </c>
    </row>
    <row r="47" spans="1:4" x14ac:dyDescent="0.3">
      <c r="A47" s="16">
        <v>60</v>
      </c>
      <c r="B47" s="20">
        <v>16.12</v>
      </c>
      <c r="C47" s="17">
        <v>4.4164383561643802E-2</v>
      </c>
      <c r="D47" s="17">
        <v>3.7570354524287799E-3</v>
      </c>
    </row>
    <row r="48" spans="1:4" x14ac:dyDescent="0.3">
      <c r="A48" s="16">
        <v>61</v>
      </c>
      <c r="B48" s="20">
        <v>16.760000000000002</v>
      </c>
      <c r="C48" s="17">
        <v>4.5917808219178097E-2</v>
      </c>
      <c r="D48" s="17">
        <v>3.9094594491353397E-3</v>
      </c>
    </row>
    <row r="49" spans="1:4" x14ac:dyDescent="0.3">
      <c r="A49" s="16">
        <v>62</v>
      </c>
      <c r="B49" s="20">
        <v>17.399999999999999</v>
      </c>
      <c r="C49" s="17">
        <v>4.7671232876712301E-2</v>
      </c>
      <c r="D49" s="17">
        <v>4.0621404453734496E-3</v>
      </c>
    </row>
    <row r="50" spans="1:4" x14ac:dyDescent="0.3">
      <c r="A50" s="16">
        <v>63</v>
      </c>
      <c r="B50" s="20">
        <v>18.04</v>
      </c>
      <c r="C50" s="17">
        <v>4.9424657534246602E-2</v>
      </c>
      <c r="D50" s="17">
        <v>4.2150793488512396E-3</v>
      </c>
    </row>
    <row r="51" spans="1:4" x14ac:dyDescent="0.3">
      <c r="A51" s="16">
        <v>64</v>
      </c>
      <c r="B51" s="20">
        <v>18.68</v>
      </c>
      <c r="C51" s="17">
        <v>5.1178082191780799E-2</v>
      </c>
      <c r="D51" s="17">
        <v>4.3682770721643598E-3</v>
      </c>
    </row>
    <row r="52" spans="1:4" x14ac:dyDescent="0.3">
      <c r="A52" s="16">
        <v>65</v>
      </c>
      <c r="B52" s="20">
        <v>19.32</v>
      </c>
      <c r="C52" s="17">
        <v>5.2931506849315101E-2</v>
      </c>
      <c r="D52" s="17">
        <v>4.5217345328315596E-3</v>
      </c>
    </row>
    <row r="53" spans="1:4" x14ac:dyDescent="0.3">
      <c r="A53" s="6">
        <v>66</v>
      </c>
      <c r="B53" s="18">
        <v>19.96</v>
      </c>
      <c r="C53" s="14">
        <v>5.4684931506849298E-2</v>
      </c>
      <c r="D53" s="14">
        <v>4.6754526533303604E-3</v>
      </c>
    </row>
    <row r="54" spans="1:4" x14ac:dyDescent="0.3">
      <c r="A54" s="9">
        <v>67</v>
      </c>
      <c r="B54" s="19">
        <v>20.61</v>
      </c>
      <c r="C54" s="15">
        <v>5.6465753424657497E-2</v>
      </c>
      <c r="D54" s="15">
        <v>4.8318403746149298E-3</v>
      </c>
    </row>
    <row r="55" spans="1:4" x14ac:dyDescent="0.3">
      <c r="A55" s="6">
        <v>68</v>
      </c>
      <c r="B55" s="18">
        <v>21.26</v>
      </c>
      <c r="C55" s="14">
        <v>5.8246575342465801E-2</v>
      </c>
      <c r="D55" s="14">
        <v>4.9884988986272898E-3</v>
      </c>
    </row>
    <row r="56" spans="1:4" x14ac:dyDescent="0.3">
      <c r="A56" s="9">
        <v>69</v>
      </c>
      <c r="B56" s="19">
        <v>21.92</v>
      </c>
      <c r="C56" s="15">
        <v>6.0054794520548002E-2</v>
      </c>
      <c r="D56" s="15">
        <v>5.1478456481444104E-3</v>
      </c>
    </row>
    <row r="57" spans="1:4" x14ac:dyDescent="0.3">
      <c r="A57" s="6">
        <v>70</v>
      </c>
      <c r="B57" s="18">
        <v>22.5</v>
      </c>
      <c r="C57" s="14">
        <v>6.1643835616438401E-2</v>
      </c>
      <c r="D57" s="14">
        <v>5.28810978206962E-3</v>
      </c>
    </row>
    <row r="58" spans="1:4" x14ac:dyDescent="0.3">
      <c r="A58" s="9">
        <v>71</v>
      </c>
      <c r="B58" s="19">
        <v>23.27</v>
      </c>
      <c r="C58" s="15">
        <v>6.3753424657534294E-2</v>
      </c>
      <c r="D58" s="15">
        <v>5.4746592987908703E-3</v>
      </c>
    </row>
    <row r="59" spans="1:4" x14ac:dyDescent="0.3">
      <c r="A59" s="6">
        <v>72</v>
      </c>
      <c r="B59" s="18">
        <v>23.96</v>
      </c>
      <c r="C59" s="14">
        <v>6.5643835616438398E-2</v>
      </c>
      <c r="D59" s="14">
        <v>5.64215468062923E-3</v>
      </c>
    </row>
    <row r="60" spans="1:4" x14ac:dyDescent="0.3">
      <c r="A60" s="9">
        <v>73</v>
      </c>
      <c r="B60" s="19">
        <v>21.67</v>
      </c>
      <c r="C60" s="15">
        <v>5.93698630136986E-2</v>
      </c>
      <c r="D60" s="15">
        <v>5.0874539972687299E-3</v>
      </c>
    </row>
    <row r="61" spans="1:4" x14ac:dyDescent="0.3">
      <c r="A61" s="6">
        <v>74</v>
      </c>
      <c r="B61" s="18">
        <v>25.41</v>
      </c>
      <c r="C61" s="14">
        <v>6.9616438356164406E-2</v>
      </c>
      <c r="D61" s="14">
        <v>5.9951524224427502E-3</v>
      </c>
    </row>
    <row r="62" spans="1:4" x14ac:dyDescent="0.3">
      <c r="A62" s="9">
        <v>75</v>
      </c>
      <c r="B62" s="19">
        <v>26.19</v>
      </c>
      <c r="C62" s="15">
        <v>7.1753424657534301E-2</v>
      </c>
      <c r="D62" s="15">
        <v>6.18561278034724E-3</v>
      </c>
    </row>
    <row r="63" spans="1:4" x14ac:dyDescent="0.3">
      <c r="A63" s="6">
        <v>76</v>
      </c>
      <c r="B63" s="18">
        <v>27.02</v>
      </c>
      <c r="C63" s="14">
        <v>7.4027397260274005E-2</v>
      </c>
      <c r="D63" s="14">
        <v>6.3887240509124003E-3</v>
      </c>
    </row>
    <row r="64" spans="1:4" x14ac:dyDescent="0.3">
      <c r="A64" s="9">
        <v>77</v>
      </c>
      <c r="B64" s="19">
        <v>27.92</v>
      </c>
      <c r="C64" s="15">
        <v>7.6493150684931496E-2</v>
      </c>
      <c r="D64" s="15">
        <v>6.60948253488203E-3</v>
      </c>
    </row>
    <row r="65" spans="1:4" x14ac:dyDescent="0.3">
      <c r="A65" s="6">
        <v>78</v>
      </c>
      <c r="B65" s="18">
        <v>28.92</v>
      </c>
      <c r="C65" s="14">
        <v>7.9232876712328801E-2</v>
      </c>
      <c r="D65" s="14">
        <v>6.8554043271612502E-3</v>
      </c>
    </row>
    <row r="66" spans="1:4" x14ac:dyDescent="0.3">
      <c r="A66" s="9">
        <v>79</v>
      </c>
      <c r="B66" s="19">
        <v>30.01</v>
      </c>
      <c r="C66" s="15">
        <v>8.2219178082191799E-2</v>
      </c>
      <c r="D66" s="15">
        <v>7.1242242832676404E-3</v>
      </c>
    </row>
    <row r="67" spans="1:4" x14ac:dyDescent="0.3">
      <c r="A67" s="6">
        <v>80</v>
      </c>
      <c r="B67" s="18">
        <v>31.31</v>
      </c>
      <c r="C67" s="14">
        <v>8.5780821917808198E-2</v>
      </c>
      <c r="D67" s="14">
        <v>7.4458856268055902E-3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7"/>
  <sheetViews>
    <sheetView showGridLines="0" workbookViewId="0"/>
  </sheetViews>
  <sheetFormatPr defaultColWidth="8.6640625" defaultRowHeight="14.4" x14ac:dyDescent="0.3"/>
  <cols>
    <col min="1" max="1" width="8" customWidth="1"/>
    <col min="2" max="2" width="10" customWidth="1"/>
    <col min="3" max="3" width="16" customWidth="1"/>
    <col min="4" max="6" width="14" customWidth="1"/>
    <col min="7" max="7" width="22" customWidth="1"/>
  </cols>
  <sheetData>
    <row r="1" spans="1:7" ht="21.75" customHeight="1" x14ac:dyDescent="0.3">
      <c r="A1" s="67" t="s">
        <v>124</v>
      </c>
      <c r="B1" s="67"/>
      <c r="C1" s="67"/>
      <c r="D1" s="67"/>
      <c r="E1" s="67"/>
      <c r="F1" s="67"/>
      <c r="G1" s="67"/>
    </row>
    <row r="2" spans="1:7" x14ac:dyDescent="0.3">
      <c r="A2" s="68" t="s">
        <v>125</v>
      </c>
      <c r="B2" s="68"/>
      <c r="C2" s="68"/>
      <c r="D2" s="68"/>
      <c r="E2" s="68"/>
      <c r="F2" s="68"/>
      <c r="G2" s="68"/>
    </row>
    <row r="3" spans="1:7" x14ac:dyDescent="0.3">
      <c r="A3" s="3" t="s">
        <v>111</v>
      </c>
      <c r="B3" s="3" t="s">
        <v>126</v>
      </c>
      <c r="C3" s="3" t="s">
        <v>127</v>
      </c>
      <c r="D3" s="3" t="s">
        <v>128</v>
      </c>
      <c r="E3" s="3" t="s">
        <v>113</v>
      </c>
      <c r="F3" s="3" t="s">
        <v>129</v>
      </c>
      <c r="G3" s="3" t="s">
        <v>130</v>
      </c>
    </row>
    <row r="4" spans="1:7" x14ac:dyDescent="0.3">
      <c r="A4" s="9">
        <v>18</v>
      </c>
      <c r="B4" s="21">
        <v>3</v>
      </c>
      <c r="C4" s="15">
        <v>7.5199999999999996E-4</v>
      </c>
      <c r="D4" s="15">
        <v>2.2560000000000002E-3</v>
      </c>
      <c r="E4" s="15">
        <v>6.2688276160627305E-5</v>
      </c>
      <c r="F4" s="22">
        <v>1.88679245283019E-2</v>
      </c>
      <c r="G4" s="15">
        <v>1.4188679245283001E-5</v>
      </c>
    </row>
    <row r="5" spans="1:7" x14ac:dyDescent="0.3">
      <c r="A5" s="6">
        <v>19</v>
      </c>
      <c r="B5" s="23">
        <v>3</v>
      </c>
      <c r="C5" s="14">
        <v>8.3299999999999997E-4</v>
      </c>
      <c r="D5" s="14">
        <v>2.4989999999999999E-3</v>
      </c>
      <c r="E5" s="14">
        <v>6.9443183484674305E-5</v>
      </c>
      <c r="F5" s="24">
        <v>1.88679245283019E-2</v>
      </c>
      <c r="G5" s="14">
        <v>1.57169811320755E-5</v>
      </c>
    </row>
    <row r="6" spans="1:7" x14ac:dyDescent="0.3">
      <c r="A6" s="9">
        <v>20</v>
      </c>
      <c r="B6" s="21">
        <v>3</v>
      </c>
      <c r="C6" s="15">
        <v>9.0200000000000002E-4</v>
      </c>
      <c r="D6" s="15">
        <v>2.7060000000000001E-3</v>
      </c>
      <c r="E6" s="15">
        <v>7.5197759739187298E-5</v>
      </c>
      <c r="F6" s="22">
        <v>1.88679245283019E-2</v>
      </c>
      <c r="G6" s="15">
        <v>1.70188679245283E-5</v>
      </c>
    </row>
    <row r="7" spans="1:7" x14ac:dyDescent="0.3">
      <c r="A7" s="6">
        <v>21</v>
      </c>
      <c r="B7" s="23">
        <v>3</v>
      </c>
      <c r="C7" s="14">
        <v>9.5699999999999995E-4</v>
      </c>
      <c r="D7" s="14">
        <v>2.8709999999999999E-3</v>
      </c>
      <c r="E7" s="14">
        <v>7.9785001746213196E-5</v>
      </c>
      <c r="F7" s="24">
        <v>1.88679245283019E-2</v>
      </c>
      <c r="G7" s="14">
        <v>1.8056603773584898E-5</v>
      </c>
    </row>
    <row r="8" spans="1:7" x14ac:dyDescent="0.3">
      <c r="A8" s="9">
        <v>22</v>
      </c>
      <c r="B8" s="21">
        <v>3</v>
      </c>
      <c r="C8" s="15">
        <v>9.9799999999999997E-4</v>
      </c>
      <c r="D8" s="15">
        <v>2.9940000000000001E-3</v>
      </c>
      <c r="E8" s="15">
        <v>8.3204732759689702E-5</v>
      </c>
      <c r="F8" s="22">
        <v>1.88679245283019E-2</v>
      </c>
      <c r="G8" s="15">
        <v>1.8830188679245301E-5</v>
      </c>
    </row>
    <row r="9" spans="1:7" x14ac:dyDescent="0.3">
      <c r="A9" s="6">
        <v>23</v>
      </c>
      <c r="B9" s="23">
        <v>3</v>
      </c>
      <c r="C9" s="14">
        <v>1.0250000000000001E-3</v>
      </c>
      <c r="D9" s="14">
        <v>3.075E-3</v>
      </c>
      <c r="E9" s="14">
        <v>8.5456821002805104E-5</v>
      </c>
      <c r="F9" s="24">
        <v>1.88679245283019E-2</v>
      </c>
      <c r="G9" s="14">
        <v>1.9339622641509399E-5</v>
      </c>
    </row>
    <row r="10" spans="1:7" x14ac:dyDescent="0.3">
      <c r="A10" s="9">
        <v>24</v>
      </c>
      <c r="B10" s="21">
        <v>3</v>
      </c>
      <c r="C10" s="15">
        <v>1.0399999999999999E-3</v>
      </c>
      <c r="D10" s="15">
        <v>3.1199999999999999E-3</v>
      </c>
      <c r="E10" s="15">
        <v>8.6708005247571106E-5</v>
      </c>
      <c r="F10" s="22">
        <v>1.88679245283019E-2</v>
      </c>
      <c r="G10" s="15">
        <v>1.9622641509434E-5</v>
      </c>
    </row>
    <row r="11" spans="1:7" x14ac:dyDescent="0.3">
      <c r="A11" s="6">
        <v>25</v>
      </c>
      <c r="B11" s="23">
        <v>3</v>
      </c>
      <c r="C11" s="14">
        <v>1.047E-3</v>
      </c>
      <c r="D11" s="14">
        <v>3.1410000000000001E-3</v>
      </c>
      <c r="E11" s="14">
        <v>8.7291897122088194E-5</v>
      </c>
      <c r="F11" s="24">
        <v>1.88679245283019E-2</v>
      </c>
      <c r="G11" s="14">
        <v>1.9754716981132099E-5</v>
      </c>
    </row>
    <row r="12" spans="1:7" x14ac:dyDescent="0.3">
      <c r="A12" s="9">
        <v>26</v>
      </c>
      <c r="B12" s="21">
        <v>5</v>
      </c>
      <c r="C12" s="15">
        <v>1.0480000000000001E-3</v>
      </c>
      <c r="D12" s="15">
        <v>5.2399999999999999E-3</v>
      </c>
      <c r="E12" s="15">
        <v>8.7375310553139393E-5</v>
      </c>
      <c r="F12" s="22">
        <v>3.1446540880503103E-2</v>
      </c>
      <c r="G12" s="15">
        <v>3.2955974842767299E-5</v>
      </c>
    </row>
    <row r="13" spans="1:7" x14ac:dyDescent="0.3">
      <c r="A13" s="6">
        <v>27</v>
      </c>
      <c r="B13" s="23">
        <v>5</v>
      </c>
      <c r="C13" s="14">
        <v>1.0460000000000001E-3</v>
      </c>
      <c r="D13" s="14">
        <v>5.2300000000000003E-3</v>
      </c>
      <c r="E13" s="14">
        <v>8.7208483767531306E-5</v>
      </c>
      <c r="F13" s="24">
        <v>3.1446540880503103E-2</v>
      </c>
      <c r="G13" s="14">
        <v>3.2893081761006302E-5</v>
      </c>
    </row>
    <row r="14" spans="1:7" x14ac:dyDescent="0.3">
      <c r="A14" s="9">
        <v>28</v>
      </c>
      <c r="B14" s="21">
        <v>5</v>
      </c>
      <c r="C14" s="15">
        <v>1.0430000000000001E-3</v>
      </c>
      <c r="D14" s="15">
        <v>5.215E-3</v>
      </c>
      <c r="E14" s="15">
        <v>8.6958244163048995E-5</v>
      </c>
      <c r="F14" s="22">
        <v>3.1446540880503103E-2</v>
      </c>
      <c r="G14" s="15">
        <v>3.27987421383648E-5</v>
      </c>
    </row>
    <row r="15" spans="1:7" x14ac:dyDescent="0.3">
      <c r="A15" s="6">
        <v>29</v>
      </c>
      <c r="B15" s="23">
        <v>5</v>
      </c>
      <c r="C15" s="14">
        <v>1.042E-3</v>
      </c>
      <c r="D15" s="14">
        <v>5.2100000000000002E-3</v>
      </c>
      <c r="E15" s="14">
        <v>8.6874831114691604E-5</v>
      </c>
      <c r="F15" s="24">
        <v>3.1446540880503103E-2</v>
      </c>
      <c r="G15" s="14">
        <v>3.2767295597484302E-5</v>
      </c>
    </row>
    <row r="16" spans="1:7" x14ac:dyDescent="0.3">
      <c r="A16" s="9">
        <v>30</v>
      </c>
      <c r="B16" s="21">
        <v>5</v>
      </c>
      <c r="C16" s="15">
        <v>1.0449999999999999E-3</v>
      </c>
      <c r="D16" s="15">
        <v>5.2249999999999996E-3</v>
      </c>
      <c r="E16" s="15">
        <v>8.7125070489468798E-5</v>
      </c>
      <c r="F16" s="22">
        <v>3.1446540880503103E-2</v>
      </c>
      <c r="G16" s="15">
        <v>3.2861635220125797E-5</v>
      </c>
    </row>
    <row r="17" spans="1:7" x14ac:dyDescent="0.3">
      <c r="A17" s="6">
        <v>31</v>
      </c>
      <c r="B17" s="23">
        <v>5</v>
      </c>
      <c r="C17" s="14">
        <v>1.0529999999999999E-3</v>
      </c>
      <c r="D17" s="14">
        <v>5.2649999999999997E-3</v>
      </c>
      <c r="E17" s="14">
        <v>8.7792378856810197E-5</v>
      </c>
      <c r="F17" s="24">
        <v>3.1446540880503103E-2</v>
      </c>
      <c r="G17" s="14">
        <v>3.3113207547169798E-5</v>
      </c>
    </row>
    <row r="18" spans="1:7" x14ac:dyDescent="0.3">
      <c r="A18" s="9">
        <v>32</v>
      </c>
      <c r="B18" s="21">
        <v>5</v>
      </c>
      <c r="C18" s="15">
        <v>1.0690000000000001E-3</v>
      </c>
      <c r="D18" s="15">
        <v>5.3449999999999999E-3</v>
      </c>
      <c r="E18" s="15">
        <v>8.9127010287848294E-5</v>
      </c>
      <c r="F18" s="22">
        <v>3.1446540880503103E-2</v>
      </c>
      <c r="G18" s="15">
        <v>3.3616352201257902E-5</v>
      </c>
    </row>
    <row r="19" spans="1:7" x14ac:dyDescent="0.3">
      <c r="A19" s="6">
        <v>33</v>
      </c>
      <c r="B19" s="23">
        <v>5</v>
      </c>
      <c r="C19" s="14">
        <v>1.093E-3</v>
      </c>
      <c r="D19" s="14">
        <v>5.4650000000000002E-3</v>
      </c>
      <c r="E19" s="14">
        <v>9.1128994176514807E-5</v>
      </c>
      <c r="F19" s="24">
        <v>3.1446540880503103E-2</v>
      </c>
      <c r="G19" s="14">
        <v>3.4371069182389899E-5</v>
      </c>
    </row>
    <row r="20" spans="1:7" x14ac:dyDescent="0.3">
      <c r="A20" s="9">
        <v>34</v>
      </c>
      <c r="B20" s="21">
        <v>5</v>
      </c>
      <c r="C20" s="15">
        <v>1.126E-3</v>
      </c>
      <c r="D20" s="15">
        <v>5.6299999999999996E-3</v>
      </c>
      <c r="E20" s="15">
        <v>9.3881794018368895E-5</v>
      </c>
      <c r="F20" s="22">
        <v>3.1446540880503103E-2</v>
      </c>
      <c r="G20" s="15">
        <v>3.5408805031446497E-5</v>
      </c>
    </row>
    <row r="21" spans="1:7" x14ac:dyDescent="0.3">
      <c r="A21" s="6">
        <v>35</v>
      </c>
      <c r="B21" s="23">
        <v>5</v>
      </c>
      <c r="C21" s="14">
        <v>1.17E-3</v>
      </c>
      <c r="D21" s="14">
        <v>5.8500000000000002E-3</v>
      </c>
      <c r="E21" s="14">
        <v>9.7552323490956994E-5</v>
      </c>
      <c r="F21" s="24">
        <v>3.1446540880503103E-2</v>
      </c>
      <c r="G21" s="14">
        <v>3.67924528301887E-5</v>
      </c>
    </row>
    <row r="22" spans="1:7" x14ac:dyDescent="0.3">
      <c r="A22" s="9">
        <v>36</v>
      </c>
      <c r="B22" s="21">
        <v>4</v>
      </c>
      <c r="C22" s="15">
        <v>1.224E-3</v>
      </c>
      <c r="D22" s="15">
        <v>4.8960000000000002E-3</v>
      </c>
      <c r="E22" s="15">
        <v>1.02057266787581E-4</v>
      </c>
      <c r="F22" s="22">
        <v>2.51572327044025E-2</v>
      </c>
      <c r="G22" s="15">
        <v>3.0792452830188697E-5</v>
      </c>
    </row>
    <row r="23" spans="1:7" x14ac:dyDescent="0.3">
      <c r="A23" s="6">
        <v>37</v>
      </c>
      <c r="B23" s="23">
        <v>4</v>
      </c>
      <c r="C23" s="14">
        <v>1.2899999999999999E-3</v>
      </c>
      <c r="D23" s="14">
        <v>5.1599999999999997E-3</v>
      </c>
      <c r="E23" s="14">
        <v>1.07563611807859E-4</v>
      </c>
      <c r="F23" s="24">
        <v>2.51572327044025E-2</v>
      </c>
      <c r="G23" s="14">
        <v>3.2452830188679202E-5</v>
      </c>
    </row>
    <row r="24" spans="1:7" x14ac:dyDescent="0.3">
      <c r="A24" s="9">
        <v>38</v>
      </c>
      <c r="B24" s="21">
        <v>4</v>
      </c>
      <c r="C24" s="15">
        <v>1.3669999999999999E-3</v>
      </c>
      <c r="D24" s="15">
        <v>5.4679999999999998E-3</v>
      </c>
      <c r="E24" s="15">
        <v>1.13988102601881E-4</v>
      </c>
      <c r="F24" s="22">
        <v>2.51572327044025E-2</v>
      </c>
      <c r="G24" s="15">
        <v>3.43899371069182E-5</v>
      </c>
    </row>
    <row r="25" spans="1:7" x14ac:dyDescent="0.3">
      <c r="A25" s="6">
        <v>39</v>
      </c>
      <c r="B25" s="23">
        <v>4</v>
      </c>
      <c r="C25" s="14">
        <v>1.4580000000000001E-3</v>
      </c>
      <c r="D25" s="14">
        <v>5.8320000000000004E-3</v>
      </c>
      <c r="E25" s="14">
        <v>1.21581268086146E-4</v>
      </c>
      <c r="F25" s="24">
        <v>2.51572327044025E-2</v>
      </c>
      <c r="G25" s="14">
        <v>3.6679245283018898E-5</v>
      </c>
    </row>
    <row r="26" spans="1:7" x14ac:dyDescent="0.3">
      <c r="A26" s="9">
        <v>40</v>
      </c>
      <c r="B26" s="21">
        <v>4</v>
      </c>
      <c r="C26" s="15">
        <v>1.5610000000000001E-3</v>
      </c>
      <c r="D26" s="15">
        <v>6.2440000000000004E-3</v>
      </c>
      <c r="E26" s="15">
        <v>1.3017649546243101E-4</v>
      </c>
      <c r="F26" s="22">
        <v>2.51572327044025E-2</v>
      </c>
      <c r="G26" s="15">
        <v>3.9270440251572301E-5</v>
      </c>
    </row>
    <row r="27" spans="1:7" x14ac:dyDescent="0.3">
      <c r="A27" s="6">
        <v>41</v>
      </c>
      <c r="B27" s="23">
        <v>4</v>
      </c>
      <c r="C27" s="14">
        <v>1.6789999999999999E-3</v>
      </c>
      <c r="D27" s="14">
        <v>6.7159999999999997E-3</v>
      </c>
      <c r="E27" s="14">
        <v>1.40024454011956E-4</v>
      </c>
      <c r="F27" s="24">
        <v>2.51572327044025E-2</v>
      </c>
      <c r="G27" s="14">
        <v>4.2238993710691801E-5</v>
      </c>
    </row>
    <row r="28" spans="1:7" x14ac:dyDescent="0.3">
      <c r="A28" s="9">
        <v>42</v>
      </c>
      <c r="B28" s="21">
        <v>4</v>
      </c>
      <c r="C28" s="15">
        <v>1.812E-3</v>
      </c>
      <c r="D28" s="15">
        <v>7.2480000000000001E-3</v>
      </c>
      <c r="E28" s="15">
        <v>1.5112555086982399E-4</v>
      </c>
      <c r="F28" s="22">
        <v>2.51572327044025E-2</v>
      </c>
      <c r="G28" s="15">
        <v>4.5584905660377397E-5</v>
      </c>
    </row>
    <row r="29" spans="1:7" x14ac:dyDescent="0.3">
      <c r="A29" s="6">
        <v>43</v>
      </c>
      <c r="B29" s="23">
        <v>4</v>
      </c>
      <c r="C29" s="14">
        <v>1.9599999999999999E-3</v>
      </c>
      <c r="D29" s="14">
        <v>7.8399999999999997E-3</v>
      </c>
      <c r="E29" s="14">
        <v>1.6348024510992601E-4</v>
      </c>
      <c r="F29" s="24">
        <v>2.51572327044025E-2</v>
      </c>
      <c r="G29" s="14">
        <v>4.9308176100628901E-5</v>
      </c>
    </row>
    <row r="30" spans="1:7" x14ac:dyDescent="0.3">
      <c r="A30" s="9">
        <v>44</v>
      </c>
      <c r="B30" s="21">
        <v>4</v>
      </c>
      <c r="C30" s="15">
        <v>2.1259999999999999E-3</v>
      </c>
      <c r="D30" s="15">
        <v>8.5039999999999994E-3</v>
      </c>
      <c r="E30" s="15">
        <v>1.7733953566867499E-4</v>
      </c>
      <c r="F30" s="22">
        <v>2.51572327044025E-2</v>
      </c>
      <c r="G30" s="15">
        <v>5.3484276729559703E-5</v>
      </c>
    </row>
    <row r="31" spans="1:7" x14ac:dyDescent="0.3">
      <c r="A31" s="6">
        <v>45</v>
      </c>
      <c r="B31" s="23">
        <v>4</v>
      </c>
      <c r="C31" s="14">
        <v>2.3110000000000001E-3</v>
      </c>
      <c r="D31" s="14">
        <v>9.2440000000000005E-3</v>
      </c>
      <c r="E31" s="14">
        <v>1.9278762089280899E-4</v>
      </c>
      <c r="F31" s="24">
        <v>2.51572327044025E-2</v>
      </c>
      <c r="G31" s="14">
        <v>5.8138364779874199E-5</v>
      </c>
    </row>
    <row r="32" spans="1:7" x14ac:dyDescent="0.3">
      <c r="A32" s="9">
        <v>46</v>
      </c>
      <c r="B32" s="21">
        <v>3</v>
      </c>
      <c r="C32" s="15">
        <v>2.5149999999999999E-3</v>
      </c>
      <c r="D32" s="15">
        <v>7.5449999999999996E-3</v>
      </c>
      <c r="E32" s="15">
        <v>2.0982531068713999E-4</v>
      </c>
      <c r="F32" s="22">
        <v>1.88679245283019E-2</v>
      </c>
      <c r="G32" s="15">
        <v>4.7452830188679201E-5</v>
      </c>
    </row>
    <row r="33" spans="1:7" x14ac:dyDescent="0.3">
      <c r="A33" s="6">
        <v>47</v>
      </c>
      <c r="B33" s="23">
        <v>3</v>
      </c>
      <c r="C33" s="14">
        <v>2.7399999999999998E-3</v>
      </c>
      <c r="D33" s="14">
        <v>8.2199999999999999E-3</v>
      </c>
      <c r="E33" s="14">
        <v>2.2862058491890399E-4</v>
      </c>
      <c r="F33" s="24">
        <v>1.88679245283019E-2</v>
      </c>
      <c r="G33" s="14">
        <v>5.1698113207547197E-5</v>
      </c>
    </row>
    <row r="34" spans="1:7" x14ac:dyDescent="0.3">
      <c r="A34" s="9">
        <v>48</v>
      </c>
      <c r="B34" s="21">
        <v>3</v>
      </c>
      <c r="C34" s="15">
        <v>2.9889999999999999E-3</v>
      </c>
      <c r="D34" s="15">
        <v>8.9669999999999993E-3</v>
      </c>
      <c r="E34" s="15">
        <v>2.4942522017834502E-4</v>
      </c>
      <c r="F34" s="22">
        <v>1.88679245283019E-2</v>
      </c>
      <c r="G34" s="15">
        <v>5.6396226415094301E-5</v>
      </c>
    </row>
    <row r="35" spans="1:7" x14ac:dyDescent="0.3">
      <c r="A35" s="6">
        <v>49</v>
      </c>
      <c r="B35" s="23">
        <v>3</v>
      </c>
      <c r="C35" s="14">
        <v>3.2629999999999998E-3</v>
      </c>
      <c r="D35" s="14">
        <v>9.7890000000000008E-3</v>
      </c>
      <c r="E35" s="14">
        <v>2.7232417916123202E-4</v>
      </c>
      <c r="F35" s="24">
        <v>1.88679245283019E-2</v>
      </c>
      <c r="G35" s="14">
        <v>6.15660377358491E-5</v>
      </c>
    </row>
    <row r="36" spans="1:7" x14ac:dyDescent="0.3">
      <c r="A36" s="9">
        <v>50</v>
      </c>
      <c r="B36" s="21">
        <v>3</v>
      </c>
      <c r="C36" s="15">
        <v>3.565E-3</v>
      </c>
      <c r="D36" s="15">
        <v>1.0695E-2</v>
      </c>
      <c r="E36" s="15">
        <v>2.9756986361917397E-4</v>
      </c>
      <c r="F36" s="22">
        <v>1.88679245283019E-2</v>
      </c>
      <c r="G36" s="15">
        <v>6.7264150943396195E-5</v>
      </c>
    </row>
    <row r="37" spans="1:7" x14ac:dyDescent="0.3">
      <c r="A37" s="6">
        <v>51</v>
      </c>
      <c r="B37" s="23">
        <v>3</v>
      </c>
      <c r="C37" s="14">
        <v>3.8960000000000002E-3</v>
      </c>
      <c r="D37" s="14">
        <v>1.1688E-2</v>
      </c>
      <c r="E37" s="14">
        <v>3.2524786027643399E-4</v>
      </c>
      <c r="F37" s="24">
        <v>1.88679245283019E-2</v>
      </c>
      <c r="G37" s="14">
        <v>7.3509433962264199E-5</v>
      </c>
    </row>
    <row r="38" spans="1:7" x14ac:dyDescent="0.3">
      <c r="A38" s="9">
        <v>52</v>
      </c>
      <c r="B38" s="21">
        <v>3</v>
      </c>
      <c r="C38" s="15">
        <v>4.2599999999999999E-3</v>
      </c>
      <c r="D38" s="15">
        <v>1.278E-2</v>
      </c>
      <c r="E38" s="15">
        <v>3.5569502986876301E-4</v>
      </c>
      <c r="F38" s="22">
        <v>1.88679245283019E-2</v>
      </c>
      <c r="G38" s="15">
        <v>8.0377358490566002E-5</v>
      </c>
    </row>
    <row r="39" spans="1:7" x14ac:dyDescent="0.3">
      <c r="A39" s="6">
        <v>53</v>
      </c>
      <c r="B39" s="23">
        <v>3</v>
      </c>
      <c r="C39" s="14">
        <v>4.6589999999999999E-3</v>
      </c>
      <c r="D39" s="14">
        <v>1.3977E-2</v>
      </c>
      <c r="E39" s="14">
        <v>3.8908153552219598E-4</v>
      </c>
      <c r="F39" s="24">
        <v>1.88679245283019E-2</v>
      </c>
      <c r="G39" s="14">
        <v>8.7905660377358502E-5</v>
      </c>
    </row>
    <row r="40" spans="1:7" x14ac:dyDescent="0.3">
      <c r="A40" s="9">
        <v>54</v>
      </c>
      <c r="B40" s="21">
        <v>3</v>
      </c>
      <c r="C40" s="15">
        <v>5.0980000000000001E-3</v>
      </c>
      <c r="D40" s="15">
        <v>1.5294E-2</v>
      </c>
      <c r="E40" s="15">
        <v>4.2582923703005099E-4</v>
      </c>
      <c r="F40" s="22">
        <v>1.88679245283019E-2</v>
      </c>
      <c r="G40" s="15">
        <v>9.6188679245283007E-5</v>
      </c>
    </row>
    <row r="41" spans="1:7" x14ac:dyDescent="0.3">
      <c r="A41" s="6">
        <v>55</v>
      </c>
      <c r="B41" s="23">
        <v>3</v>
      </c>
      <c r="C41" s="14">
        <v>5.5779999999999996E-3</v>
      </c>
      <c r="D41" s="14">
        <v>1.6733999999999999E-2</v>
      </c>
      <c r="E41" s="14">
        <v>4.6602597086153901E-4</v>
      </c>
      <c r="F41" s="24">
        <v>1.88679245283019E-2</v>
      </c>
      <c r="G41" s="14">
        <v>1.05245283018868E-4</v>
      </c>
    </row>
    <row r="42" spans="1:7" x14ac:dyDescent="0.3">
      <c r="A42" s="9">
        <v>56</v>
      </c>
      <c r="B42" s="21">
        <v>1.5</v>
      </c>
      <c r="C42" s="15">
        <v>6.1060000000000003E-3</v>
      </c>
      <c r="D42" s="15">
        <v>9.1590000000000005E-3</v>
      </c>
      <c r="E42" s="15">
        <v>5.1026292582334598E-4</v>
      </c>
      <c r="F42" s="22">
        <v>9.4339622641509396E-3</v>
      </c>
      <c r="G42" s="15">
        <v>5.7603773584905698E-5</v>
      </c>
    </row>
    <row r="43" spans="1:7" x14ac:dyDescent="0.3">
      <c r="A43" s="6">
        <v>57</v>
      </c>
      <c r="B43" s="23">
        <v>1.5</v>
      </c>
      <c r="C43" s="14">
        <v>6.6839999999999998E-3</v>
      </c>
      <c r="D43" s="14">
        <v>1.0026E-2</v>
      </c>
      <c r="E43" s="14">
        <v>5.5871369196736098E-4</v>
      </c>
      <c r="F43" s="24">
        <v>9.4339622641509396E-3</v>
      </c>
      <c r="G43" s="14">
        <v>6.3056603773584894E-5</v>
      </c>
    </row>
    <row r="44" spans="1:7" x14ac:dyDescent="0.3">
      <c r="A44" s="9">
        <v>58</v>
      </c>
      <c r="B44" s="21">
        <v>1.5</v>
      </c>
      <c r="C44" s="15">
        <v>7.3179999999999999E-3</v>
      </c>
      <c r="D44" s="15">
        <v>1.0977000000000001E-2</v>
      </c>
      <c r="E44" s="15">
        <v>6.1188837966585897E-4</v>
      </c>
      <c r="F44" s="22">
        <v>9.4339622641509396E-3</v>
      </c>
      <c r="G44" s="15">
        <v>6.9037735849056598E-5</v>
      </c>
    </row>
    <row r="45" spans="1:7" x14ac:dyDescent="0.3">
      <c r="A45" s="6">
        <v>59</v>
      </c>
      <c r="B45" s="23">
        <v>1.5</v>
      </c>
      <c r="C45" s="14">
        <v>8.0140000000000003E-3</v>
      </c>
      <c r="D45" s="14">
        <v>1.2021E-2</v>
      </c>
      <c r="E45" s="14">
        <v>6.7029897421000395E-4</v>
      </c>
      <c r="F45" s="24">
        <v>9.4339622641509396E-3</v>
      </c>
      <c r="G45" s="14">
        <v>7.5603773584905702E-5</v>
      </c>
    </row>
    <row r="46" spans="1:7" x14ac:dyDescent="0.3">
      <c r="A46" s="9">
        <v>60</v>
      </c>
      <c r="B46" s="21">
        <v>1.5</v>
      </c>
      <c r="C46" s="15">
        <v>8.7760000000000008E-3</v>
      </c>
      <c r="D46" s="15">
        <v>1.3164E-2</v>
      </c>
      <c r="E46" s="15">
        <v>7.3429159965077205E-4</v>
      </c>
      <c r="F46" s="22">
        <v>9.4339622641509396E-3</v>
      </c>
      <c r="G46" s="15">
        <v>8.27924528301887E-5</v>
      </c>
    </row>
    <row r="47" spans="1:7" x14ac:dyDescent="0.3">
      <c r="A47" s="6">
        <v>61</v>
      </c>
      <c r="B47" s="23">
        <v>1.5</v>
      </c>
      <c r="C47" s="14">
        <v>9.6100000000000005E-3</v>
      </c>
      <c r="D47" s="14">
        <v>1.4415000000000001E-2</v>
      </c>
      <c r="E47" s="14">
        <v>8.04382480263932E-4</v>
      </c>
      <c r="F47" s="24">
        <v>9.4339622641509396E-3</v>
      </c>
      <c r="G47" s="14">
        <v>9.0660377358490595E-5</v>
      </c>
    </row>
    <row r="48" spans="1:7" x14ac:dyDescent="0.3">
      <c r="A48" s="9">
        <v>62</v>
      </c>
      <c r="B48" s="21">
        <v>1.5</v>
      </c>
      <c r="C48" s="15">
        <v>1.0526000000000001E-2</v>
      </c>
      <c r="D48" s="15">
        <v>1.5789000000000001E-2</v>
      </c>
      <c r="E48" s="15">
        <v>8.8142716313366299E-4</v>
      </c>
      <c r="F48" s="22">
        <v>9.4339622641509396E-3</v>
      </c>
      <c r="G48" s="15">
        <v>9.9301886792452801E-5</v>
      </c>
    </row>
    <row r="49" spans="1:7" x14ac:dyDescent="0.3">
      <c r="A49" s="6">
        <v>63</v>
      </c>
      <c r="B49" s="23">
        <v>1.5</v>
      </c>
      <c r="C49" s="14">
        <v>1.1528999999999999E-2</v>
      </c>
      <c r="D49" s="14">
        <v>1.72935E-2</v>
      </c>
      <c r="E49" s="14">
        <v>9.6586443418689204E-4</v>
      </c>
      <c r="F49" s="24">
        <v>9.4339622641509396E-3</v>
      </c>
      <c r="G49" s="14">
        <v>1.08764150943396E-4</v>
      </c>
    </row>
    <row r="50" spans="1:7" x14ac:dyDescent="0.3">
      <c r="A50" s="9">
        <v>64</v>
      </c>
      <c r="B50" s="21">
        <v>1.5</v>
      </c>
      <c r="C50" s="15">
        <v>1.2626999999999999E-2</v>
      </c>
      <c r="D50" s="15">
        <v>1.8940499999999999E-2</v>
      </c>
      <c r="E50" s="15">
        <v>1.05838934985159E-3</v>
      </c>
      <c r="F50" s="22">
        <v>9.4339622641509396E-3</v>
      </c>
      <c r="G50" s="15">
        <v>1.19122641509434E-4</v>
      </c>
    </row>
    <row r="51" spans="1:7" x14ac:dyDescent="0.3">
      <c r="A51" s="6">
        <v>65</v>
      </c>
      <c r="B51" s="23">
        <v>1.5</v>
      </c>
      <c r="C51" s="14">
        <v>1.3832000000000001E-2</v>
      </c>
      <c r="D51" s="14">
        <v>2.0747999999999999E-2</v>
      </c>
      <c r="E51" s="14">
        <v>1.1600394249536899E-3</v>
      </c>
      <c r="F51" s="24">
        <v>9.4339622641509396E-3</v>
      </c>
      <c r="G51" s="14">
        <v>1.30490566037736E-4</v>
      </c>
    </row>
    <row r="53" spans="1:7" x14ac:dyDescent="0.3">
      <c r="A53" s="69" t="s">
        <v>131</v>
      </c>
      <c r="B53" s="69"/>
      <c r="C53" s="69"/>
      <c r="D53" s="69"/>
      <c r="E53" s="69"/>
      <c r="F53" s="25">
        <v>2.5264842767295601E-3</v>
      </c>
    </row>
    <row r="54" spans="1:7" x14ac:dyDescent="0.3">
      <c r="A54" s="69" t="s">
        <v>132</v>
      </c>
      <c r="B54" s="69"/>
      <c r="C54" s="69"/>
      <c r="D54" s="69"/>
      <c r="E54" s="69"/>
    </row>
    <row r="55" spans="1:7" x14ac:dyDescent="0.3">
      <c r="A55" s="69" t="s">
        <v>133</v>
      </c>
      <c r="B55" s="69"/>
      <c r="C55" s="69"/>
      <c r="D55" s="69"/>
      <c r="E55" s="69"/>
    </row>
    <row r="56" spans="1:7" x14ac:dyDescent="0.3">
      <c r="A56" s="66" t="s">
        <v>3</v>
      </c>
      <c r="B56" s="66"/>
      <c r="C56" s="66"/>
      <c r="D56" s="66"/>
      <c r="E56" s="66"/>
      <c r="F56" s="26">
        <v>3.0507297641509399E-3</v>
      </c>
    </row>
    <row r="57" spans="1:7" x14ac:dyDescent="0.3">
      <c r="A57" s="66" t="s">
        <v>134</v>
      </c>
      <c r="B57" s="66"/>
      <c r="C57" s="66"/>
      <c r="D57" s="66"/>
      <c r="E57" s="66"/>
      <c r="F57" s="26">
        <v>2.5458364860164701E-4</v>
      </c>
    </row>
  </sheetData>
  <mergeCells count="7">
    <mergeCell ref="A56:E56"/>
    <mergeCell ref="A57:E57"/>
    <mergeCell ref="A1:G1"/>
    <mergeCell ref="A2:G2"/>
    <mergeCell ref="A53:E53"/>
    <mergeCell ref="A54:E54"/>
    <mergeCell ref="A55:E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7"/>
  <sheetViews>
    <sheetView showGridLines="0" workbookViewId="0"/>
  </sheetViews>
  <sheetFormatPr defaultColWidth="8.6640625" defaultRowHeight="14.4" x14ac:dyDescent="0.3"/>
  <cols>
    <col min="1" max="1" width="8" customWidth="1"/>
    <col min="2" max="2" width="10" customWidth="1"/>
    <col min="3" max="3" width="16" customWidth="1"/>
    <col min="4" max="6" width="14" customWidth="1"/>
    <col min="7" max="7" width="22" customWidth="1"/>
  </cols>
  <sheetData>
    <row r="1" spans="1:7" ht="21.75" customHeight="1" x14ac:dyDescent="0.3">
      <c r="A1" s="67" t="s">
        <v>135</v>
      </c>
      <c r="B1" s="67"/>
      <c r="C1" s="67"/>
      <c r="D1" s="67"/>
      <c r="E1" s="67"/>
      <c r="F1" s="67"/>
      <c r="G1" s="67"/>
    </row>
    <row r="2" spans="1:7" x14ac:dyDescent="0.3">
      <c r="A2" s="68" t="s">
        <v>136</v>
      </c>
      <c r="B2" s="68"/>
      <c r="C2" s="68"/>
      <c r="D2" s="68"/>
      <c r="E2" s="68"/>
      <c r="F2" s="68"/>
      <c r="G2" s="68"/>
    </row>
    <row r="3" spans="1:7" x14ac:dyDescent="0.3">
      <c r="A3" s="3" t="s">
        <v>111</v>
      </c>
      <c r="B3" s="3" t="s">
        <v>126</v>
      </c>
      <c r="C3" s="3" t="s">
        <v>127</v>
      </c>
      <c r="D3" s="3" t="s">
        <v>128</v>
      </c>
      <c r="E3" s="3" t="s">
        <v>113</v>
      </c>
      <c r="F3" s="3" t="s">
        <v>129</v>
      </c>
      <c r="G3" s="3" t="s">
        <v>130</v>
      </c>
    </row>
    <row r="4" spans="1:7" x14ac:dyDescent="0.3">
      <c r="A4" s="9">
        <v>18</v>
      </c>
      <c r="B4" s="21">
        <v>3</v>
      </c>
      <c r="C4" s="15">
        <v>7.5199999999999996E-4</v>
      </c>
      <c r="D4" s="15">
        <v>2.2560000000000002E-3</v>
      </c>
      <c r="E4" s="15">
        <v>6.2688276160627305E-5</v>
      </c>
      <c r="F4" s="22">
        <v>1.88679245283019E-2</v>
      </c>
      <c r="G4" s="15">
        <v>1.4188679245283001E-5</v>
      </c>
    </row>
    <row r="5" spans="1:7" x14ac:dyDescent="0.3">
      <c r="A5" s="6">
        <v>19</v>
      </c>
      <c r="B5" s="23">
        <v>3</v>
      </c>
      <c r="C5" s="14">
        <v>8.3299999999999997E-4</v>
      </c>
      <c r="D5" s="14">
        <v>2.4989999999999999E-3</v>
      </c>
      <c r="E5" s="14">
        <v>6.9443183484674305E-5</v>
      </c>
      <c r="F5" s="24">
        <v>1.88679245283019E-2</v>
      </c>
      <c r="G5" s="14">
        <v>1.57169811320755E-5</v>
      </c>
    </row>
    <row r="6" spans="1:7" x14ac:dyDescent="0.3">
      <c r="A6" s="9">
        <v>20</v>
      </c>
      <c r="B6" s="21">
        <v>3</v>
      </c>
      <c r="C6" s="15">
        <v>9.0200000000000002E-4</v>
      </c>
      <c r="D6" s="15">
        <v>2.7060000000000001E-3</v>
      </c>
      <c r="E6" s="15">
        <v>7.5197759739187298E-5</v>
      </c>
      <c r="F6" s="22">
        <v>1.88679245283019E-2</v>
      </c>
      <c r="G6" s="15">
        <v>1.70188679245283E-5</v>
      </c>
    </row>
    <row r="7" spans="1:7" x14ac:dyDescent="0.3">
      <c r="A7" s="6">
        <v>21</v>
      </c>
      <c r="B7" s="23">
        <v>3</v>
      </c>
      <c r="C7" s="14">
        <v>9.5699999999999995E-4</v>
      </c>
      <c r="D7" s="14">
        <v>2.8709999999999999E-3</v>
      </c>
      <c r="E7" s="14">
        <v>7.9785001746213196E-5</v>
      </c>
      <c r="F7" s="24">
        <v>1.88679245283019E-2</v>
      </c>
      <c r="G7" s="14">
        <v>1.8056603773584898E-5</v>
      </c>
    </row>
    <row r="8" spans="1:7" x14ac:dyDescent="0.3">
      <c r="A8" s="9">
        <v>22</v>
      </c>
      <c r="B8" s="21">
        <v>3</v>
      </c>
      <c r="C8" s="15">
        <v>9.9799999999999997E-4</v>
      </c>
      <c r="D8" s="15">
        <v>2.9940000000000001E-3</v>
      </c>
      <c r="E8" s="15">
        <v>8.3204732759689702E-5</v>
      </c>
      <c r="F8" s="22">
        <v>1.88679245283019E-2</v>
      </c>
      <c r="G8" s="15">
        <v>1.8830188679245301E-5</v>
      </c>
    </row>
    <row r="9" spans="1:7" x14ac:dyDescent="0.3">
      <c r="A9" s="6">
        <v>23</v>
      </c>
      <c r="B9" s="23">
        <v>3</v>
      </c>
      <c r="C9" s="14">
        <v>1.0250000000000001E-3</v>
      </c>
      <c r="D9" s="14">
        <v>3.075E-3</v>
      </c>
      <c r="E9" s="14">
        <v>8.5456821002805104E-5</v>
      </c>
      <c r="F9" s="24">
        <v>1.88679245283019E-2</v>
      </c>
      <c r="G9" s="14">
        <v>1.9339622641509399E-5</v>
      </c>
    </row>
    <row r="10" spans="1:7" x14ac:dyDescent="0.3">
      <c r="A10" s="9">
        <v>24</v>
      </c>
      <c r="B10" s="21">
        <v>3</v>
      </c>
      <c r="C10" s="15">
        <v>1.0399999999999999E-3</v>
      </c>
      <c r="D10" s="15">
        <v>3.1199999999999999E-3</v>
      </c>
      <c r="E10" s="15">
        <v>8.6708005247571106E-5</v>
      </c>
      <c r="F10" s="22">
        <v>1.88679245283019E-2</v>
      </c>
      <c r="G10" s="15">
        <v>1.9622641509434E-5</v>
      </c>
    </row>
    <row r="11" spans="1:7" x14ac:dyDescent="0.3">
      <c r="A11" s="6">
        <v>25</v>
      </c>
      <c r="B11" s="23">
        <v>3</v>
      </c>
      <c r="C11" s="14">
        <v>1.047E-3</v>
      </c>
      <c r="D11" s="14">
        <v>3.1410000000000001E-3</v>
      </c>
      <c r="E11" s="14">
        <v>8.7291897122088194E-5</v>
      </c>
      <c r="F11" s="24">
        <v>1.88679245283019E-2</v>
      </c>
      <c r="G11" s="14">
        <v>1.9754716981132099E-5</v>
      </c>
    </row>
    <row r="12" spans="1:7" x14ac:dyDescent="0.3">
      <c r="A12" s="9">
        <v>26</v>
      </c>
      <c r="B12" s="21">
        <v>5</v>
      </c>
      <c r="C12" s="15">
        <v>1.0480000000000001E-3</v>
      </c>
      <c r="D12" s="15">
        <v>5.2399999999999999E-3</v>
      </c>
      <c r="E12" s="15">
        <v>8.7375310553139393E-5</v>
      </c>
      <c r="F12" s="22">
        <v>3.1446540880503103E-2</v>
      </c>
      <c r="G12" s="15">
        <v>3.2955974842767299E-5</v>
      </c>
    </row>
    <row r="13" spans="1:7" x14ac:dyDescent="0.3">
      <c r="A13" s="6">
        <v>27</v>
      </c>
      <c r="B13" s="23">
        <v>5</v>
      </c>
      <c r="C13" s="14">
        <v>1.0460000000000001E-3</v>
      </c>
      <c r="D13" s="14">
        <v>5.2300000000000003E-3</v>
      </c>
      <c r="E13" s="14">
        <v>8.7208483767531306E-5</v>
      </c>
      <c r="F13" s="24">
        <v>3.1446540880503103E-2</v>
      </c>
      <c r="G13" s="14">
        <v>3.2893081761006302E-5</v>
      </c>
    </row>
    <row r="14" spans="1:7" x14ac:dyDescent="0.3">
      <c r="A14" s="9">
        <v>28</v>
      </c>
      <c r="B14" s="21">
        <v>5</v>
      </c>
      <c r="C14" s="15">
        <v>1.0430000000000001E-3</v>
      </c>
      <c r="D14" s="15">
        <v>5.215E-3</v>
      </c>
      <c r="E14" s="15">
        <v>8.6958244163048995E-5</v>
      </c>
      <c r="F14" s="22">
        <v>3.1446540880503103E-2</v>
      </c>
      <c r="G14" s="15">
        <v>3.27987421383648E-5</v>
      </c>
    </row>
    <row r="15" spans="1:7" x14ac:dyDescent="0.3">
      <c r="A15" s="6">
        <v>29</v>
      </c>
      <c r="B15" s="23">
        <v>5</v>
      </c>
      <c r="C15" s="14">
        <v>1.042E-3</v>
      </c>
      <c r="D15" s="14">
        <v>5.2100000000000002E-3</v>
      </c>
      <c r="E15" s="14">
        <v>8.6874831114691604E-5</v>
      </c>
      <c r="F15" s="24">
        <v>3.1446540880503103E-2</v>
      </c>
      <c r="G15" s="14">
        <v>3.2767295597484302E-5</v>
      </c>
    </row>
    <row r="16" spans="1:7" x14ac:dyDescent="0.3">
      <c r="A16" s="9">
        <v>30</v>
      </c>
      <c r="B16" s="21">
        <v>5</v>
      </c>
      <c r="C16" s="15">
        <v>1.0449999999999999E-3</v>
      </c>
      <c r="D16" s="15">
        <v>5.2249999999999996E-3</v>
      </c>
      <c r="E16" s="15">
        <v>8.7125070489468798E-5</v>
      </c>
      <c r="F16" s="22">
        <v>3.1446540880503103E-2</v>
      </c>
      <c r="G16" s="15">
        <v>3.2861635220125797E-5</v>
      </c>
    </row>
    <row r="17" spans="1:7" x14ac:dyDescent="0.3">
      <c r="A17" s="6">
        <v>31</v>
      </c>
      <c r="B17" s="23">
        <v>5</v>
      </c>
      <c r="C17" s="14">
        <v>1.0529999999999999E-3</v>
      </c>
      <c r="D17" s="14">
        <v>5.2649999999999997E-3</v>
      </c>
      <c r="E17" s="14">
        <v>8.7792378856810197E-5</v>
      </c>
      <c r="F17" s="24">
        <v>3.1446540880503103E-2</v>
      </c>
      <c r="G17" s="14">
        <v>3.3113207547169798E-5</v>
      </c>
    </row>
    <row r="18" spans="1:7" x14ac:dyDescent="0.3">
      <c r="A18" s="9">
        <v>32</v>
      </c>
      <c r="B18" s="21">
        <v>5</v>
      </c>
      <c r="C18" s="15">
        <v>1.0690000000000001E-3</v>
      </c>
      <c r="D18" s="15">
        <v>5.3449999999999999E-3</v>
      </c>
      <c r="E18" s="15">
        <v>8.9127010287848294E-5</v>
      </c>
      <c r="F18" s="22">
        <v>3.1446540880503103E-2</v>
      </c>
      <c r="G18" s="15">
        <v>3.3616352201257902E-5</v>
      </c>
    </row>
    <row r="19" spans="1:7" x14ac:dyDescent="0.3">
      <c r="A19" s="6">
        <v>33</v>
      </c>
      <c r="B19" s="23">
        <v>5</v>
      </c>
      <c r="C19" s="14">
        <v>1.093E-3</v>
      </c>
      <c r="D19" s="14">
        <v>5.4650000000000002E-3</v>
      </c>
      <c r="E19" s="14">
        <v>9.1128994176514807E-5</v>
      </c>
      <c r="F19" s="24">
        <v>3.1446540880503103E-2</v>
      </c>
      <c r="G19" s="14">
        <v>3.4371069182389899E-5</v>
      </c>
    </row>
    <row r="20" spans="1:7" x14ac:dyDescent="0.3">
      <c r="A20" s="9">
        <v>34</v>
      </c>
      <c r="B20" s="21">
        <v>5</v>
      </c>
      <c r="C20" s="15">
        <v>1.126E-3</v>
      </c>
      <c r="D20" s="15">
        <v>5.6299999999999996E-3</v>
      </c>
      <c r="E20" s="15">
        <v>9.3881794018368895E-5</v>
      </c>
      <c r="F20" s="22">
        <v>3.1446540880503103E-2</v>
      </c>
      <c r="G20" s="15">
        <v>3.5408805031446497E-5</v>
      </c>
    </row>
    <row r="21" spans="1:7" x14ac:dyDescent="0.3">
      <c r="A21" s="6">
        <v>35</v>
      </c>
      <c r="B21" s="23">
        <v>5</v>
      </c>
      <c r="C21" s="14">
        <v>1.17E-3</v>
      </c>
      <c r="D21" s="14">
        <v>5.8500000000000002E-3</v>
      </c>
      <c r="E21" s="14">
        <v>9.7552323490956994E-5</v>
      </c>
      <c r="F21" s="24">
        <v>3.1446540880503103E-2</v>
      </c>
      <c r="G21" s="14">
        <v>3.67924528301887E-5</v>
      </c>
    </row>
    <row r="22" spans="1:7" x14ac:dyDescent="0.3">
      <c r="A22" s="9">
        <v>36</v>
      </c>
      <c r="B22" s="21">
        <v>4</v>
      </c>
      <c r="C22" s="15">
        <v>1.224E-3</v>
      </c>
      <c r="D22" s="15">
        <v>4.8960000000000002E-3</v>
      </c>
      <c r="E22" s="15">
        <v>1.02057266787581E-4</v>
      </c>
      <c r="F22" s="22">
        <v>2.51572327044025E-2</v>
      </c>
      <c r="G22" s="15">
        <v>3.0792452830188697E-5</v>
      </c>
    </row>
    <row r="23" spans="1:7" x14ac:dyDescent="0.3">
      <c r="A23" s="6">
        <v>37</v>
      </c>
      <c r="B23" s="23">
        <v>4</v>
      </c>
      <c r="C23" s="14">
        <v>1.2899999999999999E-3</v>
      </c>
      <c r="D23" s="14">
        <v>5.1599999999999997E-3</v>
      </c>
      <c r="E23" s="14">
        <v>1.07563611807859E-4</v>
      </c>
      <c r="F23" s="24">
        <v>2.51572327044025E-2</v>
      </c>
      <c r="G23" s="14">
        <v>3.2452830188679202E-5</v>
      </c>
    </row>
    <row r="24" spans="1:7" x14ac:dyDescent="0.3">
      <c r="A24" s="9">
        <v>38</v>
      </c>
      <c r="B24" s="21">
        <v>4</v>
      </c>
      <c r="C24" s="15">
        <v>1.3669999999999999E-3</v>
      </c>
      <c r="D24" s="15">
        <v>5.4679999999999998E-3</v>
      </c>
      <c r="E24" s="15">
        <v>1.13988102601881E-4</v>
      </c>
      <c r="F24" s="22">
        <v>2.51572327044025E-2</v>
      </c>
      <c r="G24" s="15">
        <v>3.43899371069182E-5</v>
      </c>
    </row>
    <row r="25" spans="1:7" x14ac:dyDescent="0.3">
      <c r="A25" s="6">
        <v>39</v>
      </c>
      <c r="B25" s="23">
        <v>4</v>
      </c>
      <c r="C25" s="14">
        <v>1.4580000000000001E-3</v>
      </c>
      <c r="D25" s="14">
        <v>5.8320000000000004E-3</v>
      </c>
      <c r="E25" s="14">
        <v>1.21581268086146E-4</v>
      </c>
      <c r="F25" s="24">
        <v>2.51572327044025E-2</v>
      </c>
      <c r="G25" s="14">
        <v>3.6679245283018898E-5</v>
      </c>
    </row>
    <row r="26" spans="1:7" x14ac:dyDescent="0.3">
      <c r="A26" s="9">
        <v>40</v>
      </c>
      <c r="B26" s="21">
        <v>4</v>
      </c>
      <c r="C26" s="15">
        <v>1.5610000000000001E-3</v>
      </c>
      <c r="D26" s="15">
        <v>6.2440000000000004E-3</v>
      </c>
      <c r="E26" s="15">
        <v>1.3017649546243101E-4</v>
      </c>
      <c r="F26" s="22">
        <v>2.51572327044025E-2</v>
      </c>
      <c r="G26" s="15">
        <v>3.9270440251572301E-5</v>
      </c>
    </row>
    <row r="27" spans="1:7" x14ac:dyDescent="0.3">
      <c r="A27" s="6">
        <v>41</v>
      </c>
      <c r="B27" s="23">
        <v>4</v>
      </c>
      <c r="C27" s="14">
        <v>1.6789999999999999E-3</v>
      </c>
      <c r="D27" s="14">
        <v>6.7159999999999997E-3</v>
      </c>
      <c r="E27" s="14">
        <v>1.40024454011956E-4</v>
      </c>
      <c r="F27" s="24">
        <v>2.51572327044025E-2</v>
      </c>
      <c r="G27" s="14">
        <v>4.2238993710691801E-5</v>
      </c>
    </row>
    <row r="28" spans="1:7" x14ac:dyDescent="0.3">
      <c r="A28" s="9">
        <v>42</v>
      </c>
      <c r="B28" s="21">
        <v>4</v>
      </c>
      <c r="C28" s="15">
        <v>1.812E-3</v>
      </c>
      <c r="D28" s="15">
        <v>7.2480000000000001E-3</v>
      </c>
      <c r="E28" s="15">
        <v>1.5112555086982399E-4</v>
      </c>
      <c r="F28" s="22">
        <v>2.51572327044025E-2</v>
      </c>
      <c r="G28" s="15">
        <v>4.5584905660377397E-5</v>
      </c>
    </row>
    <row r="29" spans="1:7" x14ac:dyDescent="0.3">
      <c r="A29" s="6">
        <v>43</v>
      </c>
      <c r="B29" s="23">
        <v>4</v>
      </c>
      <c r="C29" s="14">
        <v>1.9599999999999999E-3</v>
      </c>
      <c r="D29" s="14">
        <v>7.8399999999999997E-3</v>
      </c>
      <c r="E29" s="14">
        <v>1.6348024510992601E-4</v>
      </c>
      <c r="F29" s="24">
        <v>2.51572327044025E-2</v>
      </c>
      <c r="G29" s="14">
        <v>4.9308176100628901E-5</v>
      </c>
    </row>
    <row r="30" spans="1:7" x14ac:dyDescent="0.3">
      <c r="A30" s="9">
        <v>44</v>
      </c>
      <c r="B30" s="21">
        <v>4</v>
      </c>
      <c r="C30" s="15">
        <v>2.1259999999999999E-3</v>
      </c>
      <c r="D30" s="15">
        <v>8.5039999999999994E-3</v>
      </c>
      <c r="E30" s="15">
        <v>1.7733953566867499E-4</v>
      </c>
      <c r="F30" s="22">
        <v>2.51572327044025E-2</v>
      </c>
      <c r="G30" s="15">
        <v>5.3484276729559703E-5</v>
      </c>
    </row>
    <row r="31" spans="1:7" x14ac:dyDescent="0.3">
      <c r="A31" s="6">
        <v>45</v>
      </c>
      <c r="B31" s="23">
        <v>4</v>
      </c>
      <c r="C31" s="14">
        <v>2.3110000000000001E-3</v>
      </c>
      <c r="D31" s="14">
        <v>9.2440000000000005E-3</v>
      </c>
      <c r="E31" s="14">
        <v>1.9278762089280899E-4</v>
      </c>
      <c r="F31" s="24">
        <v>2.51572327044025E-2</v>
      </c>
      <c r="G31" s="14">
        <v>5.8138364779874199E-5</v>
      </c>
    </row>
    <row r="32" spans="1:7" x14ac:dyDescent="0.3">
      <c r="A32" s="9">
        <v>46</v>
      </c>
      <c r="B32" s="21">
        <v>3</v>
      </c>
      <c r="C32" s="15">
        <v>2.5149999999999999E-3</v>
      </c>
      <c r="D32" s="15">
        <v>7.5449999999999996E-3</v>
      </c>
      <c r="E32" s="15">
        <v>2.0982531068713999E-4</v>
      </c>
      <c r="F32" s="22">
        <v>1.88679245283019E-2</v>
      </c>
      <c r="G32" s="15">
        <v>4.7452830188679201E-5</v>
      </c>
    </row>
    <row r="33" spans="1:7" x14ac:dyDescent="0.3">
      <c r="A33" s="6">
        <v>47</v>
      </c>
      <c r="B33" s="23">
        <v>3</v>
      </c>
      <c r="C33" s="14">
        <v>2.7399999999999998E-3</v>
      </c>
      <c r="D33" s="14">
        <v>8.2199999999999999E-3</v>
      </c>
      <c r="E33" s="14">
        <v>2.2862058491890399E-4</v>
      </c>
      <c r="F33" s="24">
        <v>1.88679245283019E-2</v>
      </c>
      <c r="G33" s="14">
        <v>5.1698113207547197E-5</v>
      </c>
    </row>
    <row r="34" spans="1:7" x14ac:dyDescent="0.3">
      <c r="A34" s="9">
        <v>48</v>
      </c>
      <c r="B34" s="21">
        <v>3</v>
      </c>
      <c r="C34" s="15">
        <v>2.9889999999999999E-3</v>
      </c>
      <c r="D34" s="15">
        <v>8.9669999999999993E-3</v>
      </c>
      <c r="E34" s="15">
        <v>2.4942522017834502E-4</v>
      </c>
      <c r="F34" s="22">
        <v>1.88679245283019E-2</v>
      </c>
      <c r="G34" s="15">
        <v>5.6396226415094301E-5</v>
      </c>
    </row>
    <row r="35" spans="1:7" x14ac:dyDescent="0.3">
      <c r="A35" s="6">
        <v>49</v>
      </c>
      <c r="B35" s="23">
        <v>3</v>
      </c>
      <c r="C35" s="14">
        <v>3.2629999999999998E-3</v>
      </c>
      <c r="D35" s="14">
        <v>9.7890000000000008E-3</v>
      </c>
      <c r="E35" s="14">
        <v>2.7232417916123202E-4</v>
      </c>
      <c r="F35" s="24">
        <v>1.88679245283019E-2</v>
      </c>
      <c r="G35" s="14">
        <v>6.15660377358491E-5</v>
      </c>
    </row>
    <row r="36" spans="1:7" x14ac:dyDescent="0.3">
      <c r="A36" s="9">
        <v>50</v>
      </c>
      <c r="B36" s="21">
        <v>3</v>
      </c>
      <c r="C36" s="15">
        <v>3.565E-3</v>
      </c>
      <c r="D36" s="15">
        <v>1.0695E-2</v>
      </c>
      <c r="E36" s="15">
        <v>2.9756986361917397E-4</v>
      </c>
      <c r="F36" s="22">
        <v>1.88679245283019E-2</v>
      </c>
      <c r="G36" s="15">
        <v>6.7264150943396195E-5</v>
      </c>
    </row>
    <row r="37" spans="1:7" x14ac:dyDescent="0.3">
      <c r="A37" s="6">
        <v>51</v>
      </c>
      <c r="B37" s="23">
        <v>3</v>
      </c>
      <c r="C37" s="14">
        <v>3.8960000000000002E-3</v>
      </c>
      <c r="D37" s="14">
        <v>1.1688E-2</v>
      </c>
      <c r="E37" s="14">
        <v>3.2524786027643399E-4</v>
      </c>
      <c r="F37" s="24">
        <v>1.88679245283019E-2</v>
      </c>
      <c r="G37" s="14">
        <v>7.3509433962264199E-5</v>
      </c>
    </row>
    <row r="38" spans="1:7" x14ac:dyDescent="0.3">
      <c r="A38" s="9">
        <v>52</v>
      </c>
      <c r="B38" s="21">
        <v>3</v>
      </c>
      <c r="C38" s="15">
        <v>4.2599999999999999E-3</v>
      </c>
      <c r="D38" s="15">
        <v>1.278E-2</v>
      </c>
      <c r="E38" s="15">
        <v>3.5569502986876301E-4</v>
      </c>
      <c r="F38" s="22">
        <v>1.88679245283019E-2</v>
      </c>
      <c r="G38" s="15">
        <v>8.0377358490566002E-5</v>
      </c>
    </row>
    <row r="39" spans="1:7" x14ac:dyDescent="0.3">
      <c r="A39" s="6">
        <v>53</v>
      </c>
      <c r="B39" s="23">
        <v>3</v>
      </c>
      <c r="C39" s="14">
        <v>4.6589999999999999E-3</v>
      </c>
      <c r="D39" s="14">
        <v>1.3977E-2</v>
      </c>
      <c r="E39" s="14">
        <v>3.8908153552219598E-4</v>
      </c>
      <c r="F39" s="24">
        <v>1.88679245283019E-2</v>
      </c>
      <c r="G39" s="14">
        <v>8.7905660377358502E-5</v>
      </c>
    </row>
    <row r="40" spans="1:7" x14ac:dyDescent="0.3">
      <c r="A40" s="9">
        <v>54</v>
      </c>
      <c r="B40" s="21">
        <v>3</v>
      </c>
      <c r="C40" s="15">
        <v>5.0980000000000001E-3</v>
      </c>
      <c r="D40" s="15">
        <v>1.5294E-2</v>
      </c>
      <c r="E40" s="15">
        <v>4.2582923703005099E-4</v>
      </c>
      <c r="F40" s="22">
        <v>1.88679245283019E-2</v>
      </c>
      <c r="G40" s="15">
        <v>9.6188679245283007E-5</v>
      </c>
    </row>
    <row r="41" spans="1:7" x14ac:dyDescent="0.3">
      <c r="A41" s="6">
        <v>55</v>
      </c>
      <c r="B41" s="23">
        <v>3</v>
      </c>
      <c r="C41" s="14">
        <v>5.5779999999999996E-3</v>
      </c>
      <c r="D41" s="14">
        <v>1.6733999999999999E-2</v>
      </c>
      <c r="E41" s="14">
        <v>4.6602597086153901E-4</v>
      </c>
      <c r="F41" s="24">
        <v>1.88679245283019E-2</v>
      </c>
      <c r="G41" s="14">
        <v>1.05245283018868E-4</v>
      </c>
    </row>
    <row r="42" spans="1:7" x14ac:dyDescent="0.3">
      <c r="A42" s="9">
        <v>56</v>
      </c>
      <c r="B42" s="21">
        <v>1.5</v>
      </c>
      <c r="C42" s="15">
        <v>6.1060000000000003E-3</v>
      </c>
      <c r="D42" s="15">
        <v>9.1590000000000005E-3</v>
      </c>
      <c r="E42" s="15">
        <v>5.1026292582334598E-4</v>
      </c>
      <c r="F42" s="22">
        <v>9.4339622641509396E-3</v>
      </c>
      <c r="G42" s="15">
        <v>5.7603773584905698E-5</v>
      </c>
    </row>
    <row r="43" spans="1:7" x14ac:dyDescent="0.3">
      <c r="A43" s="6">
        <v>57</v>
      </c>
      <c r="B43" s="23">
        <v>1.5</v>
      </c>
      <c r="C43" s="14">
        <v>6.6839999999999998E-3</v>
      </c>
      <c r="D43" s="14">
        <v>1.0026E-2</v>
      </c>
      <c r="E43" s="14">
        <v>5.5871369196736098E-4</v>
      </c>
      <c r="F43" s="24">
        <v>9.4339622641509396E-3</v>
      </c>
      <c r="G43" s="14">
        <v>6.3056603773584894E-5</v>
      </c>
    </row>
    <row r="44" spans="1:7" x14ac:dyDescent="0.3">
      <c r="A44" s="9">
        <v>58</v>
      </c>
      <c r="B44" s="21">
        <v>1.5</v>
      </c>
      <c r="C44" s="15">
        <v>7.3179999999999999E-3</v>
      </c>
      <c r="D44" s="15">
        <v>1.0977000000000001E-2</v>
      </c>
      <c r="E44" s="15">
        <v>6.1188837966585897E-4</v>
      </c>
      <c r="F44" s="22">
        <v>9.4339622641509396E-3</v>
      </c>
      <c r="G44" s="15">
        <v>6.9037735849056598E-5</v>
      </c>
    </row>
    <row r="45" spans="1:7" x14ac:dyDescent="0.3">
      <c r="A45" s="6">
        <v>59</v>
      </c>
      <c r="B45" s="23">
        <v>1.5</v>
      </c>
      <c r="C45" s="14">
        <v>8.0140000000000003E-3</v>
      </c>
      <c r="D45" s="14">
        <v>1.2021E-2</v>
      </c>
      <c r="E45" s="14">
        <v>6.7029897421000395E-4</v>
      </c>
      <c r="F45" s="24">
        <v>9.4339622641509396E-3</v>
      </c>
      <c r="G45" s="14">
        <v>7.5603773584905702E-5</v>
      </c>
    </row>
    <row r="46" spans="1:7" x14ac:dyDescent="0.3">
      <c r="A46" s="9">
        <v>60</v>
      </c>
      <c r="B46" s="21">
        <v>1.5</v>
      </c>
      <c r="C46" s="15">
        <v>8.7760000000000008E-3</v>
      </c>
      <c r="D46" s="15">
        <v>1.3164E-2</v>
      </c>
      <c r="E46" s="15">
        <v>7.3429159965077205E-4</v>
      </c>
      <c r="F46" s="22">
        <v>9.4339622641509396E-3</v>
      </c>
      <c r="G46" s="15">
        <v>8.27924528301887E-5</v>
      </c>
    </row>
    <row r="47" spans="1:7" x14ac:dyDescent="0.3">
      <c r="A47" s="6">
        <v>61</v>
      </c>
      <c r="B47" s="23">
        <v>1.5</v>
      </c>
      <c r="C47" s="14">
        <v>9.6100000000000005E-3</v>
      </c>
      <c r="D47" s="14">
        <v>1.4415000000000001E-2</v>
      </c>
      <c r="E47" s="14">
        <v>8.04382480263932E-4</v>
      </c>
      <c r="F47" s="24">
        <v>9.4339622641509396E-3</v>
      </c>
      <c r="G47" s="14">
        <v>9.0660377358490595E-5</v>
      </c>
    </row>
    <row r="48" spans="1:7" x14ac:dyDescent="0.3">
      <c r="A48" s="9">
        <v>62</v>
      </c>
      <c r="B48" s="21">
        <v>1.5</v>
      </c>
      <c r="C48" s="15">
        <v>1.0526000000000001E-2</v>
      </c>
      <c r="D48" s="15">
        <v>1.5789000000000001E-2</v>
      </c>
      <c r="E48" s="15">
        <v>8.8142716313366299E-4</v>
      </c>
      <c r="F48" s="22">
        <v>9.4339622641509396E-3</v>
      </c>
      <c r="G48" s="15">
        <v>9.9301886792452801E-5</v>
      </c>
    </row>
    <row r="49" spans="1:7" x14ac:dyDescent="0.3">
      <c r="A49" s="6">
        <v>63</v>
      </c>
      <c r="B49" s="23">
        <v>1.5</v>
      </c>
      <c r="C49" s="14">
        <v>1.1528999999999999E-2</v>
      </c>
      <c r="D49" s="14">
        <v>1.72935E-2</v>
      </c>
      <c r="E49" s="14">
        <v>9.6586443418689204E-4</v>
      </c>
      <c r="F49" s="24">
        <v>9.4339622641509396E-3</v>
      </c>
      <c r="G49" s="14">
        <v>1.08764150943396E-4</v>
      </c>
    </row>
    <row r="50" spans="1:7" x14ac:dyDescent="0.3">
      <c r="A50" s="9">
        <v>64</v>
      </c>
      <c r="B50" s="21">
        <v>1.5</v>
      </c>
      <c r="C50" s="15">
        <v>1.2626999999999999E-2</v>
      </c>
      <c r="D50" s="15">
        <v>1.8940499999999999E-2</v>
      </c>
      <c r="E50" s="15">
        <v>1.05838934985159E-3</v>
      </c>
      <c r="F50" s="22">
        <v>9.4339622641509396E-3</v>
      </c>
      <c r="G50" s="15">
        <v>1.19122641509434E-4</v>
      </c>
    </row>
    <row r="51" spans="1:7" x14ac:dyDescent="0.3">
      <c r="A51" s="6">
        <v>65</v>
      </c>
      <c r="B51" s="23">
        <v>1.5</v>
      </c>
      <c r="C51" s="14">
        <v>1.3832000000000001E-2</v>
      </c>
      <c r="D51" s="14">
        <v>2.0747999999999999E-2</v>
      </c>
      <c r="E51" s="14">
        <v>1.1600394249536899E-3</v>
      </c>
      <c r="F51" s="24">
        <v>9.4339622641509396E-3</v>
      </c>
      <c r="G51" s="14">
        <v>1.30490566037736E-4</v>
      </c>
    </row>
    <row r="53" spans="1:7" x14ac:dyDescent="0.3">
      <c r="A53" s="69" t="s">
        <v>131</v>
      </c>
      <c r="B53" s="69"/>
      <c r="C53" s="69"/>
      <c r="D53" s="69"/>
      <c r="E53" s="69"/>
      <c r="F53" s="25">
        <v>2.5264842767295601E-3</v>
      </c>
    </row>
    <row r="54" spans="1:7" x14ac:dyDescent="0.3">
      <c r="A54" s="69" t="s">
        <v>132</v>
      </c>
      <c r="B54" s="69"/>
      <c r="C54" s="69"/>
      <c r="D54" s="69"/>
      <c r="E54" s="69"/>
    </row>
    <row r="55" spans="1:7" x14ac:dyDescent="0.3">
      <c r="A55" s="69" t="s">
        <v>133</v>
      </c>
      <c r="B55" s="69"/>
      <c r="C55" s="69"/>
      <c r="D55" s="69"/>
      <c r="E55" s="69"/>
    </row>
    <row r="56" spans="1:7" x14ac:dyDescent="0.3">
      <c r="A56" s="66" t="s">
        <v>3</v>
      </c>
      <c r="B56" s="66"/>
      <c r="C56" s="66"/>
      <c r="D56" s="66"/>
      <c r="E56" s="66"/>
      <c r="F56" s="26">
        <v>3.0507297641509399E-3</v>
      </c>
    </row>
    <row r="57" spans="1:7" x14ac:dyDescent="0.3">
      <c r="A57" s="66" t="s">
        <v>134</v>
      </c>
      <c r="B57" s="66"/>
      <c r="C57" s="66"/>
      <c r="D57" s="66"/>
      <c r="E57" s="66"/>
      <c r="F57" s="26">
        <v>2.5458364860164701E-4</v>
      </c>
    </row>
  </sheetData>
  <mergeCells count="7">
    <mergeCell ref="A56:E56"/>
    <mergeCell ref="A57:E57"/>
    <mergeCell ref="A1:G1"/>
    <mergeCell ref="A2:G2"/>
    <mergeCell ref="A53:E53"/>
    <mergeCell ref="A54:E54"/>
    <mergeCell ref="A55:E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showGridLines="0" workbookViewId="0"/>
  </sheetViews>
  <sheetFormatPr defaultColWidth="8.6640625" defaultRowHeight="14.4" x14ac:dyDescent="0.3"/>
  <cols>
    <col min="1" max="1" width="8" customWidth="1"/>
    <col min="2" max="2" width="10" customWidth="1"/>
    <col min="3" max="3" width="16" customWidth="1"/>
    <col min="4" max="6" width="14" customWidth="1"/>
    <col min="7" max="7" width="22" customWidth="1"/>
  </cols>
  <sheetData>
    <row r="1" spans="1:7" ht="21.75" customHeight="1" x14ac:dyDescent="0.3">
      <c r="A1" s="67" t="s">
        <v>137</v>
      </c>
      <c r="B1" s="67"/>
      <c r="C1" s="67"/>
      <c r="D1" s="67"/>
      <c r="E1" s="67"/>
      <c r="F1" s="67"/>
      <c r="G1" s="67"/>
    </row>
    <row r="2" spans="1:7" x14ac:dyDescent="0.3">
      <c r="A2" s="68" t="s">
        <v>138</v>
      </c>
      <c r="B2" s="68"/>
      <c r="C2" s="68"/>
      <c r="D2" s="68"/>
      <c r="E2" s="68"/>
      <c r="F2" s="68"/>
      <c r="G2" s="68"/>
    </row>
    <row r="3" spans="1:7" x14ac:dyDescent="0.3">
      <c r="A3" s="3" t="s">
        <v>111</v>
      </c>
      <c r="B3" s="3" t="s">
        <v>115</v>
      </c>
      <c r="C3" s="3" t="s">
        <v>127</v>
      </c>
      <c r="D3" s="3" t="s">
        <v>115</v>
      </c>
      <c r="E3" s="3" t="s">
        <v>113</v>
      </c>
      <c r="F3" s="3" t="s">
        <v>115</v>
      </c>
      <c r="G3" s="3" t="s">
        <v>139</v>
      </c>
    </row>
    <row r="4" spans="1:7" x14ac:dyDescent="0.3">
      <c r="A4" s="9">
        <v>0</v>
      </c>
      <c r="B4" s="27" t="s">
        <v>115</v>
      </c>
      <c r="C4" s="15">
        <v>3.7100000000000002E-4</v>
      </c>
      <c r="D4" s="27" t="s">
        <v>115</v>
      </c>
      <c r="E4" s="15">
        <v>3.0921925034621497E-5</v>
      </c>
      <c r="F4" s="27" t="s">
        <v>115</v>
      </c>
      <c r="G4" s="28" t="s">
        <v>140</v>
      </c>
    </row>
    <row r="5" spans="1:7" x14ac:dyDescent="0.3">
      <c r="A5" s="6">
        <v>1</v>
      </c>
      <c r="B5" s="29" t="s">
        <v>115</v>
      </c>
      <c r="C5" s="14">
        <v>2.42E-4</v>
      </c>
      <c r="D5" s="29" t="s">
        <v>115</v>
      </c>
      <c r="E5" s="14">
        <v>2.0168903832051802E-5</v>
      </c>
      <c r="F5" s="29" t="s">
        <v>115</v>
      </c>
      <c r="G5" s="30" t="s">
        <v>140</v>
      </c>
    </row>
    <row r="6" spans="1:7" x14ac:dyDescent="0.3">
      <c r="A6" s="9">
        <v>2</v>
      </c>
      <c r="B6" s="27" t="s">
        <v>115</v>
      </c>
      <c r="C6" s="15">
        <v>2.13E-4</v>
      </c>
      <c r="D6" s="27" t="s">
        <v>115</v>
      </c>
      <c r="E6" s="15">
        <v>1.7751733079607299E-5</v>
      </c>
      <c r="F6" s="27" t="s">
        <v>115</v>
      </c>
      <c r="G6" s="28" t="s">
        <v>140</v>
      </c>
    </row>
    <row r="7" spans="1:7" x14ac:dyDescent="0.3">
      <c r="A7" s="6">
        <v>3</v>
      </c>
      <c r="B7" s="29" t="s">
        <v>115</v>
      </c>
      <c r="C7" s="14">
        <v>1.9900000000000001E-4</v>
      </c>
      <c r="D7" s="29" t="s">
        <v>115</v>
      </c>
      <c r="E7" s="14">
        <v>1.6584846063816299E-5</v>
      </c>
      <c r="F7" s="29" t="s">
        <v>115</v>
      </c>
      <c r="G7" s="30" t="s">
        <v>140</v>
      </c>
    </row>
    <row r="8" spans="1:7" x14ac:dyDescent="0.3">
      <c r="A8" s="9">
        <v>4</v>
      </c>
      <c r="B8" s="27" t="s">
        <v>115</v>
      </c>
      <c r="C8" s="15">
        <v>1.92E-4</v>
      </c>
      <c r="D8" s="27" t="s">
        <v>115</v>
      </c>
      <c r="E8" s="15">
        <v>1.6001408172705601E-5</v>
      </c>
      <c r="F8" s="27" t="s">
        <v>115</v>
      </c>
      <c r="G8" s="28" t="s">
        <v>140</v>
      </c>
    </row>
    <row r="9" spans="1:7" x14ac:dyDescent="0.3">
      <c r="A9" s="6">
        <v>5</v>
      </c>
      <c r="B9" s="29" t="s">
        <v>115</v>
      </c>
      <c r="C9" s="14">
        <v>1.8799999999999999E-4</v>
      </c>
      <c r="D9" s="29" t="s">
        <v>115</v>
      </c>
      <c r="E9" s="14">
        <v>1.5668016773329199E-5</v>
      </c>
      <c r="F9" s="29" t="s">
        <v>115</v>
      </c>
      <c r="G9" s="30" t="s">
        <v>140</v>
      </c>
    </row>
    <row r="10" spans="1:7" x14ac:dyDescent="0.3">
      <c r="A10" s="9">
        <v>6</v>
      </c>
      <c r="B10" s="27" t="s">
        <v>115</v>
      </c>
      <c r="C10" s="15">
        <v>1.8599999999999999E-4</v>
      </c>
      <c r="D10" s="27" t="s">
        <v>115</v>
      </c>
      <c r="E10" s="15">
        <v>1.5501321532052098E-5</v>
      </c>
      <c r="F10" s="27" t="s">
        <v>115</v>
      </c>
      <c r="G10" s="28" t="s">
        <v>140</v>
      </c>
    </row>
    <row r="11" spans="1:7" x14ac:dyDescent="0.3">
      <c r="A11" s="6">
        <v>7</v>
      </c>
      <c r="B11" s="29" t="s">
        <v>115</v>
      </c>
      <c r="C11" s="14">
        <v>1.8699999999999999E-4</v>
      </c>
      <c r="D11" s="29" t="s">
        <v>115</v>
      </c>
      <c r="E11" s="14">
        <v>1.5584669114443501E-5</v>
      </c>
      <c r="F11" s="29" t="s">
        <v>115</v>
      </c>
      <c r="G11" s="30" t="s">
        <v>140</v>
      </c>
    </row>
    <row r="12" spans="1:7" x14ac:dyDescent="0.3">
      <c r="A12" s="9">
        <v>8</v>
      </c>
      <c r="B12" s="27" t="s">
        <v>115</v>
      </c>
      <c r="C12" s="15">
        <v>1.8900000000000001E-4</v>
      </c>
      <c r="D12" s="27" t="s">
        <v>115</v>
      </c>
      <c r="E12" s="15">
        <v>1.5751364508487202E-5</v>
      </c>
      <c r="F12" s="27" t="s">
        <v>115</v>
      </c>
      <c r="G12" s="28" t="s">
        <v>140</v>
      </c>
    </row>
    <row r="13" spans="1:7" x14ac:dyDescent="0.3">
      <c r="A13" s="6">
        <v>9</v>
      </c>
      <c r="B13" s="29" t="s">
        <v>115</v>
      </c>
      <c r="C13" s="14">
        <v>1.9599999999999999E-4</v>
      </c>
      <c r="D13" s="29" t="s">
        <v>115</v>
      </c>
      <c r="E13" s="14">
        <v>1.6334800794881601E-5</v>
      </c>
      <c r="F13" s="29" t="s">
        <v>115</v>
      </c>
      <c r="G13" s="30" t="s">
        <v>140</v>
      </c>
    </row>
    <row r="14" spans="1:7" x14ac:dyDescent="0.3">
      <c r="A14" s="9">
        <v>10</v>
      </c>
      <c r="B14" s="27" t="s">
        <v>115</v>
      </c>
      <c r="C14" s="15">
        <v>2.0900000000000001E-4</v>
      </c>
      <c r="D14" s="27" t="s">
        <v>115</v>
      </c>
      <c r="E14" s="15">
        <v>1.7418335261032401E-5</v>
      </c>
      <c r="F14" s="27" t="s">
        <v>115</v>
      </c>
      <c r="G14" s="28" t="s">
        <v>140</v>
      </c>
    </row>
    <row r="15" spans="1:7" x14ac:dyDescent="0.3">
      <c r="A15" s="6">
        <v>11</v>
      </c>
      <c r="B15" s="29" t="s">
        <v>115</v>
      </c>
      <c r="C15" s="14">
        <v>2.33E-4</v>
      </c>
      <c r="D15" s="29" t="s">
        <v>115</v>
      </c>
      <c r="E15" s="14">
        <v>1.9418740513588199E-5</v>
      </c>
      <c r="F15" s="29" t="s">
        <v>115</v>
      </c>
      <c r="G15" s="30" t="s">
        <v>140</v>
      </c>
    </row>
    <row r="16" spans="1:7" x14ac:dyDescent="0.3">
      <c r="A16" s="9">
        <v>12</v>
      </c>
      <c r="B16" s="27" t="s">
        <v>115</v>
      </c>
      <c r="C16" s="15">
        <v>2.7E-4</v>
      </c>
      <c r="D16" s="27" t="s">
        <v>115</v>
      </c>
      <c r="E16" s="15">
        <v>2.25027848553827E-5</v>
      </c>
      <c r="F16" s="27" t="s">
        <v>115</v>
      </c>
      <c r="G16" s="28" t="s">
        <v>140</v>
      </c>
    </row>
    <row r="17" spans="1:7" x14ac:dyDescent="0.3">
      <c r="A17" s="6">
        <v>13</v>
      </c>
      <c r="B17" s="29" t="s">
        <v>115</v>
      </c>
      <c r="C17" s="14">
        <v>3.2400000000000001E-4</v>
      </c>
      <c r="D17" s="29" t="s">
        <v>115</v>
      </c>
      <c r="E17" s="14">
        <v>2.70040103301783E-5</v>
      </c>
      <c r="F17" s="29" t="s">
        <v>115</v>
      </c>
      <c r="G17" s="30" t="s">
        <v>140</v>
      </c>
    </row>
    <row r="18" spans="1:7" x14ac:dyDescent="0.3">
      <c r="A18" s="9">
        <v>14</v>
      </c>
      <c r="B18" s="27" t="s">
        <v>115</v>
      </c>
      <c r="C18" s="15">
        <v>3.9399999999999998E-4</v>
      </c>
      <c r="D18" s="27" t="s">
        <v>115</v>
      </c>
      <c r="E18" s="15">
        <v>3.28392639790121E-5</v>
      </c>
      <c r="F18" s="27" t="s">
        <v>115</v>
      </c>
      <c r="G18" s="28" t="s">
        <v>140</v>
      </c>
    </row>
    <row r="19" spans="1:7" x14ac:dyDescent="0.3">
      <c r="A19" s="6">
        <v>15</v>
      </c>
      <c r="B19" s="29" t="s">
        <v>115</v>
      </c>
      <c r="C19" s="14">
        <v>4.7600000000000002E-4</v>
      </c>
      <c r="D19" s="29" t="s">
        <v>115</v>
      </c>
      <c r="E19" s="14">
        <v>3.9675323243781902E-5</v>
      </c>
      <c r="F19" s="29" t="s">
        <v>115</v>
      </c>
      <c r="G19" s="30" t="s">
        <v>140</v>
      </c>
    </row>
    <row r="20" spans="1:7" x14ac:dyDescent="0.3">
      <c r="A20" s="9">
        <v>16</v>
      </c>
      <c r="B20" s="27" t="s">
        <v>115</v>
      </c>
      <c r="C20" s="15">
        <v>5.6800000000000004E-4</v>
      </c>
      <c r="D20" s="27" t="s">
        <v>115</v>
      </c>
      <c r="E20" s="15">
        <v>4.7345660251329997E-5</v>
      </c>
      <c r="F20" s="27" t="s">
        <v>115</v>
      </c>
      <c r="G20" s="28" t="s">
        <v>140</v>
      </c>
    </row>
    <row r="21" spans="1:7" x14ac:dyDescent="0.3">
      <c r="A21" s="6">
        <v>17</v>
      </c>
      <c r="B21" s="29" t="s">
        <v>115</v>
      </c>
      <c r="C21" s="14">
        <v>6.6200000000000005E-4</v>
      </c>
      <c r="D21" s="29" t="s">
        <v>115</v>
      </c>
      <c r="E21" s="14">
        <v>5.5183412235648703E-5</v>
      </c>
      <c r="F21" s="29" t="s">
        <v>115</v>
      </c>
      <c r="G21" s="30" t="s">
        <v>140</v>
      </c>
    </row>
    <row r="23" spans="1:7" x14ac:dyDescent="0.3">
      <c r="A23" s="69" t="s">
        <v>131</v>
      </c>
      <c r="B23" s="69"/>
      <c r="C23" s="69"/>
      <c r="D23" s="69"/>
      <c r="E23" s="69"/>
      <c r="F23" s="25">
        <v>2.9438888888888901E-4</v>
      </c>
    </row>
    <row r="24" spans="1:7" x14ac:dyDescent="0.3">
      <c r="A24" s="69" t="s">
        <v>132</v>
      </c>
      <c r="B24" s="69"/>
      <c r="C24" s="69"/>
      <c r="D24" s="69"/>
      <c r="E24" s="69"/>
    </row>
    <row r="25" spans="1:7" x14ac:dyDescent="0.3">
      <c r="A25" s="69" t="s">
        <v>133</v>
      </c>
      <c r="B25" s="69"/>
      <c r="C25" s="69"/>
      <c r="D25" s="69"/>
      <c r="E25" s="69"/>
    </row>
    <row r="26" spans="1:7" x14ac:dyDescent="0.3">
      <c r="A26" s="66" t="s">
        <v>3</v>
      </c>
      <c r="B26" s="66"/>
      <c r="C26" s="66"/>
      <c r="D26" s="66"/>
      <c r="E26" s="66"/>
      <c r="F26" s="26">
        <v>3.5547458333333302E-4</v>
      </c>
    </row>
    <row r="27" spans="1:7" x14ac:dyDescent="0.3">
      <c r="A27" s="66" t="s">
        <v>134</v>
      </c>
      <c r="B27" s="66"/>
      <c r="C27" s="66"/>
      <c r="D27" s="66"/>
      <c r="E27" s="66"/>
      <c r="F27" s="26">
        <v>2.96277093740915E-5</v>
      </c>
    </row>
  </sheetData>
  <mergeCells count="7">
    <mergeCell ref="A26:E26"/>
    <mergeCell ref="A27:E27"/>
    <mergeCell ref="A1:G1"/>
    <mergeCell ref="A2:G2"/>
    <mergeCell ref="A23:E23"/>
    <mergeCell ref="A24:E24"/>
    <mergeCell ref="A25:E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showGridLines="0" workbookViewId="0"/>
  </sheetViews>
  <sheetFormatPr defaultColWidth="8.6640625" defaultRowHeight="14.4" x14ac:dyDescent="0.3"/>
  <cols>
    <col min="1" max="1" width="50" customWidth="1"/>
    <col min="2" max="2" width="22" customWidth="1"/>
  </cols>
  <sheetData>
    <row r="1" spans="1:2" x14ac:dyDescent="0.3">
      <c r="A1" s="70" t="s">
        <v>141</v>
      </c>
      <c r="B1" s="70"/>
    </row>
    <row r="2" spans="1:2" x14ac:dyDescent="0.3">
      <c r="A2" s="71" t="s">
        <v>142</v>
      </c>
      <c r="B2" s="71"/>
    </row>
    <row r="3" spans="1:2" x14ac:dyDescent="0.3">
      <c r="A3" s="2" t="s">
        <v>143</v>
      </c>
      <c r="B3" s="31">
        <v>2.5264842767295601E-3</v>
      </c>
    </row>
    <row r="4" spans="1:2" x14ac:dyDescent="0.3">
      <c r="A4" s="2" t="s">
        <v>144</v>
      </c>
      <c r="B4" s="32">
        <v>2662</v>
      </c>
    </row>
    <row r="5" spans="1:2" x14ac:dyDescent="0.3">
      <c r="A5" s="2" t="s">
        <v>145</v>
      </c>
      <c r="B5" s="32">
        <v>8760</v>
      </c>
    </row>
    <row r="6" spans="1:2" x14ac:dyDescent="0.3">
      <c r="A6" s="2" t="s">
        <v>146</v>
      </c>
      <c r="B6" s="33">
        <v>0.30388127853881303</v>
      </c>
    </row>
    <row r="7" spans="1:2" x14ac:dyDescent="0.3">
      <c r="A7" s="2" t="s">
        <v>147</v>
      </c>
      <c r="B7" s="31">
        <v>7.6775127222078595E-4</v>
      </c>
    </row>
    <row r="8" spans="1:2" x14ac:dyDescent="0.3">
      <c r="A8" s="2" t="s">
        <v>132</v>
      </c>
    </row>
    <row r="9" spans="1:2" x14ac:dyDescent="0.3">
      <c r="A9" s="2" t="s">
        <v>133</v>
      </c>
    </row>
    <row r="10" spans="1:2" x14ac:dyDescent="0.3">
      <c r="A10" s="1" t="s">
        <v>148</v>
      </c>
      <c r="B10" s="34">
        <v>9.2705966120660004E-4</v>
      </c>
    </row>
    <row r="11" spans="1:2" x14ac:dyDescent="0.3">
      <c r="A11" s="1" t="s">
        <v>149</v>
      </c>
      <c r="B11" s="34">
        <v>7.7287817041416003E-5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7"/>
  <sheetViews>
    <sheetView showGridLines="0" workbookViewId="0"/>
  </sheetViews>
  <sheetFormatPr defaultColWidth="8.6640625" defaultRowHeight="14.4" x14ac:dyDescent="0.3"/>
  <cols>
    <col min="1" max="1" width="8" customWidth="1"/>
    <col min="2" max="2" width="10" customWidth="1"/>
    <col min="3" max="3" width="18" customWidth="1"/>
    <col min="4" max="4" width="16" customWidth="1"/>
    <col min="5" max="6" width="14" customWidth="1"/>
  </cols>
  <sheetData>
    <row r="1" spans="1:6" x14ac:dyDescent="0.3">
      <c r="A1" s="67" t="s">
        <v>150</v>
      </c>
      <c r="B1" s="67"/>
      <c r="C1" s="67"/>
      <c r="D1" s="67"/>
      <c r="E1" s="67"/>
      <c r="F1" s="67"/>
    </row>
    <row r="2" spans="1:6" x14ac:dyDescent="0.3">
      <c r="A2" s="72" t="s">
        <v>151</v>
      </c>
      <c r="B2" s="72"/>
      <c r="C2" s="72"/>
      <c r="D2" s="72"/>
      <c r="E2" s="72"/>
      <c r="F2" s="72"/>
    </row>
    <row r="3" spans="1:6" x14ac:dyDescent="0.3">
      <c r="A3" s="3" t="s">
        <v>111</v>
      </c>
      <c r="B3" s="3" t="s">
        <v>126</v>
      </c>
      <c r="C3" s="3" t="s">
        <v>117</v>
      </c>
      <c r="D3" s="3" t="s">
        <v>152</v>
      </c>
      <c r="E3" s="3" t="s">
        <v>113</v>
      </c>
      <c r="F3" s="3" t="s">
        <v>153</v>
      </c>
    </row>
    <row r="4" spans="1:6" x14ac:dyDescent="0.3">
      <c r="A4" s="9">
        <v>18</v>
      </c>
      <c r="B4" s="21">
        <v>3</v>
      </c>
      <c r="C4" s="15">
        <v>5.6999999999999998E-4</v>
      </c>
      <c r="D4" s="15">
        <v>2.8499999999999999E-4</v>
      </c>
      <c r="E4" s="15">
        <v>2.37531029086968E-5</v>
      </c>
      <c r="F4" s="15">
        <v>5.3773584905660403E-6</v>
      </c>
    </row>
    <row r="5" spans="1:6" x14ac:dyDescent="0.3">
      <c r="A5" s="6">
        <v>19</v>
      </c>
      <c r="B5" s="23">
        <v>3</v>
      </c>
      <c r="C5" s="14">
        <v>5.6899999999999995E-4</v>
      </c>
      <c r="D5" s="14">
        <v>2.8449999999999998E-4</v>
      </c>
      <c r="E5" s="14">
        <v>2.3711425363281999E-5</v>
      </c>
      <c r="F5" s="14">
        <v>5.3679245283018901E-6</v>
      </c>
    </row>
    <row r="6" spans="1:6" x14ac:dyDescent="0.3">
      <c r="A6" s="9">
        <v>20</v>
      </c>
      <c r="B6" s="21">
        <v>3</v>
      </c>
      <c r="C6" s="15">
        <v>5.6899999999999995E-4</v>
      </c>
      <c r="D6" s="15">
        <v>2.8449999999999998E-4</v>
      </c>
      <c r="E6" s="15">
        <v>2.3711425363281999E-5</v>
      </c>
      <c r="F6" s="15">
        <v>5.3679245283018901E-6</v>
      </c>
    </row>
    <row r="7" spans="1:6" x14ac:dyDescent="0.3">
      <c r="A7" s="6">
        <v>21</v>
      </c>
      <c r="B7" s="23">
        <v>3</v>
      </c>
      <c r="C7" s="14">
        <v>5.6899999999999995E-4</v>
      </c>
      <c r="D7" s="14">
        <v>2.8449999999999998E-4</v>
      </c>
      <c r="E7" s="14">
        <v>2.3711425363281999E-5</v>
      </c>
      <c r="F7" s="14">
        <v>5.3679245283018901E-6</v>
      </c>
    </row>
    <row r="8" spans="1:6" x14ac:dyDescent="0.3">
      <c r="A8" s="9">
        <v>22</v>
      </c>
      <c r="B8" s="21">
        <v>3</v>
      </c>
      <c r="C8" s="15">
        <v>5.6899999999999995E-4</v>
      </c>
      <c r="D8" s="15">
        <v>2.8449999999999998E-4</v>
      </c>
      <c r="E8" s="15">
        <v>2.3711425363281999E-5</v>
      </c>
      <c r="F8" s="15">
        <v>5.3679245283018901E-6</v>
      </c>
    </row>
    <row r="9" spans="1:6" x14ac:dyDescent="0.3">
      <c r="A9" s="6">
        <v>23</v>
      </c>
      <c r="B9" s="23">
        <v>3</v>
      </c>
      <c r="C9" s="14">
        <v>5.6999999999999998E-4</v>
      </c>
      <c r="D9" s="14">
        <v>2.8499999999999999E-4</v>
      </c>
      <c r="E9" s="14">
        <v>2.37531029086968E-5</v>
      </c>
      <c r="F9" s="14">
        <v>5.3773584905660403E-6</v>
      </c>
    </row>
    <row r="10" spans="1:6" x14ac:dyDescent="0.3">
      <c r="A10" s="9">
        <v>24</v>
      </c>
      <c r="B10" s="21">
        <v>3</v>
      </c>
      <c r="C10" s="15">
        <v>5.7200000000000003E-4</v>
      </c>
      <c r="D10" s="15">
        <v>2.8600000000000001E-4</v>
      </c>
      <c r="E10" s="15">
        <v>2.3836458057036102E-5</v>
      </c>
      <c r="F10" s="15">
        <v>5.3962264150943399E-6</v>
      </c>
    </row>
    <row r="11" spans="1:6" x14ac:dyDescent="0.3">
      <c r="A11" s="6">
        <v>25</v>
      </c>
      <c r="B11" s="23">
        <v>3</v>
      </c>
      <c r="C11" s="14">
        <v>5.7499999999999999E-4</v>
      </c>
      <c r="D11" s="14">
        <v>2.875E-4</v>
      </c>
      <c r="E11" s="14">
        <v>2.3961490922874699E-5</v>
      </c>
      <c r="F11" s="14">
        <v>5.4245283018867897E-6</v>
      </c>
    </row>
    <row r="12" spans="1:6" x14ac:dyDescent="0.3">
      <c r="A12" s="9">
        <v>26</v>
      </c>
      <c r="B12" s="21">
        <v>5</v>
      </c>
      <c r="C12" s="15">
        <v>5.7899999999999998E-4</v>
      </c>
      <c r="D12" s="15">
        <v>2.8949999999999999E-4</v>
      </c>
      <c r="E12" s="15">
        <v>2.4128201678186301E-5</v>
      </c>
      <c r="F12" s="15">
        <v>9.1037735849056594E-6</v>
      </c>
    </row>
    <row r="13" spans="1:6" x14ac:dyDescent="0.3">
      <c r="A13" s="6">
        <v>27</v>
      </c>
      <c r="B13" s="23">
        <v>5</v>
      </c>
      <c r="C13" s="14">
        <v>5.8299999999999997E-4</v>
      </c>
      <c r="D13" s="14">
        <v>2.9149999999999998E-4</v>
      </c>
      <c r="E13" s="14">
        <v>2.4294912739142301E-5</v>
      </c>
      <c r="F13" s="14">
        <v>9.1666666666666698E-6</v>
      </c>
    </row>
    <row r="14" spans="1:6" x14ac:dyDescent="0.3">
      <c r="A14" s="9">
        <v>28</v>
      </c>
      <c r="B14" s="21">
        <v>5</v>
      </c>
      <c r="C14" s="15">
        <v>5.8900000000000001E-4</v>
      </c>
      <c r="D14" s="15">
        <v>2.945E-4</v>
      </c>
      <c r="E14" s="15">
        <v>2.4544979903784499E-5</v>
      </c>
      <c r="F14" s="15">
        <v>9.2610062893081804E-6</v>
      </c>
    </row>
    <row r="15" spans="1:6" x14ac:dyDescent="0.3">
      <c r="A15" s="6">
        <v>29</v>
      </c>
      <c r="B15" s="23">
        <v>5</v>
      </c>
      <c r="C15" s="14">
        <v>5.9599999999999996E-4</v>
      </c>
      <c r="D15" s="14">
        <v>2.9799999999999998E-4</v>
      </c>
      <c r="E15" s="14">
        <v>2.48367257986715E-5</v>
      </c>
      <c r="F15" s="14">
        <v>9.3710691823899403E-6</v>
      </c>
    </row>
    <row r="16" spans="1:6" x14ac:dyDescent="0.3">
      <c r="A16" s="9">
        <v>30</v>
      </c>
      <c r="B16" s="21">
        <v>5</v>
      </c>
      <c r="C16" s="15">
        <v>6.0499999999999996E-4</v>
      </c>
      <c r="D16" s="15">
        <v>3.0249999999999998E-4</v>
      </c>
      <c r="E16" s="15">
        <v>2.52118290393621E-5</v>
      </c>
      <c r="F16" s="15">
        <v>9.5125786163522002E-6</v>
      </c>
    </row>
    <row r="17" spans="1:6" x14ac:dyDescent="0.3">
      <c r="A17" s="6">
        <v>31</v>
      </c>
      <c r="B17" s="23">
        <v>5</v>
      </c>
      <c r="C17" s="14">
        <v>6.1499999999999999E-4</v>
      </c>
      <c r="D17" s="14">
        <v>3.0749999999999999E-4</v>
      </c>
      <c r="E17" s="14">
        <v>2.5628612233097301E-5</v>
      </c>
      <c r="F17" s="14">
        <v>9.6698113207547196E-6</v>
      </c>
    </row>
    <row r="18" spans="1:6" x14ac:dyDescent="0.3">
      <c r="A18" s="9">
        <v>32</v>
      </c>
      <c r="B18" s="21">
        <v>5</v>
      </c>
      <c r="C18" s="15">
        <v>6.2799999999999998E-4</v>
      </c>
      <c r="D18" s="15">
        <v>3.1399999999999999E-4</v>
      </c>
      <c r="E18" s="15">
        <v>2.61704332417123E-5</v>
      </c>
      <c r="F18" s="15">
        <v>9.8742138364779901E-6</v>
      </c>
    </row>
    <row r="19" spans="1:6" x14ac:dyDescent="0.3">
      <c r="A19" s="6">
        <v>33</v>
      </c>
      <c r="B19" s="23">
        <v>5</v>
      </c>
      <c r="C19" s="14">
        <v>6.4300000000000002E-4</v>
      </c>
      <c r="D19" s="14">
        <v>3.2150000000000001E-4</v>
      </c>
      <c r="E19" s="14">
        <v>2.6795615341468399E-5</v>
      </c>
      <c r="F19" s="14">
        <v>1.01100628930818E-5</v>
      </c>
    </row>
    <row r="20" spans="1:6" x14ac:dyDescent="0.3">
      <c r="A20" s="9">
        <v>34</v>
      </c>
      <c r="B20" s="21">
        <v>5</v>
      </c>
      <c r="C20" s="15">
        <v>6.6E-4</v>
      </c>
      <c r="D20" s="15">
        <v>3.3E-4</v>
      </c>
      <c r="E20" s="15">
        <v>2.7504160252100899E-5</v>
      </c>
      <c r="F20" s="15">
        <v>1.0377358490565999E-5</v>
      </c>
    </row>
    <row r="21" spans="1:6" x14ac:dyDescent="0.3">
      <c r="A21" s="6">
        <v>35</v>
      </c>
      <c r="B21" s="23">
        <v>5</v>
      </c>
      <c r="C21" s="14">
        <v>6.8099999999999996E-4</v>
      </c>
      <c r="D21" s="14">
        <v>3.4049999999999998E-4</v>
      </c>
      <c r="E21" s="14">
        <v>2.8379429237057601E-5</v>
      </c>
      <c r="F21" s="14">
        <v>1.0707547169811301E-5</v>
      </c>
    </row>
    <row r="22" spans="1:6" x14ac:dyDescent="0.3">
      <c r="A22" s="9">
        <v>36</v>
      </c>
      <c r="B22" s="21">
        <v>4</v>
      </c>
      <c r="C22" s="15">
        <v>7.0399999999999998E-4</v>
      </c>
      <c r="D22" s="15">
        <v>3.5199999999999999E-4</v>
      </c>
      <c r="E22" s="15">
        <v>2.9338066842354899E-5</v>
      </c>
      <c r="F22" s="15">
        <v>8.8553459119496907E-6</v>
      </c>
    </row>
    <row r="23" spans="1:6" x14ac:dyDescent="0.3">
      <c r="A23" s="6">
        <v>37</v>
      </c>
      <c r="B23" s="23">
        <v>4</v>
      </c>
      <c r="C23" s="14">
        <v>7.3200000000000001E-4</v>
      </c>
      <c r="D23" s="14">
        <v>3.6600000000000001E-4</v>
      </c>
      <c r="E23" s="14">
        <v>3.0505117571744099E-5</v>
      </c>
      <c r="F23" s="14">
        <v>9.2075471698113202E-6</v>
      </c>
    </row>
    <row r="24" spans="1:6" x14ac:dyDescent="0.3">
      <c r="A24" s="9">
        <v>38</v>
      </c>
      <c r="B24" s="21">
        <v>4</v>
      </c>
      <c r="C24" s="15">
        <v>7.6400000000000003E-4</v>
      </c>
      <c r="D24" s="15">
        <v>3.8200000000000002E-4</v>
      </c>
      <c r="E24" s="15">
        <v>3.1838908180037401E-5</v>
      </c>
      <c r="F24" s="15">
        <v>9.6100628930817604E-6</v>
      </c>
    </row>
    <row r="25" spans="1:6" x14ac:dyDescent="0.3">
      <c r="A25" s="6">
        <v>39</v>
      </c>
      <c r="B25" s="23">
        <v>4</v>
      </c>
      <c r="C25" s="14">
        <v>8.0099999999999995E-4</v>
      </c>
      <c r="D25" s="14">
        <v>4.0049999999999998E-4</v>
      </c>
      <c r="E25" s="14">
        <v>3.3381127966469802E-5</v>
      </c>
      <c r="F25" s="14">
        <v>1.0075471698113201E-5</v>
      </c>
    </row>
    <row r="26" spans="1:6" x14ac:dyDescent="0.3">
      <c r="A26" s="9">
        <v>40</v>
      </c>
      <c r="B26" s="21">
        <v>4</v>
      </c>
      <c r="C26" s="15">
        <v>8.4400000000000002E-4</v>
      </c>
      <c r="D26" s="15">
        <v>4.2200000000000001E-4</v>
      </c>
      <c r="E26" s="15">
        <v>3.5173470320559703E-5</v>
      </c>
      <c r="F26" s="15">
        <v>1.0616352201257901E-5</v>
      </c>
    </row>
    <row r="27" spans="1:6" x14ac:dyDescent="0.3">
      <c r="A27" s="6">
        <v>41</v>
      </c>
      <c r="B27" s="23">
        <v>4</v>
      </c>
      <c r="C27" s="14">
        <v>8.9300000000000002E-4</v>
      </c>
      <c r="D27" s="14">
        <v>4.4650000000000001E-4</v>
      </c>
      <c r="E27" s="14">
        <v>3.7215950036584302E-5</v>
      </c>
      <c r="F27" s="14">
        <v>1.12327044025157E-5</v>
      </c>
    </row>
    <row r="28" spans="1:6" x14ac:dyDescent="0.3">
      <c r="A28" s="9">
        <v>42</v>
      </c>
      <c r="B28" s="21">
        <v>4</v>
      </c>
      <c r="C28" s="15">
        <v>9.4899999999999997E-4</v>
      </c>
      <c r="D28" s="15">
        <v>4.7449999999999999E-4</v>
      </c>
      <c r="E28" s="15">
        <v>3.9550268763233198E-5</v>
      </c>
      <c r="F28" s="15">
        <v>1.1937106918239E-5</v>
      </c>
    </row>
    <row r="29" spans="1:6" x14ac:dyDescent="0.3">
      <c r="A29" s="6">
        <v>43</v>
      </c>
      <c r="B29" s="23">
        <v>4</v>
      </c>
      <c r="C29" s="14">
        <v>1.0139999999999999E-3</v>
      </c>
      <c r="D29" s="14">
        <v>5.0699999999999996E-4</v>
      </c>
      <c r="E29" s="14">
        <v>4.2259821025125703E-5</v>
      </c>
      <c r="F29" s="14">
        <v>1.27547169811321E-5</v>
      </c>
    </row>
    <row r="30" spans="1:6" x14ac:dyDescent="0.3">
      <c r="A30" s="9">
        <v>44</v>
      </c>
      <c r="B30" s="21">
        <v>4</v>
      </c>
      <c r="C30" s="15">
        <v>1.088E-3</v>
      </c>
      <c r="D30" s="15">
        <v>5.44E-4</v>
      </c>
      <c r="E30" s="15">
        <v>4.53446403744229E-5</v>
      </c>
      <c r="F30" s="15">
        <v>1.3685534591195E-5</v>
      </c>
    </row>
    <row r="31" spans="1:6" x14ac:dyDescent="0.3">
      <c r="A31" s="6">
        <v>45</v>
      </c>
      <c r="B31" s="23">
        <v>4</v>
      </c>
      <c r="C31" s="14">
        <v>1.1739999999999999E-3</v>
      </c>
      <c r="D31" s="14">
        <v>5.8699999999999996E-4</v>
      </c>
      <c r="E31" s="14">
        <v>4.8929832225930197E-5</v>
      </c>
      <c r="F31" s="14">
        <v>1.47672955974843E-5</v>
      </c>
    </row>
    <row r="32" spans="1:6" x14ac:dyDescent="0.3">
      <c r="A32" s="9">
        <v>46</v>
      </c>
      <c r="B32" s="21">
        <v>3</v>
      </c>
      <c r="C32" s="15">
        <v>1.271E-3</v>
      </c>
      <c r="D32" s="15">
        <v>6.355E-4</v>
      </c>
      <c r="E32" s="15">
        <v>5.29737648169437E-5</v>
      </c>
      <c r="F32" s="15">
        <v>1.1990566037735899E-5</v>
      </c>
    </row>
    <row r="33" spans="1:6" x14ac:dyDescent="0.3">
      <c r="A33" s="6">
        <v>47</v>
      </c>
      <c r="B33" s="23">
        <v>3</v>
      </c>
      <c r="C33" s="14">
        <v>1.3829999999999999E-3</v>
      </c>
      <c r="D33" s="14">
        <v>6.9149999999999995E-4</v>
      </c>
      <c r="E33" s="14">
        <v>5.7643271596186103E-5</v>
      </c>
      <c r="F33" s="14">
        <v>1.3047169811320799E-5</v>
      </c>
    </row>
    <row r="34" spans="1:6" x14ac:dyDescent="0.3">
      <c r="A34" s="9">
        <v>48</v>
      </c>
      <c r="B34" s="21">
        <v>3</v>
      </c>
      <c r="C34" s="15">
        <v>1.511E-3</v>
      </c>
      <c r="D34" s="15">
        <v>7.5549999999999999E-4</v>
      </c>
      <c r="E34" s="15">
        <v>6.2980144496460597E-5</v>
      </c>
      <c r="F34" s="15">
        <v>1.42547169811321E-5</v>
      </c>
    </row>
    <row r="35" spans="1:6" x14ac:dyDescent="0.3">
      <c r="A35" s="6">
        <v>49</v>
      </c>
      <c r="B35" s="23">
        <v>3</v>
      </c>
      <c r="C35" s="14">
        <v>1.6570000000000001E-3</v>
      </c>
      <c r="D35" s="14">
        <v>8.2850000000000003E-4</v>
      </c>
      <c r="E35" s="14">
        <v>6.9067897686792001E-5</v>
      </c>
      <c r="F35" s="14">
        <v>1.56320754716981E-5</v>
      </c>
    </row>
    <row r="36" spans="1:6" x14ac:dyDescent="0.3">
      <c r="A36" s="9">
        <v>50</v>
      </c>
      <c r="B36" s="21">
        <v>3</v>
      </c>
      <c r="C36" s="15">
        <v>1.823E-3</v>
      </c>
      <c r="D36" s="15">
        <v>9.1149999999999998E-4</v>
      </c>
      <c r="E36" s="15">
        <v>7.5990085001587104E-5</v>
      </c>
      <c r="F36" s="15">
        <v>1.7198113207547198E-5</v>
      </c>
    </row>
    <row r="37" spans="1:6" x14ac:dyDescent="0.3">
      <c r="A37" s="6">
        <v>51</v>
      </c>
      <c r="B37" s="23">
        <v>3</v>
      </c>
      <c r="C37" s="14">
        <v>2.0140000000000002E-3</v>
      </c>
      <c r="D37" s="14">
        <v>1.0070000000000001E-3</v>
      </c>
      <c r="E37" s="14">
        <v>8.3955422641168704E-5</v>
      </c>
      <c r="F37" s="14">
        <v>1.9000000000000001E-5</v>
      </c>
    </row>
    <row r="38" spans="1:6" x14ac:dyDescent="0.3">
      <c r="A38" s="9">
        <v>52</v>
      </c>
      <c r="B38" s="21">
        <v>3</v>
      </c>
      <c r="C38" s="15">
        <v>2.2309999999999999E-3</v>
      </c>
      <c r="D38" s="15">
        <v>1.1155E-3</v>
      </c>
      <c r="E38" s="15">
        <v>9.3005894116981999E-5</v>
      </c>
      <c r="F38" s="15">
        <v>2.1047169811320801E-5</v>
      </c>
    </row>
    <row r="39" spans="1:6" x14ac:dyDescent="0.3">
      <c r="A39" s="6">
        <v>53</v>
      </c>
      <c r="B39" s="23">
        <v>3</v>
      </c>
      <c r="C39" s="14">
        <v>2.4789999999999999E-3</v>
      </c>
      <c r="D39" s="14">
        <v>1.2394999999999999E-3</v>
      </c>
      <c r="E39" s="14">
        <v>1.03350393604096E-4</v>
      </c>
      <c r="F39" s="14">
        <v>2.3386792452830199E-5</v>
      </c>
    </row>
    <row r="40" spans="1:6" x14ac:dyDescent="0.3">
      <c r="A40" s="9">
        <v>54</v>
      </c>
      <c r="B40" s="21">
        <v>3</v>
      </c>
      <c r="C40" s="15">
        <v>2.7620000000000001E-3</v>
      </c>
      <c r="D40" s="15">
        <v>1.3810000000000001E-3</v>
      </c>
      <c r="E40" s="15">
        <v>1.15156240622749E-4</v>
      </c>
      <c r="F40" s="15">
        <v>2.60566037735849E-5</v>
      </c>
    </row>
    <row r="41" spans="1:6" x14ac:dyDescent="0.3">
      <c r="A41" s="6">
        <v>55</v>
      </c>
      <c r="B41" s="23">
        <v>3</v>
      </c>
      <c r="C41" s="14">
        <v>3.0890000000000002E-3</v>
      </c>
      <c r="D41" s="14">
        <v>1.5445000000000001E-3</v>
      </c>
      <c r="E41" s="14">
        <v>1.2879953543365501E-4</v>
      </c>
      <c r="F41" s="14">
        <v>2.9141509433962301E-5</v>
      </c>
    </row>
    <row r="42" spans="1:6" x14ac:dyDescent="0.3">
      <c r="A42" s="9">
        <v>56</v>
      </c>
      <c r="B42" s="21">
        <v>1.5</v>
      </c>
      <c r="C42" s="15">
        <v>3.4520000000000002E-3</v>
      </c>
      <c r="D42" s="15">
        <v>1.7260000000000001E-3</v>
      </c>
      <c r="E42" s="15">
        <v>1.4394724311650499E-4</v>
      </c>
      <c r="F42" s="15">
        <v>1.6283018867924499E-5</v>
      </c>
    </row>
    <row r="43" spans="1:6" x14ac:dyDescent="0.3">
      <c r="A43" s="6">
        <v>57</v>
      </c>
      <c r="B43" s="23">
        <v>1.5</v>
      </c>
      <c r="C43" s="14">
        <v>3.872E-3</v>
      </c>
      <c r="D43" s="14">
        <v>1.936E-3</v>
      </c>
      <c r="E43" s="14">
        <v>1.6147666709676099E-4</v>
      </c>
      <c r="F43" s="14">
        <v>1.82641509433962E-5</v>
      </c>
    </row>
    <row r="44" spans="1:6" x14ac:dyDescent="0.3">
      <c r="A44" s="9">
        <v>58</v>
      </c>
      <c r="B44" s="21">
        <v>1.5</v>
      </c>
      <c r="C44" s="15">
        <v>4.3499999999999997E-3</v>
      </c>
      <c r="D44" s="15">
        <v>2.1749999999999999E-3</v>
      </c>
      <c r="E44" s="15">
        <v>1.8143093506750601E-4</v>
      </c>
      <c r="F44" s="15">
        <v>2.0518867924528301E-5</v>
      </c>
    </row>
    <row r="45" spans="1:6" x14ac:dyDescent="0.3">
      <c r="A45" s="6">
        <v>59</v>
      </c>
      <c r="B45" s="23">
        <v>1.5</v>
      </c>
      <c r="C45" s="14">
        <v>4.895E-3</v>
      </c>
      <c r="D45" s="14">
        <v>2.4475E-3</v>
      </c>
      <c r="E45" s="14">
        <v>2.04187486244067E-4</v>
      </c>
      <c r="F45" s="14">
        <v>2.3089622641509402E-5</v>
      </c>
    </row>
    <row r="46" spans="1:6" x14ac:dyDescent="0.3">
      <c r="A46" s="9">
        <v>60</v>
      </c>
      <c r="B46" s="21">
        <v>1.5</v>
      </c>
      <c r="C46" s="15">
        <v>5.5160000000000001E-3</v>
      </c>
      <c r="D46" s="15">
        <v>2.758E-3</v>
      </c>
      <c r="E46" s="15">
        <v>2.3012437477854E-4</v>
      </c>
      <c r="F46" s="15">
        <v>2.6018867924528299E-5</v>
      </c>
    </row>
    <row r="47" spans="1:6" x14ac:dyDescent="0.3">
      <c r="A47" s="6">
        <v>61</v>
      </c>
      <c r="B47" s="23">
        <v>1.5</v>
      </c>
      <c r="C47" s="14">
        <v>6.2230000000000002E-3</v>
      </c>
      <c r="D47" s="14">
        <v>3.1115000000000001E-3</v>
      </c>
      <c r="E47" s="14">
        <v>2.5966218034534399E-4</v>
      </c>
      <c r="F47" s="14">
        <v>2.9353773584905699E-5</v>
      </c>
    </row>
    <row r="48" spans="1:6" x14ac:dyDescent="0.3">
      <c r="A48" s="9">
        <v>62</v>
      </c>
      <c r="B48" s="21">
        <v>1.5</v>
      </c>
      <c r="C48" s="15">
        <v>7.0289999999999997E-3</v>
      </c>
      <c r="D48" s="15">
        <v>3.5144999999999998E-3</v>
      </c>
      <c r="E48" s="15">
        <v>2.9334782872625402E-4</v>
      </c>
      <c r="F48" s="15">
        <v>3.31556603773585E-5</v>
      </c>
    </row>
    <row r="49" spans="1:6" x14ac:dyDescent="0.3">
      <c r="A49" s="6">
        <v>63</v>
      </c>
      <c r="B49" s="23">
        <v>1.5</v>
      </c>
      <c r="C49" s="14">
        <v>7.9469999999999992E-3</v>
      </c>
      <c r="D49" s="14">
        <v>3.9734999999999996E-3</v>
      </c>
      <c r="E49" s="14">
        <v>3.3172957605454001E-4</v>
      </c>
      <c r="F49" s="14">
        <v>3.7485849056603797E-5</v>
      </c>
    </row>
    <row r="50" spans="1:6" x14ac:dyDescent="0.3">
      <c r="A50" s="9">
        <v>64</v>
      </c>
      <c r="B50" s="21">
        <v>1.5</v>
      </c>
      <c r="C50" s="15">
        <v>8.9929999999999993E-3</v>
      </c>
      <c r="D50" s="15">
        <v>4.4964999999999996E-3</v>
      </c>
      <c r="E50" s="15">
        <v>3.7548279392396499E-4</v>
      </c>
      <c r="F50" s="15">
        <v>4.2419811320754701E-5</v>
      </c>
    </row>
    <row r="51" spans="1:6" x14ac:dyDescent="0.3">
      <c r="A51" s="6">
        <v>65</v>
      </c>
      <c r="B51" s="23">
        <v>1.5</v>
      </c>
      <c r="C51" s="14">
        <v>1.0182999999999999E-2</v>
      </c>
      <c r="D51" s="14">
        <v>5.0914999999999997E-3</v>
      </c>
      <c r="E51" s="14">
        <v>4.2528502826588699E-4</v>
      </c>
      <c r="F51" s="14">
        <v>4.8033018867924502E-5</v>
      </c>
    </row>
    <row r="53" spans="1:6" x14ac:dyDescent="0.3">
      <c r="A53" s="69" t="s">
        <v>154</v>
      </c>
      <c r="B53" s="69"/>
      <c r="C53" s="69"/>
      <c r="D53" s="69"/>
      <c r="E53" s="69"/>
      <c r="F53" s="25">
        <v>7.3832075471698096E-4</v>
      </c>
    </row>
    <row r="54" spans="1:6" x14ac:dyDescent="0.3">
      <c r="A54" s="69" t="s">
        <v>132</v>
      </c>
      <c r="B54" s="69"/>
      <c r="C54" s="69"/>
      <c r="D54" s="69"/>
      <c r="E54" s="69"/>
    </row>
    <row r="55" spans="1:6" x14ac:dyDescent="0.3">
      <c r="A55" s="69" t="s">
        <v>133</v>
      </c>
      <c r="B55" s="69"/>
      <c r="C55" s="69"/>
      <c r="D55" s="69"/>
      <c r="E55" s="69"/>
    </row>
    <row r="56" spans="1:6" x14ac:dyDescent="0.3">
      <c r="A56" s="66" t="s">
        <v>3</v>
      </c>
      <c r="B56" s="66"/>
      <c r="C56" s="66"/>
      <c r="D56" s="66"/>
      <c r="E56" s="66"/>
      <c r="F56" s="26">
        <v>8.9152231132075504E-4</v>
      </c>
    </row>
    <row r="57" spans="1:6" x14ac:dyDescent="0.3">
      <c r="A57" s="66" t="s">
        <v>134</v>
      </c>
      <c r="B57" s="66"/>
      <c r="C57" s="66"/>
      <c r="D57" s="66"/>
      <c r="E57" s="66"/>
      <c r="F57" s="26">
        <v>7.4323900649653205E-5</v>
      </c>
    </row>
  </sheetData>
  <mergeCells count="7">
    <mergeCell ref="A56:E56"/>
    <mergeCell ref="A57:E57"/>
    <mergeCell ref="A1:F1"/>
    <mergeCell ref="A2:F2"/>
    <mergeCell ref="A53:E53"/>
    <mergeCell ref="A54:E54"/>
    <mergeCell ref="A55:E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7"/>
  <sheetViews>
    <sheetView showGridLines="0" workbookViewId="0"/>
  </sheetViews>
  <sheetFormatPr defaultColWidth="8.6640625" defaultRowHeight="14.4" x14ac:dyDescent="0.3"/>
  <cols>
    <col min="1" max="1" width="8" customWidth="1"/>
    <col min="2" max="2" width="10" customWidth="1"/>
    <col min="3" max="3" width="18" customWidth="1"/>
    <col min="4" max="4" width="16" customWidth="1"/>
    <col min="5" max="6" width="14" customWidth="1"/>
  </cols>
  <sheetData>
    <row r="1" spans="1:6" x14ac:dyDescent="0.3">
      <c r="A1" s="67" t="s">
        <v>155</v>
      </c>
      <c r="B1" s="67"/>
      <c r="C1" s="67"/>
      <c r="D1" s="67"/>
      <c r="E1" s="67"/>
      <c r="F1" s="67"/>
    </row>
    <row r="2" spans="1:6" x14ac:dyDescent="0.3">
      <c r="A2" s="72" t="s">
        <v>156</v>
      </c>
      <c r="B2" s="72"/>
      <c r="C2" s="72"/>
      <c r="D2" s="72"/>
      <c r="E2" s="72"/>
      <c r="F2" s="72"/>
    </row>
    <row r="3" spans="1:6" x14ac:dyDescent="0.3">
      <c r="A3" s="3" t="s">
        <v>111</v>
      </c>
      <c r="B3" s="3" t="s">
        <v>126</v>
      </c>
      <c r="C3" s="3" t="s">
        <v>117</v>
      </c>
      <c r="D3" s="3" t="s">
        <v>152</v>
      </c>
      <c r="E3" s="3" t="s">
        <v>113</v>
      </c>
      <c r="F3" s="3" t="s">
        <v>153</v>
      </c>
    </row>
    <row r="4" spans="1:6" x14ac:dyDescent="0.3">
      <c r="A4" s="9">
        <v>18</v>
      </c>
      <c r="B4" s="21">
        <v>3</v>
      </c>
      <c r="C4" s="15">
        <v>5.6999999999999998E-4</v>
      </c>
      <c r="D4" s="15">
        <v>5.6999999999999998E-4</v>
      </c>
      <c r="E4" s="15">
        <v>4.7512413896000401E-5</v>
      </c>
      <c r="F4" s="15">
        <v>1.0754716981132099E-5</v>
      </c>
    </row>
    <row r="5" spans="1:6" x14ac:dyDescent="0.3">
      <c r="A5" s="6">
        <v>19</v>
      </c>
      <c r="B5" s="23">
        <v>3</v>
      </c>
      <c r="C5" s="14">
        <v>5.6899999999999995E-4</v>
      </c>
      <c r="D5" s="14">
        <v>5.6899999999999995E-4</v>
      </c>
      <c r="E5" s="14">
        <v>4.7429037035362498E-5</v>
      </c>
      <c r="F5" s="14">
        <v>1.0735849056603801E-5</v>
      </c>
    </row>
    <row r="6" spans="1:6" x14ac:dyDescent="0.3">
      <c r="A6" s="9">
        <v>20</v>
      </c>
      <c r="B6" s="21">
        <v>3</v>
      </c>
      <c r="C6" s="15">
        <v>5.6899999999999995E-4</v>
      </c>
      <c r="D6" s="15">
        <v>5.6899999999999995E-4</v>
      </c>
      <c r="E6" s="15">
        <v>4.7429037035362498E-5</v>
      </c>
      <c r="F6" s="15">
        <v>1.0735849056603801E-5</v>
      </c>
    </row>
    <row r="7" spans="1:6" x14ac:dyDescent="0.3">
      <c r="A7" s="6">
        <v>21</v>
      </c>
      <c r="B7" s="23">
        <v>3</v>
      </c>
      <c r="C7" s="14">
        <v>5.6899999999999995E-4</v>
      </c>
      <c r="D7" s="14">
        <v>5.6899999999999995E-4</v>
      </c>
      <c r="E7" s="14">
        <v>4.7429037035362498E-5</v>
      </c>
      <c r="F7" s="14">
        <v>1.0735849056603801E-5</v>
      </c>
    </row>
    <row r="8" spans="1:6" x14ac:dyDescent="0.3">
      <c r="A8" s="9">
        <v>22</v>
      </c>
      <c r="B8" s="21">
        <v>3</v>
      </c>
      <c r="C8" s="15">
        <v>5.6899999999999995E-4</v>
      </c>
      <c r="D8" s="15">
        <v>5.6899999999999995E-4</v>
      </c>
      <c r="E8" s="15">
        <v>4.7429037035362498E-5</v>
      </c>
      <c r="F8" s="15">
        <v>1.0735849056603801E-5</v>
      </c>
    </row>
    <row r="9" spans="1:6" x14ac:dyDescent="0.3">
      <c r="A9" s="6">
        <v>23</v>
      </c>
      <c r="B9" s="23">
        <v>3</v>
      </c>
      <c r="C9" s="14">
        <v>5.6999999999999998E-4</v>
      </c>
      <c r="D9" s="14">
        <v>5.6999999999999998E-4</v>
      </c>
      <c r="E9" s="14">
        <v>4.7512413896000401E-5</v>
      </c>
      <c r="F9" s="14">
        <v>1.0754716981132099E-5</v>
      </c>
    </row>
    <row r="10" spans="1:6" x14ac:dyDescent="0.3">
      <c r="A10" s="9">
        <v>24</v>
      </c>
      <c r="B10" s="21">
        <v>3</v>
      </c>
      <c r="C10" s="15">
        <v>5.7200000000000003E-4</v>
      </c>
      <c r="D10" s="15">
        <v>5.7200000000000003E-4</v>
      </c>
      <c r="E10" s="15">
        <v>4.76791678465371E-5</v>
      </c>
      <c r="F10" s="15">
        <v>1.07924528301887E-5</v>
      </c>
    </row>
    <row r="11" spans="1:6" x14ac:dyDescent="0.3">
      <c r="A11" s="6">
        <v>25</v>
      </c>
      <c r="B11" s="23">
        <v>3</v>
      </c>
      <c r="C11" s="14">
        <v>5.7499999999999999E-4</v>
      </c>
      <c r="D11" s="14">
        <v>5.7499999999999999E-4</v>
      </c>
      <c r="E11" s="14">
        <v>4.7929299345828E-5</v>
      </c>
      <c r="F11" s="14">
        <v>1.08490566037736E-5</v>
      </c>
    </row>
    <row r="12" spans="1:6" x14ac:dyDescent="0.3">
      <c r="A12" s="9">
        <v>26</v>
      </c>
      <c r="B12" s="21">
        <v>5</v>
      </c>
      <c r="C12" s="15">
        <v>5.7899999999999998E-4</v>
      </c>
      <c r="D12" s="15">
        <v>5.7899999999999998E-4</v>
      </c>
      <c r="E12" s="15">
        <v>4.8262809082322298E-5</v>
      </c>
      <c r="F12" s="15">
        <v>1.8207547169811298E-5</v>
      </c>
    </row>
    <row r="13" spans="1:6" x14ac:dyDescent="0.3">
      <c r="A13" s="6">
        <v>27</v>
      </c>
      <c r="B13" s="23">
        <v>5</v>
      </c>
      <c r="C13" s="14">
        <v>5.8299999999999997E-4</v>
      </c>
      <c r="D13" s="14">
        <v>5.8299999999999997E-4</v>
      </c>
      <c r="E13" s="14">
        <v>4.8596320042282301E-5</v>
      </c>
      <c r="F13" s="14">
        <v>1.8333333333333299E-5</v>
      </c>
    </row>
    <row r="14" spans="1:6" x14ac:dyDescent="0.3">
      <c r="A14" s="9">
        <v>28</v>
      </c>
      <c r="B14" s="21">
        <v>5</v>
      </c>
      <c r="C14" s="15">
        <v>5.8900000000000001E-4</v>
      </c>
      <c r="D14" s="15">
        <v>5.8900000000000001E-4</v>
      </c>
      <c r="E14" s="15">
        <v>4.9096588776498299E-5</v>
      </c>
      <c r="F14" s="15">
        <v>1.8522012578616402E-5</v>
      </c>
    </row>
    <row r="15" spans="1:6" x14ac:dyDescent="0.3">
      <c r="A15" s="6">
        <v>29</v>
      </c>
      <c r="B15" s="23">
        <v>5</v>
      </c>
      <c r="C15" s="14">
        <v>5.9599999999999996E-4</v>
      </c>
      <c r="D15" s="14">
        <v>5.9599999999999996E-4</v>
      </c>
      <c r="E15" s="14">
        <v>4.9680239112781501E-5</v>
      </c>
      <c r="F15" s="14">
        <v>1.8742138364779901E-5</v>
      </c>
    </row>
    <row r="16" spans="1:6" x14ac:dyDescent="0.3">
      <c r="A16" s="9">
        <v>30</v>
      </c>
      <c r="B16" s="21">
        <v>5</v>
      </c>
      <c r="C16" s="15">
        <v>6.0499999999999996E-4</v>
      </c>
      <c r="D16" s="15">
        <v>6.0499999999999996E-4</v>
      </c>
      <c r="E16" s="15">
        <v>5.0430652194233302E-5</v>
      </c>
      <c r="F16" s="15">
        <v>1.90251572327044E-5</v>
      </c>
    </row>
    <row r="17" spans="1:6" x14ac:dyDescent="0.3">
      <c r="A17" s="6">
        <v>31</v>
      </c>
      <c r="B17" s="23">
        <v>5</v>
      </c>
      <c r="C17" s="14">
        <v>6.1499999999999999E-4</v>
      </c>
      <c r="D17" s="14">
        <v>6.1499999999999999E-4</v>
      </c>
      <c r="E17" s="14">
        <v>5.1264451772392603E-5</v>
      </c>
      <c r="F17" s="14">
        <v>1.9339622641509399E-5</v>
      </c>
    </row>
    <row r="18" spans="1:6" x14ac:dyDescent="0.3">
      <c r="A18" s="9">
        <v>32</v>
      </c>
      <c r="B18" s="21">
        <v>5</v>
      </c>
      <c r="C18" s="15">
        <v>6.2799999999999998E-4</v>
      </c>
      <c r="D18" s="15">
        <v>6.2799999999999998E-4</v>
      </c>
      <c r="E18" s="15">
        <v>5.2348402657553799E-5</v>
      </c>
      <c r="F18" s="15">
        <v>1.9748427672956E-5</v>
      </c>
    </row>
    <row r="19" spans="1:6" x14ac:dyDescent="0.3">
      <c r="A19" s="6">
        <v>33</v>
      </c>
      <c r="B19" s="23">
        <v>5</v>
      </c>
      <c r="C19" s="14">
        <v>6.4300000000000002E-4</v>
      </c>
      <c r="D19" s="14">
        <v>6.4300000000000002E-4</v>
      </c>
      <c r="E19" s="14">
        <v>5.3599131278447802E-5</v>
      </c>
      <c r="F19" s="14">
        <v>2.0220125786163501E-5</v>
      </c>
    </row>
    <row r="20" spans="1:6" x14ac:dyDescent="0.3">
      <c r="A20" s="9">
        <v>34</v>
      </c>
      <c r="B20" s="21">
        <v>5</v>
      </c>
      <c r="C20" s="15">
        <v>6.6E-4</v>
      </c>
      <c r="D20" s="15">
        <v>6.6E-4</v>
      </c>
      <c r="E20" s="15">
        <v>5.5016644518901502E-5</v>
      </c>
      <c r="F20" s="15">
        <v>2.07547169811321E-5</v>
      </c>
    </row>
    <row r="21" spans="1:6" x14ac:dyDescent="0.3">
      <c r="A21" s="6">
        <v>35</v>
      </c>
      <c r="B21" s="23">
        <v>5</v>
      </c>
      <c r="C21" s="14">
        <v>6.8099999999999996E-4</v>
      </c>
      <c r="D21" s="14">
        <v>6.8099999999999996E-4</v>
      </c>
      <c r="E21" s="14">
        <v>5.6767720804207202E-5</v>
      </c>
      <c r="F21" s="14">
        <v>2.1415094339622601E-5</v>
      </c>
    </row>
    <row r="22" spans="1:6" x14ac:dyDescent="0.3">
      <c r="A22" s="9">
        <v>36</v>
      </c>
      <c r="B22" s="21">
        <v>4</v>
      </c>
      <c r="C22" s="15">
        <v>7.0399999999999998E-4</v>
      </c>
      <c r="D22" s="15">
        <v>7.0399999999999998E-4</v>
      </c>
      <c r="E22" s="15">
        <v>5.8685604963026903E-5</v>
      </c>
      <c r="F22" s="15">
        <v>1.7710691823899398E-5</v>
      </c>
    </row>
    <row r="23" spans="1:6" x14ac:dyDescent="0.3">
      <c r="A23" s="6">
        <v>37</v>
      </c>
      <c r="B23" s="23">
        <v>4</v>
      </c>
      <c r="C23" s="14">
        <v>7.3200000000000001E-4</v>
      </c>
      <c r="D23" s="14">
        <v>7.3200000000000001E-4</v>
      </c>
      <c r="E23" s="14">
        <v>6.1020475076167799E-5</v>
      </c>
      <c r="F23" s="14">
        <v>1.84150943396226E-5</v>
      </c>
    </row>
    <row r="24" spans="1:6" x14ac:dyDescent="0.3">
      <c r="A24" s="9">
        <v>38</v>
      </c>
      <c r="B24" s="21">
        <v>4</v>
      </c>
      <c r="C24" s="15">
        <v>7.6400000000000003E-4</v>
      </c>
      <c r="D24" s="15">
        <v>7.6400000000000003E-4</v>
      </c>
      <c r="E24" s="15">
        <v>6.3688971499109597E-5</v>
      </c>
      <c r="F24" s="15">
        <v>1.92201257861635E-5</v>
      </c>
    </row>
    <row r="25" spans="1:6" x14ac:dyDescent="0.3">
      <c r="A25" s="6">
        <v>39</v>
      </c>
      <c r="B25" s="23">
        <v>4</v>
      </c>
      <c r="C25" s="14">
        <v>8.0099999999999995E-4</v>
      </c>
      <c r="D25" s="14">
        <v>8.0099999999999995E-4</v>
      </c>
      <c r="E25" s="14">
        <v>6.6774518141854395E-5</v>
      </c>
      <c r="F25" s="14">
        <v>2.0150943396226402E-5</v>
      </c>
    </row>
    <row r="26" spans="1:6" x14ac:dyDescent="0.3">
      <c r="A26" s="9">
        <v>40</v>
      </c>
      <c r="B26" s="21">
        <v>4</v>
      </c>
      <c r="C26" s="15">
        <v>8.4400000000000002E-4</v>
      </c>
      <c r="D26" s="15">
        <v>8.4400000000000002E-4</v>
      </c>
      <c r="E26" s="15">
        <v>7.0360555290860396E-5</v>
      </c>
      <c r="F26" s="15">
        <v>2.12327044025157E-5</v>
      </c>
    </row>
    <row r="27" spans="1:6" x14ac:dyDescent="0.3">
      <c r="A27" s="6">
        <v>41</v>
      </c>
      <c r="B27" s="23">
        <v>4</v>
      </c>
      <c r="C27" s="14">
        <v>8.9300000000000002E-4</v>
      </c>
      <c r="D27" s="14">
        <v>8.9300000000000002E-4</v>
      </c>
      <c r="E27" s="14">
        <v>7.4447142176747901E-5</v>
      </c>
      <c r="F27" s="14">
        <v>2.2465408805031499E-5</v>
      </c>
    </row>
    <row r="28" spans="1:6" x14ac:dyDescent="0.3">
      <c r="A28" s="9">
        <v>42</v>
      </c>
      <c r="B28" s="21">
        <v>4</v>
      </c>
      <c r="C28" s="15">
        <v>9.4899999999999997E-4</v>
      </c>
      <c r="D28" s="15">
        <v>9.4899999999999997E-4</v>
      </c>
      <c r="E28" s="15">
        <v>7.91177521582975E-5</v>
      </c>
      <c r="F28" s="15">
        <v>2.3874213836478E-5</v>
      </c>
    </row>
    <row r="29" spans="1:6" x14ac:dyDescent="0.3">
      <c r="A29" s="6">
        <v>43</v>
      </c>
      <c r="B29" s="23">
        <v>4</v>
      </c>
      <c r="C29" s="14">
        <v>1.0139999999999999E-3</v>
      </c>
      <c r="D29" s="14">
        <v>1.0139999999999999E-3</v>
      </c>
      <c r="E29" s="14">
        <v>8.4539296835162202E-5</v>
      </c>
      <c r="F29" s="14">
        <v>2.5509433962264201E-5</v>
      </c>
    </row>
    <row r="30" spans="1:6" x14ac:dyDescent="0.3">
      <c r="A30" s="9">
        <v>44</v>
      </c>
      <c r="B30" s="21">
        <v>4</v>
      </c>
      <c r="C30" s="15">
        <v>1.088E-3</v>
      </c>
      <c r="D30" s="15">
        <v>1.088E-3</v>
      </c>
      <c r="E30" s="15">
        <v>9.0711910563756604E-5</v>
      </c>
      <c r="F30" s="15">
        <v>2.7371069182389898E-5</v>
      </c>
    </row>
    <row r="31" spans="1:6" x14ac:dyDescent="0.3">
      <c r="A31" s="6">
        <v>45</v>
      </c>
      <c r="B31" s="23">
        <v>4</v>
      </c>
      <c r="C31" s="14">
        <v>1.1739999999999999E-3</v>
      </c>
      <c r="D31" s="14">
        <v>1.1739999999999999E-3</v>
      </c>
      <c r="E31" s="14">
        <v>9.7886015338111102E-5</v>
      </c>
      <c r="F31" s="14">
        <v>2.9534591194968599E-5</v>
      </c>
    </row>
    <row r="32" spans="1:6" x14ac:dyDescent="0.3">
      <c r="A32" s="9">
        <v>46</v>
      </c>
      <c r="B32" s="21">
        <v>3</v>
      </c>
      <c r="C32" s="15">
        <v>1.271E-3</v>
      </c>
      <c r="D32" s="15">
        <v>1.271E-3</v>
      </c>
      <c r="E32" s="15">
        <v>1.05978417687447E-4</v>
      </c>
      <c r="F32" s="15">
        <v>2.39811320754717E-5</v>
      </c>
    </row>
    <row r="33" spans="1:6" x14ac:dyDescent="0.3">
      <c r="A33" s="6">
        <v>47</v>
      </c>
      <c r="B33" s="23">
        <v>3</v>
      </c>
      <c r="C33" s="14">
        <v>1.3829999999999999E-3</v>
      </c>
      <c r="D33" s="14">
        <v>1.3829999999999999E-3</v>
      </c>
      <c r="E33" s="14">
        <v>1.15323118708322E-4</v>
      </c>
      <c r="F33" s="14">
        <v>2.6094339622641501E-5</v>
      </c>
    </row>
    <row r="34" spans="1:6" x14ac:dyDescent="0.3">
      <c r="A34" s="9">
        <v>48</v>
      </c>
      <c r="B34" s="21">
        <v>3</v>
      </c>
      <c r="C34" s="15">
        <v>1.511E-3</v>
      </c>
      <c r="D34" s="15">
        <v>1.511E-3</v>
      </c>
      <c r="E34" s="15">
        <v>1.26003953479614E-4</v>
      </c>
      <c r="F34" s="15">
        <v>2.8509433962264199E-5</v>
      </c>
    </row>
    <row r="35" spans="1:6" x14ac:dyDescent="0.3">
      <c r="A35" s="6">
        <v>49</v>
      </c>
      <c r="B35" s="23">
        <v>3</v>
      </c>
      <c r="C35" s="14">
        <v>1.6570000000000001E-3</v>
      </c>
      <c r="D35" s="14">
        <v>1.6570000000000001E-3</v>
      </c>
      <c r="E35" s="14">
        <v>1.3818831302370201E-4</v>
      </c>
      <c r="F35" s="14">
        <v>3.1264150943396201E-5</v>
      </c>
    </row>
    <row r="36" spans="1:6" x14ac:dyDescent="0.3">
      <c r="A36" s="9">
        <v>50</v>
      </c>
      <c r="B36" s="21">
        <v>3</v>
      </c>
      <c r="C36" s="15">
        <v>1.823E-3</v>
      </c>
      <c r="D36" s="15">
        <v>1.823E-3</v>
      </c>
      <c r="E36" s="15">
        <v>1.5204374740618301E-4</v>
      </c>
      <c r="F36" s="15">
        <v>3.4396226415094302E-5</v>
      </c>
    </row>
    <row r="37" spans="1:6" x14ac:dyDescent="0.3">
      <c r="A37" s="6">
        <v>51</v>
      </c>
      <c r="B37" s="23">
        <v>3</v>
      </c>
      <c r="C37" s="14">
        <v>2.0140000000000002E-3</v>
      </c>
      <c r="D37" s="14">
        <v>2.0140000000000002E-3</v>
      </c>
      <c r="E37" s="14">
        <v>1.67988457123625E-4</v>
      </c>
      <c r="F37" s="14">
        <v>3.8000000000000002E-5</v>
      </c>
    </row>
    <row r="38" spans="1:6" x14ac:dyDescent="0.3">
      <c r="A38" s="9">
        <v>52</v>
      </c>
      <c r="B38" s="21">
        <v>3</v>
      </c>
      <c r="C38" s="15">
        <v>2.2309999999999999E-3</v>
      </c>
      <c r="D38" s="15">
        <v>2.2309999999999999E-3</v>
      </c>
      <c r="E38" s="15">
        <v>1.8610704561827801E-4</v>
      </c>
      <c r="F38" s="15">
        <v>4.20943396226415E-5</v>
      </c>
    </row>
    <row r="39" spans="1:6" x14ac:dyDescent="0.3">
      <c r="A39" s="6">
        <v>53</v>
      </c>
      <c r="B39" s="23">
        <v>3</v>
      </c>
      <c r="C39" s="14">
        <v>2.4789999999999999E-3</v>
      </c>
      <c r="D39" s="14">
        <v>2.4789999999999999E-3</v>
      </c>
      <c r="E39" s="14">
        <v>2.0681842746506101E-4</v>
      </c>
      <c r="F39" s="14">
        <v>4.6773584905660399E-5</v>
      </c>
    </row>
    <row r="40" spans="1:6" x14ac:dyDescent="0.3">
      <c r="A40" s="9">
        <v>54</v>
      </c>
      <c r="B40" s="21">
        <v>3</v>
      </c>
      <c r="C40" s="15">
        <v>2.7620000000000001E-3</v>
      </c>
      <c r="D40" s="15">
        <v>2.7620000000000001E-3</v>
      </c>
      <c r="E40" s="15">
        <v>2.30458553681756E-4</v>
      </c>
      <c r="F40" s="15">
        <v>5.2113207547169799E-5</v>
      </c>
    </row>
    <row r="41" spans="1:6" x14ac:dyDescent="0.3">
      <c r="A41" s="6">
        <v>55</v>
      </c>
      <c r="B41" s="23">
        <v>3</v>
      </c>
      <c r="C41" s="14">
        <v>3.0890000000000002E-3</v>
      </c>
      <c r="D41" s="14">
        <v>3.0890000000000002E-3</v>
      </c>
      <c r="E41" s="14">
        <v>2.5778183591118598E-4</v>
      </c>
      <c r="F41" s="14">
        <v>5.82830188679245E-5</v>
      </c>
    </row>
    <row r="42" spans="1:6" x14ac:dyDescent="0.3">
      <c r="A42" s="9">
        <v>56</v>
      </c>
      <c r="B42" s="21">
        <v>1.5</v>
      </c>
      <c r="C42" s="15">
        <v>3.4520000000000002E-3</v>
      </c>
      <c r="D42" s="15">
        <v>3.4520000000000002E-3</v>
      </c>
      <c r="E42" s="15">
        <v>2.8812280958978597E-4</v>
      </c>
      <c r="F42" s="15">
        <v>3.2566037735849099E-5</v>
      </c>
    </row>
    <row r="43" spans="1:6" x14ac:dyDescent="0.3">
      <c r="A43" s="6">
        <v>57</v>
      </c>
      <c r="B43" s="23">
        <v>1.5</v>
      </c>
      <c r="C43" s="14">
        <v>3.872E-3</v>
      </c>
      <c r="D43" s="14">
        <v>3.872E-3</v>
      </c>
      <c r="E43" s="14">
        <v>3.2324071300493502E-4</v>
      </c>
      <c r="F43" s="14">
        <v>3.6528301886792501E-5</v>
      </c>
    </row>
    <row r="44" spans="1:6" x14ac:dyDescent="0.3">
      <c r="A44" s="9">
        <v>58</v>
      </c>
      <c r="B44" s="21">
        <v>1.5</v>
      </c>
      <c r="C44" s="15">
        <v>4.3499999999999997E-3</v>
      </c>
      <c r="D44" s="15">
        <v>4.3499999999999997E-3</v>
      </c>
      <c r="E44" s="15">
        <v>3.6322474936711902E-4</v>
      </c>
      <c r="F44" s="15">
        <v>4.1037735849056601E-5</v>
      </c>
    </row>
    <row r="45" spans="1:6" x14ac:dyDescent="0.3">
      <c r="A45" s="6">
        <v>59</v>
      </c>
      <c r="B45" s="23">
        <v>1.5</v>
      </c>
      <c r="C45" s="14">
        <v>4.895E-3</v>
      </c>
      <c r="D45" s="14">
        <v>4.895E-3</v>
      </c>
      <c r="E45" s="14">
        <v>4.0883471705199797E-4</v>
      </c>
      <c r="F45" s="14">
        <v>4.6179245283018898E-5</v>
      </c>
    </row>
    <row r="46" spans="1:6" x14ac:dyDescent="0.3">
      <c r="A46" s="9">
        <v>60</v>
      </c>
      <c r="B46" s="21">
        <v>1.5</v>
      </c>
      <c r="C46" s="15">
        <v>5.5160000000000001E-3</v>
      </c>
      <c r="D46" s="15">
        <v>5.5160000000000001E-3</v>
      </c>
      <c r="E46" s="15">
        <v>4.60832892573371E-4</v>
      </c>
      <c r="F46" s="15">
        <v>5.2037735849056598E-5</v>
      </c>
    </row>
    <row r="47" spans="1:6" x14ac:dyDescent="0.3">
      <c r="A47" s="6">
        <v>61</v>
      </c>
      <c r="B47" s="23">
        <v>1.5</v>
      </c>
      <c r="C47" s="14">
        <v>6.2230000000000002E-3</v>
      </c>
      <c r="D47" s="14">
        <v>6.2230000000000002E-3</v>
      </c>
      <c r="E47" s="14">
        <v>5.2006834849760398E-4</v>
      </c>
      <c r="F47" s="14">
        <v>5.8707547169811297E-5</v>
      </c>
    </row>
    <row r="48" spans="1:6" x14ac:dyDescent="0.3">
      <c r="A48" s="9">
        <v>62</v>
      </c>
      <c r="B48" s="21">
        <v>1.5</v>
      </c>
      <c r="C48" s="15">
        <v>7.0289999999999997E-3</v>
      </c>
      <c r="D48" s="15">
        <v>7.0289999999999997E-3</v>
      </c>
      <c r="E48" s="15">
        <v>5.8764558486335005E-4</v>
      </c>
      <c r="F48" s="15">
        <v>6.6311320754716999E-5</v>
      </c>
    </row>
    <row r="49" spans="1:6" x14ac:dyDescent="0.3">
      <c r="A49" s="6">
        <v>63</v>
      </c>
      <c r="B49" s="23">
        <v>1.5</v>
      </c>
      <c r="C49" s="14">
        <v>7.9469999999999992E-3</v>
      </c>
      <c r="D49" s="14">
        <v>7.9469999999999992E-3</v>
      </c>
      <c r="E49" s="14">
        <v>6.6467448141072105E-4</v>
      </c>
      <c r="F49" s="14">
        <v>7.4971698113207499E-5</v>
      </c>
    </row>
    <row r="50" spans="1:6" x14ac:dyDescent="0.3">
      <c r="A50" s="9">
        <v>64</v>
      </c>
      <c r="B50" s="21">
        <v>1.5</v>
      </c>
      <c r="C50" s="15">
        <v>8.9929999999999993E-3</v>
      </c>
      <c r="D50" s="15">
        <v>8.9929999999999993E-3</v>
      </c>
      <c r="E50" s="15">
        <v>7.5252347082899196E-4</v>
      </c>
      <c r="F50" s="15">
        <v>8.4839622641509402E-5</v>
      </c>
    </row>
    <row r="51" spans="1:6" x14ac:dyDescent="0.3">
      <c r="A51" s="6">
        <v>65</v>
      </c>
      <c r="B51" s="23">
        <v>1.5</v>
      </c>
      <c r="C51" s="14">
        <v>1.0182999999999999E-2</v>
      </c>
      <c r="D51" s="14">
        <v>1.0182999999999999E-2</v>
      </c>
      <c r="E51" s="14">
        <v>8.5256980773673597E-4</v>
      </c>
      <c r="F51" s="14">
        <v>9.6066037735849098E-5</v>
      </c>
    </row>
    <row r="53" spans="1:6" x14ac:dyDescent="0.3">
      <c r="A53" s="69" t="s">
        <v>154</v>
      </c>
      <c r="B53" s="69"/>
      <c r="C53" s="69"/>
      <c r="D53" s="69"/>
      <c r="E53" s="69"/>
      <c r="F53" s="25">
        <v>1.47664150943396E-3</v>
      </c>
    </row>
    <row r="54" spans="1:6" x14ac:dyDescent="0.3">
      <c r="A54" s="69" t="s">
        <v>132</v>
      </c>
      <c r="B54" s="69"/>
      <c r="C54" s="69"/>
      <c r="D54" s="69"/>
      <c r="E54" s="69"/>
    </row>
    <row r="55" spans="1:6" x14ac:dyDescent="0.3">
      <c r="A55" s="69" t="s">
        <v>133</v>
      </c>
      <c r="B55" s="69"/>
      <c r="C55" s="69"/>
      <c r="D55" s="69"/>
      <c r="E55" s="69"/>
    </row>
    <row r="56" spans="1:6" x14ac:dyDescent="0.3">
      <c r="A56" s="66" t="s">
        <v>3</v>
      </c>
      <c r="B56" s="66"/>
      <c r="C56" s="66"/>
      <c r="D56" s="66"/>
      <c r="E56" s="66"/>
      <c r="F56" s="26">
        <v>1.7830446226415101E-3</v>
      </c>
    </row>
    <row r="57" spans="1:6" x14ac:dyDescent="0.3">
      <c r="A57" s="66" t="s">
        <v>134</v>
      </c>
      <c r="B57" s="66"/>
      <c r="C57" s="66"/>
      <c r="D57" s="66"/>
      <c r="E57" s="66"/>
      <c r="F57" s="26">
        <v>1.4870862001148399E-4</v>
      </c>
    </row>
  </sheetData>
  <mergeCells count="7">
    <mergeCell ref="A56:E56"/>
    <mergeCell ref="A57:E57"/>
    <mergeCell ref="A1:F1"/>
    <mergeCell ref="A2:F2"/>
    <mergeCell ref="A53:E53"/>
    <mergeCell ref="A54:E54"/>
    <mergeCell ref="A55:E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showGridLines="0" workbookViewId="0"/>
  </sheetViews>
  <sheetFormatPr defaultColWidth="8.6640625" defaultRowHeight="14.4" x14ac:dyDescent="0.3"/>
  <cols>
    <col min="1" max="1" width="45" customWidth="1"/>
    <col min="2" max="2" width="20" customWidth="1"/>
  </cols>
  <sheetData>
    <row r="1" spans="1:2" x14ac:dyDescent="0.3">
      <c r="A1" s="70" t="s">
        <v>157</v>
      </c>
      <c r="B1" s="70"/>
    </row>
    <row r="3" spans="1:2" x14ac:dyDescent="0.3">
      <c r="A3" s="2" t="s">
        <v>158</v>
      </c>
      <c r="B3" s="35">
        <v>1.7830446226415101E-3</v>
      </c>
    </row>
    <row r="4" spans="1:2" x14ac:dyDescent="0.3">
      <c r="A4" s="2" t="s">
        <v>159</v>
      </c>
      <c r="B4" s="36">
        <v>0.3</v>
      </c>
    </row>
    <row r="5" spans="1:2" x14ac:dyDescent="0.3">
      <c r="A5" s="1" t="s">
        <v>160</v>
      </c>
      <c r="B5" s="34">
        <v>2.3179580094339599E-3</v>
      </c>
    </row>
    <row r="6" spans="1:2" x14ac:dyDescent="0.3">
      <c r="A6" s="1" t="s">
        <v>134</v>
      </c>
      <c r="B6" s="34">
        <v>1.9336868792641001E-4</v>
      </c>
    </row>
    <row r="7" spans="1:2" x14ac:dyDescent="0.3">
      <c r="A7" s="2"/>
    </row>
    <row r="8" spans="1:2" x14ac:dyDescent="0.3">
      <c r="A8" s="37" t="s">
        <v>161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showGridLines="0" workbookViewId="0"/>
  </sheetViews>
  <sheetFormatPr defaultColWidth="8.6640625" defaultRowHeight="14.4" x14ac:dyDescent="0.3"/>
  <cols>
    <col min="1" max="1" width="45" customWidth="1"/>
    <col min="2" max="2" width="20" customWidth="1"/>
  </cols>
  <sheetData>
    <row r="1" spans="1:2" x14ac:dyDescent="0.3">
      <c r="A1" s="70" t="s">
        <v>162</v>
      </c>
      <c r="B1" s="70"/>
    </row>
    <row r="3" spans="1:2" x14ac:dyDescent="0.3">
      <c r="A3" s="2" t="s">
        <v>158</v>
      </c>
      <c r="B3" s="35">
        <v>1.7830446226415101E-3</v>
      </c>
    </row>
    <row r="4" spans="1:2" x14ac:dyDescent="0.3">
      <c r="A4" s="2" t="s">
        <v>159</v>
      </c>
      <c r="B4" s="36">
        <v>0.3</v>
      </c>
    </row>
    <row r="5" spans="1:2" x14ac:dyDescent="0.3">
      <c r="A5" s="1" t="s">
        <v>160</v>
      </c>
      <c r="B5" s="34">
        <v>2.3179580094339599E-3</v>
      </c>
    </row>
    <row r="6" spans="1:2" x14ac:dyDescent="0.3">
      <c r="A6" s="1" t="s">
        <v>134</v>
      </c>
      <c r="B6" s="34">
        <v>1.9336868792641001E-4</v>
      </c>
    </row>
    <row r="7" spans="1:2" x14ac:dyDescent="0.3">
      <c r="A7" s="2"/>
    </row>
    <row r="8" spans="1:2" x14ac:dyDescent="0.3">
      <c r="A8" s="37" t="s">
        <v>161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9"/>
  <sheetViews>
    <sheetView showGridLines="0" workbookViewId="0"/>
  </sheetViews>
  <sheetFormatPr defaultColWidth="8.6640625" defaultRowHeight="14.4" x14ac:dyDescent="0.3"/>
  <cols>
    <col min="1" max="1" width="8" customWidth="1"/>
    <col min="2" max="2" width="10" customWidth="1"/>
    <col min="3" max="3" width="14" customWidth="1"/>
    <col min="4" max="6" width="18" customWidth="1"/>
  </cols>
  <sheetData>
    <row r="1" spans="1:6" x14ac:dyDescent="0.3">
      <c r="A1" s="70" t="s">
        <v>163</v>
      </c>
      <c r="B1" s="70"/>
      <c r="C1" s="70"/>
      <c r="D1" s="70"/>
      <c r="E1" s="70"/>
      <c r="F1" s="70"/>
    </row>
    <row r="2" spans="1:6" x14ac:dyDescent="0.3">
      <c r="A2" s="71" t="s">
        <v>164</v>
      </c>
      <c r="B2" s="71"/>
      <c r="C2" s="71"/>
      <c r="D2" s="71"/>
      <c r="E2" s="71"/>
      <c r="F2" s="71"/>
    </row>
    <row r="3" spans="1:6" x14ac:dyDescent="0.3">
      <c r="A3" s="3" t="s">
        <v>111</v>
      </c>
      <c r="B3" s="3" t="s">
        <v>126</v>
      </c>
      <c r="C3" s="3" t="s">
        <v>121</v>
      </c>
      <c r="D3" s="3" t="s">
        <v>165</v>
      </c>
      <c r="E3" s="3" t="s">
        <v>166</v>
      </c>
      <c r="F3" s="3" t="s">
        <v>153</v>
      </c>
    </row>
    <row r="4" spans="1:6" x14ac:dyDescent="0.3">
      <c r="A4" s="9">
        <v>18</v>
      </c>
      <c r="B4" s="21">
        <v>3</v>
      </c>
      <c r="C4" s="19">
        <v>6.36</v>
      </c>
      <c r="D4" s="15">
        <v>1.7424657534246601E-2</v>
      </c>
      <c r="E4" s="15">
        <v>5.22739726027397E-2</v>
      </c>
      <c r="F4" s="15">
        <v>3.2876712328767103E-4</v>
      </c>
    </row>
    <row r="5" spans="1:6" x14ac:dyDescent="0.3">
      <c r="A5" s="6">
        <v>19</v>
      </c>
      <c r="B5" s="23">
        <v>3</v>
      </c>
      <c r="C5" s="18">
        <v>5.9</v>
      </c>
      <c r="D5" s="14">
        <v>1.6164383561643798E-2</v>
      </c>
      <c r="E5" s="14">
        <v>4.8493150684931499E-2</v>
      </c>
      <c r="F5" s="14">
        <v>3.0498836908762002E-4</v>
      </c>
    </row>
    <row r="6" spans="1:6" x14ac:dyDescent="0.3">
      <c r="A6" s="9">
        <v>20</v>
      </c>
      <c r="B6" s="21">
        <v>3</v>
      </c>
      <c r="C6" s="19">
        <v>5.39</v>
      </c>
      <c r="D6" s="15">
        <v>1.4767123287671199E-2</v>
      </c>
      <c r="E6" s="15">
        <v>4.4301369863013702E-2</v>
      </c>
      <c r="F6" s="15">
        <v>2.7862496769191E-4</v>
      </c>
    </row>
    <row r="7" spans="1:6" x14ac:dyDescent="0.3">
      <c r="A7" s="6">
        <v>21</v>
      </c>
      <c r="B7" s="23">
        <v>3</v>
      </c>
      <c r="C7" s="18">
        <v>5.12</v>
      </c>
      <c r="D7" s="14">
        <v>1.4027397260274001E-2</v>
      </c>
      <c r="E7" s="14">
        <v>4.2082191780821898E-2</v>
      </c>
      <c r="F7" s="14">
        <v>2.6466787283535798E-4</v>
      </c>
    </row>
    <row r="8" spans="1:6" x14ac:dyDescent="0.3">
      <c r="A8" s="9">
        <v>22</v>
      </c>
      <c r="B8" s="21">
        <v>3</v>
      </c>
      <c r="C8" s="19">
        <v>4.96</v>
      </c>
      <c r="D8" s="15">
        <v>1.3589041095890399E-2</v>
      </c>
      <c r="E8" s="15">
        <v>4.0767123287671202E-2</v>
      </c>
      <c r="F8" s="15">
        <v>2.56397001809253E-4</v>
      </c>
    </row>
    <row r="9" spans="1:6" x14ac:dyDescent="0.3">
      <c r="A9" s="6">
        <v>23</v>
      </c>
      <c r="B9" s="23">
        <v>3</v>
      </c>
      <c r="C9" s="18">
        <v>4.88</v>
      </c>
      <c r="D9" s="14">
        <v>1.33698630136986E-2</v>
      </c>
      <c r="E9" s="14">
        <v>4.0109589041095899E-2</v>
      </c>
      <c r="F9" s="14">
        <v>2.52261566296201E-4</v>
      </c>
    </row>
    <row r="10" spans="1:6" x14ac:dyDescent="0.3">
      <c r="A10" s="9">
        <v>24</v>
      </c>
      <c r="B10" s="21">
        <v>3</v>
      </c>
      <c r="C10" s="19">
        <v>4.8099999999999996</v>
      </c>
      <c r="D10" s="15">
        <v>1.31780821917808E-2</v>
      </c>
      <c r="E10" s="15">
        <v>3.9534246575342498E-2</v>
      </c>
      <c r="F10" s="15">
        <v>2.4864306022228001E-4</v>
      </c>
    </row>
    <row r="11" spans="1:6" x14ac:dyDescent="0.3">
      <c r="A11" s="6">
        <v>25</v>
      </c>
      <c r="B11" s="23">
        <v>3</v>
      </c>
      <c r="C11" s="18">
        <v>4.8499999999999996</v>
      </c>
      <c r="D11" s="14">
        <v>1.32876712328767E-2</v>
      </c>
      <c r="E11" s="14">
        <v>3.9863013698630101E-2</v>
      </c>
      <c r="F11" s="14">
        <v>2.5071077797880601E-4</v>
      </c>
    </row>
    <row r="12" spans="1:6" x14ac:dyDescent="0.3">
      <c r="A12" s="9">
        <v>26</v>
      </c>
      <c r="B12" s="21">
        <v>5</v>
      </c>
      <c r="C12" s="19">
        <v>4.88</v>
      </c>
      <c r="D12" s="15">
        <v>1.33698630136986E-2</v>
      </c>
      <c r="E12" s="15">
        <v>6.6849315068493204E-2</v>
      </c>
      <c r="F12" s="15">
        <v>4.2043594382700102E-4</v>
      </c>
    </row>
    <row r="13" spans="1:6" x14ac:dyDescent="0.3">
      <c r="A13" s="6">
        <v>27</v>
      </c>
      <c r="B13" s="23">
        <v>5</v>
      </c>
      <c r="C13" s="18">
        <v>4.9800000000000004</v>
      </c>
      <c r="D13" s="14">
        <v>1.36438356164384E-2</v>
      </c>
      <c r="E13" s="14">
        <v>6.82191780821918E-2</v>
      </c>
      <c r="F13" s="14">
        <v>4.2905143447919401E-4</v>
      </c>
    </row>
    <row r="14" spans="1:6" x14ac:dyDescent="0.3">
      <c r="A14" s="9">
        <v>28</v>
      </c>
      <c r="B14" s="21">
        <v>5</v>
      </c>
      <c r="C14" s="19">
        <v>5.1100000000000003</v>
      </c>
      <c r="D14" s="15">
        <v>1.4E-2</v>
      </c>
      <c r="E14" s="15">
        <v>7.0000000000000007E-2</v>
      </c>
      <c r="F14" s="15">
        <v>4.40251572327044E-4</v>
      </c>
    </row>
    <row r="15" spans="1:6" x14ac:dyDescent="0.3">
      <c r="A15" s="6">
        <v>29</v>
      </c>
      <c r="B15" s="23">
        <v>5</v>
      </c>
      <c r="C15" s="18">
        <v>5.25</v>
      </c>
      <c r="D15" s="14">
        <v>1.4383561643835601E-2</v>
      </c>
      <c r="E15" s="14">
        <v>7.1917808219178106E-2</v>
      </c>
      <c r="F15" s="14">
        <v>4.52313259240114E-4</v>
      </c>
    </row>
    <row r="16" spans="1:6" x14ac:dyDescent="0.3">
      <c r="A16" s="9">
        <v>30</v>
      </c>
      <c r="B16" s="21">
        <v>5</v>
      </c>
      <c r="C16" s="19">
        <v>5.41</v>
      </c>
      <c r="D16" s="15">
        <v>1.48219178082192E-2</v>
      </c>
      <c r="E16" s="15">
        <v>7.4109589041095894E-2</v>
      </c>
      <c r="F16" s="15">
        <v>4.6609804428362198E-4</v>
      </c>
    </row>
    <row r="17" spans="1:6" x14ac:dyDescent="0.3">
      <c r="A17" s="6">
        <v>31</v>
      </c>
      <c r="B17" s="23">
        <v>5</v>
      </c>
      <c r="C17" s="18">
        <v>5.61</v>
      </c>
      <c r="D17" s="14">
        <v>1.5369863013698601E-2</v>
      </c>
      <c r="E17" s="14">
        <v>7.6849315068493199E-2</v>
      </c>
      <c r="F17" s="14">
        <v>4.8332902558800698E-4</v>
      </c>
    </row>
    <row r="18" spans="1:6" x14ac:dyDescent="0.3">
      <c r="A18" s="9">
        <v>32</v>
      </c>
      <c r="B18" s="21">
        <v>5</v>
      </c>
      <c r="C18" s="19">
        <v>5.83</v>
      </c>
      <c r="D18" s="15">
        <v>1.5972602739726002E-2</v>
      </c>
      <c r="E18" s="15">
        <v>7.9863013698630095E-2</v>
      </c>
      <c r="F18" s="15">
        <v>5.02283105022831E-4</v>
      </c>
    </row>
    <row r="19" spans="1:6" x14ac:dyDescent="0.3">
      <c r="A19" s="6">
        <v>33</v>
      </c>
      <c r="B19" s="23">
        <v>5</v>
      </c>
      <c r="C19" s="18">
        <v>6.05</v>
      </c>
      <c r="D19" s="14">
        <v>1.6575342465753401E-2</v>
      </c>
      <c r="E19" s="14">
        <v>8.2876712328767102E-2</v>
      </c>
      <c r="F19" s="14">
        <v>5.2123718445765501E-4</v>
      </c>
    </row>
    <row r="20" spans="1:6" x14ac:dyDescent="0.3">
      <c r="A20" s="9">
        <v>34</v>
      </c>
      <c r="B20" s="21">
        <v>5</v>
      </c>
      <c r="C20" s="19">
        <v>6.27</v>
      </c>
      <c r="D20" s="15">
        <v>1.71780821917808E-2</v>
      </c>
      <c r="E20" s="15">
        <v>8.5890410958904095E-2</v>
      </c>
      <c r="F20" s="15">
        <v>5.4019126389247903E-4</v>
      </c>
    </row>
    <row r="21" spans="1:6" x14ac:dyDescent="0.3">
      <c r="A21" s="6">
        <v>35</v>
      </c>
      <c r="B21" s="23">
        <v>5</v>
      </c>
      <c r="C21" s="18">
        <v>6.48</v>
      </c>
      <c r="D21" s="14">
        <v>1.7753424657534302E-2</v>
      </c>
      <c r="E21" s="14">
        <v>8.8767123287671196E-2</v>
      </c>
      <c r="F21" s="14">
        <v>5.5828379426208299E-4</v>
      </c>
    </row>
    <row r="22" spans="1:6" x14ac:dyDescent="0.3">
      <c r="A22" s="9">
        <v>36</v>
      </c>
      <c r="B22" s="21">
        <v>4</v>
      </c>
      <c r="C22" s="19">
        <v>6.67</v>
      </c>
      <c r="D22" s="15">
        <v>1.8273972602739701E-2</v>
      </c>
      <c r="E22" s="15">
        <v>7.3095890410958902E-2</v>
      </c>
      <c r="F22" s="15">
        <v>4.5972258120099898E-4</v>
      </c>
    </row>
    <row r="23" spans="1:6" x14ac:dyDescent="0.3">
      <c r="A23" s="6">
        <v>37</v>
      </c>
      <c r="B23" s="23">
        <v>4</v>
      </c>
      <c r="C23" s="18">
        <v>6.84</v>
      </c>
      <c r="D23" s="14">
        <v>1.8739726027397301E-2</v>
      </c>
      <c r="E23" s="14">
        <v>7.4958904109588997E-2</v>
      </c>
      <c r="F23" s="14">
        <v>4.7143964848798102E-4</v>
      </c>
    </row>
    <row r="24" spans="1:6" x14ac:dyDescent="0.3">
      <c r="A24" s="9">
        <v>38</v>
      </c>
      <c r="B24" s="21">
        <v>4</v>
      </c>
      <c r="C24" s="19">
        <v>6.99</v>
      </c>
      <c r="D24" s="15">
        <v>1.9150684931506901E-2</v>
      </c>
      <c r="E24" s="15">
        <v>7.6602739726027394E-2</v>
      </c>
      <c r="F24" s="15">
        <v>4.8177823727061302E-4</v>
      </c>
    </row>
    <row r="25" spans="1:6" x14ac:dyDescent="0.3">
      <c r="A25" s="6">
        <v>39</v>
      </c>
      <c r="B25" s="23">
        <v>4</v>
      </c>
      <c r="C25" s="18">
        <v>7.12</v>
      </c>
      <c r="D25" s="14">
        <v>1.9506849315068499E-2</v>
      </c>
      <c r="E25" s="14">
        <v>7.8027397260273995E-2</v>
      </c>
      <c r="F25" s="14">
        <v>4.9073834754889299E-4</v>
      </c>
    </row>
    <row r="26" spans="1:6" x14ac:dyDescent="0.3">
      <c r="A26" s="9">
        <v>40</v>
      </c>
      <c r="B26" s="21">
        <v>4</v>
      </c>
      <c r="C26" s="19">
        <v>7.24</v>
      </c>
      <c r="D26" s="15">
        <v>1.9835616438356199E-2</v>
      </c>
      <c r="E26" s="15">
        <v>7.9342465753424699E-2</v>
      </c>
      <c r="F26" s="15">
        <v>4.9900921857499796E-4</v>
      </c>
    </row>
    <row r="27" spans="1:6" x14ac:dyDescent="0.3">
      <c r="A27" s="6">
        <v>41</v>
      </c>
      <c r="B27" s="23">
        <v>4</v>
      </c>
      <c r="C27" s="18">
        <v>7.36</v>
      </c>
      <c r="D27" s="14">
        <v>2.0164383561643798E-2</v>
      </c>
      <c r="E27" s="14">
        <v>8.0657534246575402E-2</v>
      </c>
      <c r="F27" s="14">
        <v>5.0728008960110305E-4</v>
      </c>
    </row>
    <row r="28" spans="1:6" x14ac:dyDescent="0.3">
      <c r="A28" s="9">
        <v>42</v>
      </c>
      <c r="B28" s="21">
        <v>4</v>
      </c>
      <c r="C28" s="19">
        <v>7.49</v>
      </c>
      <c r="D28" s="15">
        <v>2.0520547945205501E-2</v>
      </c>
      <c r="E28" s="15">
        <v>8.2082191780821906E-2</v>
      </c>
      <c r="F28" s="15">
        <v>5.1624019987938296E-4</v>
      </c>
    </row>
    <row r="29" spans="1:6" x14ac:dyDescent="0.3">
      <c r="A29" s="6">
        <v>43</v>
      </c>
      <c r="B29" s="23">
        <v>4</v>
      </c>
      <c r="C29" s="18">
        <v>7.63</v>
      </c>
      <c r="D29" s="14">
        <v>2.0904109589041101E-2</v>
      </c>
      <c r="E29" s="14">
        <v>8.3616438356164405E-2</v>
      </c>
      <c r="F29" s="14">
        <v>5.25889549409839E-4</v>
      </c>
    </row>
    <row r="30" spans="1:6" x14ac:dyDescent="0.3">
      <c r="A30" s="9">
        <v>44</v>
      </c>
      <c r="B30" s="21">
        <v>4</v>
      </c>
      <c r="C30" s="19">
        <v>7.78</v>
      </c>
      <c r="D30" s="15">
        <v>2.13150684931507E-2</v>
      </c>
      <c r="E30" s="15">
        <v>8.5260273972602801E-2</v>
      </c>
      <c r="F30" s="15">
        <v>5.3622813819246998E-4</v>
      </c>
    </row>
    <row r="31" spans="1:6" x14ac:dyDescent="0.3">
      <c r="A31" s="6">
        <v>45</v>
      </c>
      <c r="B31" s="23">
        <v>4</v>
      </c>
      <c r="C31" s="18">
        <v>7.96</v>
      </c>
      <c r="D31" s="14">
        <v>2.1808219178082199E-2</v>
      </c>
      <c r="E31" s="14">
        <v>8.7232876712328794E-2</v>
      </c>
      <c r="F31" s="14">
        <v>5.4863444473162804E-4</v>
      </c>
    </row>
    <row r="32" spans="1:6" x14ac:dyDescent="0.3">
      <c r="A32" s="9">
        <v>46</v>
      </c>
      <c r="B32" s="21">
        <v>3</v>
      </c>
      <c r="C32" s="19">
        <v>8.18</v>
      </c>
      <c r="D32" s="15">
        <v>2.2410958904109601E-2</v>
      </c>
      <c r="E32" s="15">
        <v>6.7232876712328804E-2</v>
      </c>
      <c r="F32" s="15">
        <v>4.2284828120961498E-4</v>
      </c>
    </row>
    <row r="33" spans="1:6" x14ac:dyDescent="0.3">
      <c r="A33" s="6">
        <v>47</v>
      </c>
      <c r="B33" s="23">
        <v>3</v>
      </c>
      <c r="C33" s="18">
        <v>8.4600000000000009</v>
      </c>
      <c r="D33" s="14">
        <v>2.3178082191780799E-2</v>
      </c>
      <c r="E33" s="14">
        <v>6.9534246575342504E-2</v>
      </c>
      <c r="F33" s="14">
        <v>4.3732230550529898E-4</v>
      </c>
    </row>
    <row r="34" spans="1:6" x14ac:dyDescent="0.3">
      <c r="A34" s="9">
        <v>48</v>
      </c>
      <c r="B34" s="21">
        <v>3</v>
      </c>
      <c r="C34" s="19">
        <v>8.82</v>
      </c>
      <c r="D34" s="15">
        <v>2.4164383561643799E-2</v>
      </c>
      <c r="E34" s="15">
        <v>7.2493150684931507E-2</v>
      </c>
      <c r="F34" s="15">
        <v>4.5593176531403499E-4</v>
      </c>
    </row>
    <row r="35" spans="1:6" x14ac:dyDescent="0.3">
      <c r="A35" s="6">
        <v>49</v>
      </c>
      <c r="B35" s="23">
        <v>3</v>
      </c>
      <c r="C35" s="18">
        <v>9.27</v>
      </c>
      <c r="D35" s="14">
        <v>2.5397260273972599E-2</v>
      </c>
      <c r="E35" s="14">
        <v>7.6191780821917798E-2</v>
      </c>
      <c r="F35" s="14">
        <v>4.7919359007495498E-4</v>
      </c>
    </row>
    <row r="36" spans="1:6" x14ac:dyDescent="0.3">
      <c r="A36" s="9">
        <v>50</v>
      </c>
      <c r="B36" s="21">
        <v>3</v>
      </c>
      <c r="C36" s="19">
        <v>9.82</v>
      </c>
      <c r="D36" s="15">
        <v>2.69041095890411E-2</v>
      </c>
      <c r="E36" s="15">
        <v>8.0712328767123295E-2</v>
      </c>
      <c r="F36" s="15">
        <v>5.07624709227191E-4</v>
      </c>
    </row>
    <row r="37" spans="1:6" x14ac:dyDescent="0.3">
      <c r="A37" s="6">
        <v>51</v>
      </c>
      <c r="B37" s="23">
        <v>3</v>
      </c>
      <c r="C37" s="18">
        <v>10.41</v>
      </c>
      <c r="D37" s="14">
        <v>2.8520547945205501E-2</v>
      </c>
      <c r="E37" s="14">
        <v>8.5561643835616402E-2</v>
      </c>
      <c r="F37" s="14">
        <v>5.3812354613595303E-4</v>
      </c>
    </row>
    <row r="38" spans="1:6" x14ac:dyDescent="0.3">
      <c r="A38" s="9">
        <v>52</v>
      </c>
      <c r="B38" s="21">
        <v>3</v>
      </c>
      <c r="C38" s="19">
        <v>11.02</v>
      </c>
      <c r="D38" s="15">
        <v>3.0191780821917799E-2</v>
      </c>
      <c r="E38" s="15">
        <v>9.0575342465753397E-2</v>
      </c>
      <c r="F38" s="15">
        <v>5.6965624192297697E-4</v>
      </c>
    </row>
    <row r="39" spans="1:6" x14ac:dyDescent="0.3">
      <c r="A39" s="6">
        <v>53</v>
      </c>
      <c r="B39" s="23">
        <v>3</v>
      </c>
      <c r="C39" s="18">
        <v>11.65</v>
      </c>
      <c r="D39" s="14">
        <v>3.1917808219178098E-2</v>
      </c>
      <c r="E39" s="14">
        <v>9.5753424657534295E-2</v>
      </c>
      <c r="F39" s="14">
        <v>6.0222279658826597E-4</v>
      </c>
    </row>
    <row r="40" spans="1:6" x14ac:dyDescent="0.3">
      <c r="A40" s="9">
        <v>54</v>
      </c>
      <c r="B40" s="21">
        <v>3</v>
      </c>
      <c r="C40" s="19">
        <v>12.28</v>
      </c>
      <c r="D40" s="15">
        <v>3.3643835616438397E-2</v>
      </c>
      <c r="E40" s="15">
        <v>0.100931506849315</v>
      </c>
      <c r="F40" s="15">
        <v>6.3478935125355399E-4</v>
      </c>
    </row>
    <row r="41" spans="1:6" x14ac:dyDescent="0.3">
      <c r="A41" s="6">
        <v>55</v>
      </c>
      <c r="B41" s="23">
        <v>3</v>
      </c>
      <c r="C41" s="18">
        <v>12.92</v>
      </c>
      <c r="D41" s="14">
        <v>3.5397260273972601E-2</v>
      </c>
      <c r="E41" s="14">
        <v>0.10619178082191801</v>
      </c>
      <c r="F41" s="14">
        <v>6.67872835357974E-4</v>
      </c>
    </row>
    <row r="42" spans="1:6" x14ac:dyDescent="0.3">
      <c r="A42" s="9">
        <v>56</v>
      </c>
      <c r="B42" s="21">
        <v>1.5</v>
      </c>
      <c r="C42" s="19">
        <v>13.56</v>
      </c>
      <c r="D42" s="15">
        <v>3.7150684931506903E-2</v>
      </c>
      <c r="E42" s="15">
        <v>5.5726027397260298E-2</v>
      </c>
      <c r="F42" s="15">
        <v>3.5047815973119701E-4</v>
      </c>
    </row>
    <row r="43" spans="1:6" x14ac:dyDescent="0.3">
      <c r="A43" s="6">
        <v>57</v>
      </c>
      <c r="B43" s="23">
        <v>1.5</v>
      </c>
      <c r="C43" s="18">
        <v>11.2</v>
      </c>
      <c r="D43" s="14">
        <v>3.0684931506849301E-2</v>
      </c>
      <c r="E43" s="14">
        <v>4.6027397260274001E-2</v>
      </c>
      <c r="F43" s="14">
        <v>2.8948048591367301E-4</v>
      </c>
    </row>
    <row r="44" spans="1:6" x14ac:dyDescent="0.3">
      <c r="A44" s="9">
        <v>58</v>
      </c>
      <c r="B44" s="21">
        <v>1.5</v>
      </c>
      <c r="C44" s="19">
        <v>11.84</v>
      </c>
      <c r="D44" s="15">
        <v>3.2438356164383599E-2</v>
      </c>
      <c r="E44" s="15">
        <v>4.8657534246575401E-2</v>
      </c>
      <c r="F44" s="15">
        <v>3.0602222796588302E-4</v>
      </c>
    </row>
    <row r="45" spans="1:6" x14ac:dyDescent="0.3">
      <c r="A45" s="6">
        <v>59</v>
      </c>
      <c r="B45" s="23">
        <v>1.5</v>
      </c>
      <c r="C45" s="18">
        <v>15.18</v>
      </c>
      <c r="D45" s="14">
        <v>4.15890410958904E-2</v>
      </c>
      <c r="E45" s="14">
        <v>6.23835616438356E-2</v>
      </c>
      <c r="F45" s="14">
        <v>3.9234944430085301E-4</v>
      </c>
    </row>
    <row r="46" spans="1:6" x14ac:dyDescent="0.3">
      <c r="A46" s="9">
        <v>60</v>
      </c>
      <c r="B46" s="21">
        <v>1.5</v>
      </c>
      <c r="C46" s="19">
        <v>16.12</v>
      </c>
      <c r="D46" s="15">
        <v>4.4164383561643802E-2</v>
      </c>
      <c r="E46" s="15">
        <v>6.6246575342465794E-2</v>
      </c>
      <c r="F46" s="15">
        <v>4.16645127940036E-4</v>
      </c>
    </row>
    <row r="47" spans="1:6" x14ac:dyDescent="0.3">
      <c r="A47" s="6">
        <v>61</v>
      </c>
      <c r="B47" s="23">
        <v>1.5</v>
      </c>
      <c r="C47" s="18">
        <v>16.760000000000002</v>
      </c>
      <c r="D47" s="14">
        <v>4.5917808219178097E-2</v>
      </c>
      <c r="E47" s="14">
        <v>6.8876712328767103E-2</v>
      </c>
      <c r="F47" s="14">
        <v>4.3318686999224601E-4</v>
      </c>
    </row>
    <row r="48" spans="1:6" x14ac:dyDescent="0.3">
      <c r="A48" s="9">
        <v>62</v>
      </c>
      <c r="B48" s="21">
        <v>1.5</v>
      </c>
      <c r="C48" s="19">
        <v>17.399999999999999</v>
      </c>
      <c r="D48" s="15">
        <v>4.7671232876712301E-2</v>
      </c>
      <c r="E48" s="15">
        <v>7.1506849315068496E-2</v>
      </c>
      <c r="F48" s="15">
        <v>4.4972861204445601E-4</v>
      </c>
    </row>
    <row r="49" spans="1:6" x14ac:dyDescent="0.3">
      <c r="A49" s="6">
        <v>63</v>
      </c>
      <c r="B49" s="23">
        <v>1.5</v>
      </c>
      <c r="C49" s="18">
        <v>18.04</v>
      </c>
      <c r="D49" s="14">
        <v>4.9424657534246602E-2</v>
      </c>
      <c r="E49" s="14">
        <v>7.4136986301369903E-2</v>
      </c>
      <c r="F49" s="14">
        <v>4.6627035409666602E-4</v>
      </c>
    </row>
    <row r="50" spans="1:6" x14ac:dyDescent="0.3">
      <c r="A50" s="9">
        <v>64</v>
      </c>
      <c r="B50" s="21">
        <v>1.5</v>
      </c>
      <c r="C50" s="19">
        <v>18.68</v>
      </c>
      <c r="D50" s="15">
        <v>5.1178082191780799E-2</v>
      </c>
      <c r="E50" s="15">
        <v>7.6767123287671199E-2</v>
      </c>
      <c r="F50" s="15">
        <v>4.8281209614887602E-4</v>
      </c>
    </row>
    <row r="51" spans="1:6" x14ac:dyDescent="0.3">
      <c r="A51" s="6">
        <v>65</v>
      </c>
      <c r="B51" s="23">
        <v>1.5</v>
      </c>
      <c r="C51" s="18">
        <v>19.32</v>
      </c>
      <c r="D51" s="14">
        <v>5.2931506849315101E-2</v>
      </c>
      <c r="E51" s="14">
        <v>7.9397260273972606E-2</v>
      </c>
      <c r="F51" s="14">
        <v>4.9935383820108603E-4</v>
      </c>
    </row>
    <row r="53" spans="1:6" x14ac:dyDescent="0.3">
      <c r="A53" s="69" t="s">
        <v>167</v>
      </c>
      <c r="B53" s="69"/>
      <c r="C53" s="69"/>
      <c r="D53" s="69"/>
      <c r="E53" s="69"/>
      <c r="F53" s="25">
        <v>2.1437408460411801E-2</v>
      </c>
    </row>
    <row r="54" spans="1:6" x14ac:dyDescent="0.3">
      <c r="A54" s="69" t="s">
        <v>132</v>
      </c>
      <c r="B54" s="69"/>
      <c r="C54" s="69"/>
      <c r="D54" s="69"/>
      <c r="E54" s="69"/>
    </row>
    <row r="55" spans="1:6" x14ac:dyDescent="0.3">
      <c r="A55" s="69" t="s">
        <v>133</v>
      </c>
      <c r="B55" s="69"/>
      <c r="C55" s="69"/>
      <c r="D55" s="69"/>
      <c r="E55" s="69"/>
    </row>
    <row r="56" spans="1:6" x14ac:dyDescent="0.3">
      <c r="A56" s="66" t="s">
        <v>168</v>
      </c>
      <c r="B56" s="66"/>
      <c r="C56" s="66"/>
      <c r="D56" s="66"/>
      <c r="E56" s="66"/>
      <c r="F56" s="26">
        <v>2.5885670715947301E-2</v>
      </c>
    </row>
    <row r="57" spans="1:6" x14ac:dyDescent="0.3">
      <c r="A57" s="66" t="s">
        <v>169</v>
      </c>
      <c r="B57" s="66"/>
      <c r="C57" s="66"/>
      <c r="D57" s="66"/>
      <c r="E57" s="66"/>
      <c r="F57" s="26">
        <v>2.1831635104798699E-3</v>
      </c>
    </row>
    <row r="58" spans="1:6" x14ac:dyDescent="0.3">
      <c r="A58" s="66" t="s">
        <v>170</v>
      </c>
      <c r="B58" s="66"/>
      <c r="C58" s="66"/>
      <c r="D58" s="66"/>
      <c r="E58" s="66"/>
      <c r="F58" s="26">
        <v>2.5885670715947301E-2</v>
      </c>
    </row>
    <row r="59" spans="1:6" x14ac:dyDescent="0.3">
      <c r="A59" s="66" t="s">
        <v>171</v>
      </c>
      <c r="B59" s="66"/>
      <c r="C59" s="66"/>
      <c r="D59" s="66"/>
      <c r="E59" s="66"/>
      <c r="F59" s="26">
        <v>2.1831635104798699E-3</v>
      </c>
    </row>
  </sheetData>
  <mergeCells count="9">
    <mergeCell ref="A56:E56"/>
    <mergeCell ref="A57:E57"/>
    <mergeCell ref="A58:E58"/>
    <mergeCell ref="A59:E59"/>
    <mergeCell ref="A1:F1"/>
    <mergeCell ref="A2:F2"/>
    <mergeCell ref="A53:E53"/>
    <mergeCell ref="A54:E54"/>
    <mergeCell ref="A55:E5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showGridLines="0" workbookViewId="0"/>
  </sheetViews>
  <sheetFormatPr defaultColWidth="8.6640625" defaultRowHeight="14.4" x14ac:dyDescent="0.3"/>
  <cols>
    <col min="1" max="1" width="50" customWidth="1"/>
    <col min="2" max="2" width="22" customWidth="1"/>
  </cols>
  <sheetData>
    <row r="1" spans="1:2" x14ac:dyDescent="0.3">
      <c r="A1" s="70" t="s">
        <v>172</v>
      </c>
      <c r="B1" s="70"/>
    </row>
    <row r="3" spans="1:2" x14ac:dyDescent="0.3">
      <c r="A3" s="2" t="s">
        <v>173</v>
      </c>
      <c r="B3" s="31">
        <v>2.5264842767295601E-3</v>
      </c>
    </row>
    <row r="4" spans="1:2" x14ac:dyDescent="0.3">
      <c r="A4" s="2" t="s">
        <v>174</v>
      </c>
      <c r="B4" s="35">
        <v>3.0507297641509399E-3</v>
      </c>
    </row>
    <row r="5" spans="1:2" x14ac:dyDescent="0.3">
      <c r="A5" s="2" t="s">
        <v>175</v>
      </c>
      <c r="B5" s="36">
        <v>0.15</v>
      </c>
    </row>
    <row r="6" spans="1:2" x14ac:dyDescent="0.3">
      <c r="A6" s="1" t="s">
        <v>176</v>
      </c>
      <c r="B6" s="34">
        <v>3.50833922877358E-3</v>
      </c>
    </row>
    <row r="7" spans="1:2" x14ac:dyDescent="0.3">
      <c r="A7" s="1" t="s">
        <v>177</v>
      </c>
      <c r="B7" s="34">
        <v>2.92832773019169E-4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"/>
  <sheetViews>
    <sheetView showGridLines="0" workbookViewId="0"/>
  </sheetViews>
  <sheetFormatPr defaultColWidth="8.6640625" defaultRowHeight="14.4" x14ac:dyDescent="0.3"/>
  <cols>
    <col min="1" max="1" width="40" customWidth="1"/>
    <col min="2" max="2" width="22" customWidth="1"/>
    <col min="3" max="3" width="32" customWidth="1"/>
  </cols>
  <sheetData>
    <row r="1" spans="1:3" ht="15.6" x14ac:dyDescent="0.3">
      <c r="A1" s="73" t="s">
        <v>178</v>
      </c>
      <c r="B1" s="73"/>
      <c r="C1" s="73"/>
    </row>
    <row r="3" spans="1:3" x14ac:dyDescent="0.3">
      <c r="A3" s="74" t="s">
        <v>179</v>
      </c>
      <c r="B3" s="74"/>
      <c r="C3" s="74"/>
    </row>
    <row r="4" spans="1:3" x14ac:dyDescent="0.3">
      <c r="A4" s="38" t="s">
        <v>180</v>
      </c>
      <c r="C4" s="39" t="s">
        <v>94</v>
      </c>
    </row>
    <row r="5" spans="1:3" x14ac:dyDescent="0.3">
      <c r="A5" s="38" t="s">
        <v>181</v>
      </c>
      <c r="C5" s="39" t="s">
        <v>97</v>
      </c>
    </row>
    <row r="6" spans="1:3" x14ac:dyDescent="0.3">
      <c r="A6" s="38" t="s">
        <v>182</v>
      </c>
      <c r="C6" s="39" t="s">
        <v>100</v>
      </c>
    </row>
    <row r="7" spans="1:3" x14ac:dyDescent="0.3">
      <c r="A7" s="38" t="s">
        <v>183</v>
      </c>
      <c r="C7" s="39" t="s">
        <v>103</v>
      </c>
    </row>
    <row r="8" spans="1:3" x14ac:dyDescent="0.3">
      <c r="A8" s="38" t="s">
        <v>184</v>
      </c>
      <c r="C8" s="39" t="s">
        <v>106</v>
      </c>
    </row>
    <row r="9" spans="1:3" x14ac:dyDescent="0.3">
      <c r="A9" s="74" t="s">
        <v>185</v>
      </c>
      <c r="B9" s="74"/>
      <c r="C9" s="74"/>
    </row>
    <row r="10" spans="1:3" x14ac:dyDescent="0.3">
      <c r="A10" s="40" t="s">
        <v>186</v>
      </c>
      <c r="B10" s="41">
        <v>0.15</v>
      </c>
      <c r="C10" s="42" t="s">
        <v>187</v>
      </c>
    </row>
    <row r="11" spans="1:3" x14ac:dyDescent="0.3">
      <c r="A11" s="40" t="s">
        <v>188</v>
      </c>
      <c r="B11" s="41">
        <v>0.05</v>
      </c>
      <c r="C11" s="42" t="s">
        <v>189</v>
      </c>
    </row>
    <row r="12" spans="1:3" x14ac:dyDescent="0.3">
      <c r="A12" s="74" t="s">
        <v>86</v>
      </c>
      <c r="B12" s="74"/>
      <c r="C12" s="74"/>
    </row>
    <row r="13" spans="1:3" x14ac:dyDescent="0.3">
      <c r="A13" s="40" t="s">
        <v>190</v>
      </c>
      <c r="B13" s="41">
        <v>4.65E-2</v>
      </c>
      <c r="C13" s="42" t="s">
        <v>191</v>
      </c>
    </row>
  </sheetData>
  <mergeCells count="4">
    <mergeCell ref="A1:C1"/>
    <mergeCell ref="A3:C3"/>
    <mergeCell ref="A9:C9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01_Resumo</vt:lpstr>
      <vt:lpstr>02_Premissas</vt:lpstr>
      <vt:lpstr>03_Mortalidade_BR-EMS2021</vt:lpstr>
      <vt:lpstr>04_Invalidez_Vindas</vt:lpstr>
      <vt:lpstr>05_Morbidez_Moser</vt:lpstr>
      <vt:lpstr>06_Morte</vt:lpstr>
      <vt:lpstr>07_IAC</vt:lpstr>
      <vt:lpstr>08_IAF</vt:lpstr>
      <vt:lpstr>09_IEA</vt:lpstr>
      <vt:lpstr>10_IPA</vt:lpstr>
      <vt:lpstr>11_IPTA</vt:lpstr>
      <vt:lpstr>12_IPDF</vt:lpstr>
      <vt:lpstr>13_IPDL</vt:lpstr>
      <vt:lpstr>15_DMHO_DMH</vt:lpstr>
      <vt:lpstr>14_AF</vt:lpstr>
      <vt:lpstr>16_Parametros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Gean Eduardo</cp:lastModifiedBy>
  <dcterms:modified xsi:type="dcterms:W3CDTF">2026-09-16T19:36:28Z</dcterms:modified>
</cp:coreProperties>
</file>