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rdel\AppData\Local\Microsoft\Windows\INetCache\Content.Outlook\R5C4OMVN\"/>
    </mc:Choice>
  </mc:AlternateContent>
  <xr:revisionPtr revIDLastSave="0" documentId="13_ncr:1_{70FE2FC7-CA70-449F-9D8E-025BA11B5739}" xr6:coauthVersionLast="47" xr6:coauthVersionMax="47" xr10:uidLastSave="{00000000-0000-0000-0000-000000000000}"/>
  <bookViews>
    <workbookView xWindow="28680" yWindow="-120" windowWidth="29040" windowHeight="15720" tabRatio="898" activeTab="2" xr2:uid="{00000000-000D-0000-FFFF-FFFF00000000}"/>
  </bookViews>
  <sheets>
    <sheet name="01_PARÂMETROS" sheetId="1" r:id="rId1"/>
    <sheet name="02_METODOLOGIA" sheetId="2" r:id="rId2"/>
    <sheet name="03_FONTE_FAP" sheetId="3" r:id="rId3"/>
    <sheet name="04_MOTOR_CÁLCULO" sheetId="4" r:id="rId4"/>
    <sheet name="05_TESTES_ADERÊNCIA" sheetId="5" r:id="rId5"/>
    <sheet name="06_AUDITORIA_CONSISTÊNCIA" sheetId="6" r:id="rId6"/>
    <sheet name="07_CONSULTA_CNAE" sheetId="7" r:id="rId7"/>
    <sheet name="08_RESULTADOS" sheetId="8" r:id="rId8"/>
    <sheet name="09_SEM_DADOS_FAP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35" i="8" l="1"/>
  <c r="D1335" i="8"/>
  <c r="C1335" i="8"/>
  <c r="B1335" i="8"/>
  <c r="A1335" i="8"/>
  <c r="E1334" i="8"/>
  <c r="D1334" i="8"/>
  <c r="C1334" i="8"/>
  <c r="B1334" i="8"/>
  <c r="A1334" i="8"/>
  <c r="E1333" i="8"/>
  <c r="D1333" i="8"/>
  <c r="C1333" i="8"/>
  <c r="B1333" i="8"/>
  <c r="A1333" i="8"/>
  <c r="E1332" i="8"/>
  <c r="D1332" i="8"/>
  <c r="C1332" i="8"/>
  <c r="B1332" i="8"/>
  <c r="A1332" i="8"/>
  <c r="E1331" i="8"/>
  <c r="D1331" i="8"/>
  <c r="C1331" i="8"/>
  <c r="B1331" i="8"/>
  <c r="A1331" i="8"/>
  <c r="E1330" i="8"/>
  <c r="D1330" i="8"/>
  <c r="C1330" i="8"/>
  <c r="B1330" i="8"/>
  <c r="A1330" i="8"/>
  <c r="E1329" i="8"/>
  <c r="D1329" i="8"/>
  <c r="C1329" i="8"/>
  <c r="B1329" i="8"/>
  <c r="A1329" i="8"/>
  <c r="E1328" i="8"/>
  <c r="D1328" i="8"/>
  <c r="C1328" i="8"/>
  <c r="B1328" i="8"/>
  <c r="A1328" i="8"/>
  <c r="E1327" i="8"/>
  <c r="D1327" i="8"/>
  <c r="C1327" i="8"/>
  <c r="B1327" i="8"/>
  <c r="A1327" i="8"/>
  <c r="E1326" i="8"/>
  <c r="D1326" i="8"/>
  <c r="C1326" i="8"/>
  <c r="B1326" i="8"/>
  <c r="A1326" i="8"/>
  <c r="E1325" i="8"/>
  <c r="D1325" i="8"/>
  <c r="C1325" i="8"/>
  <c r="B1325" i="8"/>
  <c r="A1325" i="8"/>
  <c r="E1324" i="8"/>
  <c r="D1324" i="8"/>
  <c r="C1324" i="8"/>
  <c r="B1324" i="8"/>
  <c r="A1324" i="8"/>
  <c r="E1323" i="8"/>
  <c r="D1323" i="8"/>
  <c r="C1323" i="8"/>
  <c r="B1323" i="8"/>
  <c r="A1323" i="8"/>
  <c r="E1322" i="8"/>
  <c r="D1322" i="8"/>
  <c r="C1322" i="8"/>
  <c r="B1322" i="8"/>
  <c r="A1322" i="8"/>
  <c r="E1321" i="8"/>
  <c r="D1321" i="8"/>
  <c r="C1321" i="8"/>
  <c r="B1321" i="8"/>
  <c r="A1321" i="8"/>
  <c r="E1320" i="8"/>
  <c r="D1320" i="8"/>
  <c r="C1320" i="8"/>
  <c r="B1320" i="8"/>
  <c r="A1320" i="8"/>
  <c r="E1319" i="8"/>
  <c r="D1319" i="8"/>
  <c r="C1319" i="8"/>
  <c r="B1319" i="8"/>
  <c r="A1319" i="8"/>
  <c r="E1318" i="8"/>
  <c r="D1318" i="8"/>
  <c r="C1318" i="8"/>
  <c r="B1318" i="8"/>
  <c r="A1318" i="8"/>
  <c r="E1317" i="8"/>
  <c r="D1317" i="8"/>
  <c r="C1317" i="8"/>
  <c r="B1317" i="8"/>
  <c r="A1317" i="8"/>
  <c r="E1316" i="8"/>
  <c r="D1316" i="8"/>
  <c r="C1316" i="8"/>
  <c r="B1316" i="8"/>
  <c r="A1316" i="8"/>
  <c r="E1315" i="8"/>
  <c r="D1315" i="8"/>
  <c r="C1315" i="8"/>
  <c r="B1315" i="8"/>
  <c r="A1315" i="8"/>
  <c r="E1314" i="8"/>
  <c r="D1314" i="8"/>
  <c r="C1314" i="8"/>
  <c r="B1314" i="8"/>
  <c r="A1314" i="8"/>
  <c r="E1313" i="8"/>
  <c r="D1313" i="8"/>
  <c r="C1313" i="8"/>
  <c r="B1313" i="8"/>
  <c r="A1313" i="8"/>
  <c r="E1312" i="8"/>
  <c r="D1312" i="8"/>
  <c r="C1312" i="8"/>
  <c r="B1312" i="8"/>
  <c r="A1312" i="8"/>
  <c r="E1311" i="8"/>
  <c r="D1311" i="8"/>
  <c r="C1311" i="8"/>
  <c r="B1311" i="8"/>
  <c r="A1311" i="8"/>
  <c r="E1310" i="8"/>
  <c r="D1310" i="8"/>
  <c r="C1310" i="8"/>
  <c r="B1310" i="8"/>
  <c r="A1310" i="8"/>
  <c r="E1309" i="8"/>
  <c r="D1309" i="8"/>
  <c r="C1309" i="8"/>
  <c r="B1309" i="8"/>
  <c r="A1309" i="8"/>
  <c r="E1308" i="8"/>
  <c r="D1308" i="8"/>
  <c r="C1308" i="8"/>
  <c r="B1308" i="8"/>
  <c r="A1308" i="8"/>
  <c r="E1307" i="8"/>
  <c r="D1307" i="8"/>
  <c r="C1307" i="8"/>
  <c r="B1307" i="8"/>
  <c r="A1307" i="8"/>
  <c r="E1306" i="8"/>
  <c r="D1306" i="8"/>
  <c r="C1306" i="8"/>
  <c r="B1306" i="8"/>
  <c r="A1306" i="8"/>
  <c r="E1305" i="8"/>
  <c r="D1305" i="8"/>
  <c r="C1305" i="8"/>
  <c r="B1305" i="8"/>
  <c r="A1305" i="8"/>
  <c r="E1304" i="8"/>
  <c r="D1304" i="8"/>
  <c r="C1304" i="8"/>
  <c r="B1304" i="8"/>
  <c r="A1304" i="8"/>
  <c r="E1303" i="8"/>
  <c r="D1303" i="8"/>
  <c r="C1303" i="8"/>
  <c r="B1303" i="8"/>
  <c r="A1303" i="8"/>
  <c r="E1302" i="8"/>
  <c r="D1302" i="8"/>
  <c r="C1302" i="8"/>
  <c r="B1302" i="8"/>
  <c r="A1302" i="8"/>
  <c r="E1301" i="8"/>
  <c r="D1301" i="8"/>
  <c r="C1301" i="8"/>
  <c r="B1301" i="8"/>
  <c r="A1301" i="8"/>
  <c r="E1300" i="8"/>
  <c r="D1300" i="8"/>
  <c r="C1300" i="8"/>
  <c r="B1300" i="8"/>
  <c r="A1300" i="8"/>
  <c r="E1299" i="8"/>
  <c r="D1299" i="8"/>
  <c r="C1299" i="8"/>
  <c r="B1299" i="8"/>
  <c r="A1299" i="8"/>
  <c r="E1298" i="8"/>
  <c r="D1298" i="8"/>
  <c r="C1298" i="8"/>
  <c r="B1298" i="8"/>
  <c r="A1298" i="8"/>
  <c r="E1297" i="8"/>
  <c r="D1297" i="8"/>
  <c r="C1297" i="8"/>
  <c r="B1297" i="8"/>
  <c r="A1297" i="8"/>
  <c r="E1296" i="8"/>
  <c r="D1296" i="8"/>
  <c r="C1296" i="8"/>
  <c r="B1296" i="8"/>
  <c r="A1296" i="8"/>
  <c r="E1295" i="8"/>
  <c r="D1295" i="8"/>
  <c r="C1295" i="8"/>
  <c r="B1295" i="8"/>
  <c r="A1295" i="8"/>
  <c r="E1294" i="8"/>
  <c r="D1294" i="8"/>
  <c r="C1294" i="8"/>
  <c r="B1294" i="8"/>
  <c r="A1294" i="8"/>
  <c r="E1293" i="8"/>
  <c r="D1293" i="8"/>
  <c r="C1293" i="8"/>
  <c r="B1293" i="8"/>
  <c r="A1293" i="8"/>
  <c r="E1292" i="8"/>
  <c r="D1292" i="8"/>
  <c r="C1292" i="8"/>
  <c r="B1292" i="8"/>
  <c r="A1292" i="8"/>
  <c r="E1291" i="8"/>
  <c r="D1291" i="8"/>
  <c r="C1291" i="8"/>
  <c r="B1291" i="8"/>
  <c r="A1291" i="8"/>
  <c r="E1290" i="8"/>
  <c r="D1290" i="8"/>
  <c r="C1290" i="8"/>
  <c r="B1290" i="8"/>
  <c r="A1290" i="8"/>
  <c r="E1289" i="8"/>
  <c r="D1289" i="8"/>
  <c r="C1289" i="8"/>
  <c r="B1289" i="8"/>
  <c r="A1289" i="8"/>
  <c r="E1288" i="8"/>
  <c r="D1288" i="8"/>
  <c r="C1288" i="8"/>
  <c r="B1288" i="8"/>
  <c r="A1288" i="8"/>
  <c r="E1287" i="8"/>
  <c r="D1287" i="8"/>
  <c r="C1287" i="8"/>
  <c r="B1287" i="8"/>
  <c r="A1287" i="8"/>
  <c r="E1286" i="8"/>
  <c r="D1286" i="8"/>
  <c r="C1286" i="8"/>
  <c r="B1286" i="8"/>
  <c r="A1286" i="8"/>
  <c r="E1285" i="8"/>
  <c r="D1285" i="8"/>
  <c r="C1285" i="8"/>
  <c r="B1285" i="8"/>
  <c r="A1285" i="8"/>
  <c r="E1284" i="8"/>
  <c r="D1284" i="8"/>
  <c r="C1284" i="8"/>
  <c r="B1284" i="8"/>
  <c r="A1284" i="8"/>
  <c r="E1283" i="8"/>
  <c r="D1283" i="8"/>
  <c r="C1283" i="8"/>
  <c r="B1283" i="8"/>
  <c r="A1283" i="8"/>
  <c r="E1282" i="8"/>
  <c r="D1282" i="8"/>
  <c r="C1282" i="8"/>
  <c r="B1282" i="8"/>
  <c r="A1282" i="8"/>
  <c r="E1281" i="8"/>
  <c r="D1281" i="8"/>
  <c r="C1281" i="8"/>
  <c r="B1281" i="8"/>
  <c r="A1281" i="8"/>
  <c r="E1280" i="8"/>
  <c r="D1280" i="8"/>
  <c r="C1280" i="8"/>
  <c r="B1280" i="8"/>
  <c r="A1280" i="8"/>
  <c r="E1279" i="8"/>
  <c r="D1279" i="8"/>
  <c r="C1279" i="8"/>
  <c r="B1279" i="8"/>
  <c r="A1279" i="8"/>
  <c r="E1278" i="8"/>
  <c r="D1278" i="8"/>
  <c r="C1278" i="8"/>
  <c r="B1278" i="8"/>
  <c r="A1278" i="8"/>
  <c r="E1277" i="8"/>
  <c r="D1277" i="8"/>
  <c r="C1277" i="8"/>
  <c r="B1277" i="8"/>
  <c r="A1277" i="8"/>
  <c r="E1276" i="8"/>
  <c r="D1276" i="8"/>
  <c r="C1276" i="8"/>
  <c r="B1276" i="8"/>
  <c r="A1276" i="8"/>
  <c r="E1275" i="8"/>
  <c r="D1275" i="8"/>
  <c r="C1275" i="8"/>
  <c r="B1275" i="8"/>
  <c r="A1275" i="8"/>
  <c r="E1274" i="8"/>
  <c r="D1274" i="8"/>
  <c r="C1274" i="8"/>
  <c r="B1274" i="8"/>
  <c r="A1274" i="8"/>
  <c r="E1273" i="8"/>
  <c r="D1273" i="8"/>
  <c r="C1273" i="8"/>
  <c r="B1273" i="8"/>
  <c r="A1273" i="8"/>
  <c r="E1272" i="8"/>
  <c r="D1272" i="8"/>
  <c r="C1272" i="8"/>
  <c r="B1272" i="8"/>
  <c r="A1272" i="8"/>
  <c r="E1271" i="8"/>
  <c r="D1271" i="8"/>
  <c r="C1271" i="8"/>
  <c r="B1271" i="8"/>
  <c r="A1271" i="8"/>
  <c r="E1270" i="8"/>
  <c r="D1270" i="8"/>
  <c r="C1270" i="8"/>
  <c r="B1270" i="8"/>
  <c r="A1270" i="8"/>
  <c r="E1269" i="8"/>
  <c r="D1269" i="8"/>
  <c r="C1269" i="8"/>
  <c r="B1269" i="8"/>
  <c r="A1269" i="8"/>
  <c r="E1268" i="8"/>
  <c r="D1268" i="8"/>
  <c r="C1268" i="8"/>
  <c r="B1268" i="8"/>
  <c r="A1268" i="8"/>
  <c r="E1267" i="8"/>
  <c r="D1267" i="8"/>
  <c r="C1267" i="8"/>
  <c r="B1267" i="8"/>
  <c r="A1267" i="8"/>
  <c r="E1266" i="8"/>
  <c r="D1266" i="8"/>
  <c r="C1266" i="8"/>
  <c r="B1266" i="8"/>
  <c r="A1266" i="8"/>
  <c r="E1265" i="8"/>
  <c r="D1265" i="8"/>
  <c r="C1265" i="8"/>
  <c r="B1265" i="8"/>
  <c r="A1265" i="8"/>
  <c r="E1264" i="8"/>
  <c r="D1264" i="8"/>
  <c r="C1264" i="8"/>
  <c r="B1264" i="8"/>
  <c r="A1264" i="8"/>
  <c r="E1263" i="8"/>
  <c r="D1263" i="8"/>
  <c r="C1263" i="8"/>
  <c r="B1263" i="8"/>
  <c r="A1263" i="8"/>
  <c r="E1262" i="8"/>
  <c r="D1262" i="8"/>
  <c r="C1262" i="8"/>
  <c r="B1262" i="8"/>
  <c r="A1262" i="8"/>
  <c r="E1261" i="8"/>
  <c r="D1261" i="8"/>
  <c r="C1261" i="8"/>
  <c r="B1261" i="8"/>
  <c r="A1261" i="8"/>
  <c r="E1260" i="8"/>
  <c r="D1260" i="8"/>
  <c r="C1260" i="8"/>
  <c r="B1260" i="8"/>
  <c r="A1260" i="8"/>
  <c r="E1259" i="8"/>
  <c r="D1259" i="8"/>
  <c r="C1259" i="8"/>
  <c r="B1259" i="8"/>
  <c r="A1259" i="8"/>
  <c r="E1258" i="8"/>
  <c r="D1258" i="8"/>
  <c r="C1258" i="8"/>
  <c r="B1258" i="8"/>
  <c r="A1258" i="8"/>
  <c r="E1257" i="8"/>
  <c r="D1257" i="8"/>
  <c r="C1257" i="8"/>
  <c r="B1257" i="8"/>
  <c r="A1257" i="8"/>
  <c r="E1256" i="8"/>
  <c r="D1256" i="8"/>
  <c r="C1256" i="8"/>
  <c r="B1256" i="8"/>
  <c r="A1256" i="8"/>
  <c r="E1255" i="8"/>
  <c r="D1255" i="8"/>
  <c r="C1255" i="8"/>
  <c r="B1255" i="8"/>
  <c r="A1255" i="8"/>
  <c r="E1254" i="8"/>
  <c r="D1254" i="8"/>
  <c r="C1254" i="8"/>
  <c r="B1254" i="8"/>
  <c r="A1254" i="8"/>
  <c r="E1253" i="8"/>
  <c r="D1253" i="8"/>
  <c r="C1253" i="8"/>
  <c r="B1253" i="8"/>
  <c r="A1253" i="8"/>
  <c r="E1252" i="8"/>
  <c r="D1252" i="8"/>
  <c r="C1252" i="8"/>
  <c r="B1252" i="8"/>
  <c r="A1252" i="8"/>
  <c r="E1251" i="8"/>
  <c r="D1251" i="8"/>
  <c r="C1251" i="8"/>
  <c r="B1251" i="8"/>
  <c r="A1251" i="8"/>
  <c r="E1250" i="8"/>
  <c r="D1250" i="8"/>
  <c r="C1250" i="8"/>
  <c r="B1250" i="8"/>
  <c r="A1250" i="8"/>
  <c r="E1249" i="8"/>
  <c r="D1249" i="8"/>
  <c r="C1249" i="8"/>
  <c r="B1249" i="8"/>
  <c r="A1249" i="8"/>
  <c r="E1248" i="8"/>
  <c r="D1248" i="8"/>
  <c r="C1248" i="8"/>
  <c r="B1248" i="8"/>
  <c r="A1248" i="8"/>
  <c r="E1247" i="8"/>
  <c r="D1247" i="8"/>
  <c r="C1247" i="8"/>
  <c r="B1247" i="8"/>
  <c r="A1247" i="8"/>
  <c r="E1246" i="8"/>
  <c r="D1246" i="8"/>
  <c r="C1246" i="8"/>
  <c r="B1246" i="8"/>
  <c r="A1246" i="8"/>
  <c r="E1245" i="8"/>
  <c r="D1245" i="8"/>
  <c r="C1245" i="8"/>
  <c r="B1245" i="8"/>
  <c r="A1245" i="8"/>
  <c r="E1244" i="8"/>
  <c r="D1244" i="8"/>
  <c r="C1244" i="8"/>
  <c r="B1244" i="8"/>
  <c r="A1244" i="8"/>
  <c r="E1243" i="8"/>
  <c r="D1243" i="8"/>
  <c r="C1243" i="8"/>
  <c r="B1243" i="8"/>
  <c r="A1243" i="8"/>
  <c r="E1242" i="8"/>
  <c r="D1242" i="8"/>
  <c r="C1242" i="8"/>
  <c r="B1242" i="8"/>
  <c r="A1242" i="8"/>
  <c r="E1241" i="8"/>
  <c r="D1241" i="8"/>
  <c r="C1241" i="8"/>
  <c r="B1241" i="8"/>
  <c r="A1241" i="8"/>
  <c r="E1240" i="8"/>
  <c r="D1240" i="8"/>
  <c r="C1240" i="8"/>
  <c r="B1240" i="8"/>
  <c r="A1240" i="8"/>
  <c r="E1239" i="8"/>
  <c r="D1239" i="8"/>
  <c r="C1239" i="8"/>
  <c r="B1239" i="8"/>
  <c r="A1239" i="8"/>
  <c r="E1238" i="8"/>
  <c r="D1238" i="8"/>
  <c r="C1238" i="8"/>
  <c r="B1238" i="8"/>
  <c r="A1238" i="8"/>
  <c r="E1237" i="8"/>
  <c r="D1237" i="8"/>
  <c r="C1237" i="8"/>
  <c r="B1237" i="8"/>
  <c r="A1237" i="8"/>
  <c r="E1236" i="8"/>
  <c r="D1236" i="8"/>
  <c r="C1236" i="8"/>
  <c r="B1236" i="8"/>
  <c r="A1236" i="8"/>
  <c r="E1235" i="8"/>
  <c r="D1235" i="8"/>
  <c r="C1235" i="8"/>
  <c r="B1235" i="8"/>
  <c r="A1235" i="8"/>
  <c r="E1234" i="8"/>
  <c r="D1234" i="8"/>
  <c r="C1234" i="8"/>
  <c r="B1234" i="8"/>
  <c r="A1234" i="8"/>
  <c r="E1233" i="8"/>
  <c r="D1233" i="8"/>
  <c r="C1233" i="8"/>
  <c r="B1233" i="8"/>
  <c r="A1233" i="8"/>
  <c r="E1232" i="8"/>
  <c r="D1232" i="8"/>
  <c r="C1232" i="8"/>
  <c r="B1232" i="8"/>
  <c r="A1232" i="8"/>
  <c r="E1231" i="8"/>
  <c r="D1231" i="8"/>
  <c r="C1231" i="8"/>
  <c r="B1231" i="8"/>
  <c r="A1231" i="8"/>
  <c r="E1230" i="8"/>
  <c r="D1230" i="8"/>
  <c r="C1230" i="8"/>
  <c r="B1230" i="8"/>
  <c r="A1230" i="8"/>
  <c r="E1229" i="8"/>
  <c r="D1229" i="8"/>
  <c r="C1229" i="8"/>
  <c r="B1229" i="8"/>
  <c r="A1229" i="8"/>
  <c r="E1228" i="8"/>
  <c r="D1228" i="8"/>
  <c r="C1228" i="8"/>
  <c r="B1228" i="8"/>
  <c r="A1228" i="8"/>
  <c r="E1227" i="8"/>
  <c r="D1227" i="8"/>
  <c r="C1227" i="8"/>
  <c r="B1227" i="8"/>
  <c r="A1227" i="8"/>
  <c r="E1226" i="8"/>
  <c r="D1226" i="8"/>
  <c r="C1226" i="8"/>
  <c r="B1226" i="8"/>
  <c r="A1226" i="8"/>
  <c r="E1225" i="8"/>
  <c r="D1225" i="8"/>
  <c r="C1225" i="8"/>
  <c r="B1225" i="8"/>
  <c r="A1225" i="8"/>
  <c r="E1224" i="8"/>
  <c r="D1224" i="8"/>
  <c r="C1224" i="8"/>
  <c r="B1224" i="8"/>
  <c r="A1224" i="8"/>
  <c r="E1223" i="8"/>
  <c r="D1223" i="8"/>
  <c r="C1223" i="8"/>
  <c r="B1223" i="8"/>
  <c r="A1223" i="8"/>
  <c r="E1222" i="8"/>
  <c r="D1222" i="8"/>
  <c r="C1222" i="8"/>
  <c r="B1222" i="8"/>
  <c r="A1222" i="8"/>
  <c r="E1221" i="8"/>
  <c r="D1221" i="8"/>
  <c r="C1221" i="8"/>
  <c r="B1221" i="8"/>
  <c r="A1221" i="8"/>
  <c r="E1220" i="8"/>
  <c r="D1220" i="8"/>
  <c r="C1220" i="8"/>
  <c r="B1220" i="8"/>
  <c r="A1220" i="8"/>
  <c r="E1219" i="8"/>
  <c r="D1219" i="8"/>
  <c r="C1219" i="8"/>
  <c r="B1219" i="8"/>
  <c r="A1219" i="8"/>
  <c r="E1218" i="8"/>
  <c r="D1218" i="8"/>
  <c r="C1218" i="8"/>
  <c r="B1218" i="8"/>
  <c r="A1218" i="8"/>
  <c r="E1217" i="8"/>
  <c r="D1217" i="8"/>
  <c r="C1217" i="8"/>
  <c r="B1217" i="8"/>
  <c r="A1217" i="8"/>
  <c r="E1216" i="8"/>
  <c r="D1216" i="8"/>
  <c r="C1216" i="8"/>
  <c r="B1216" i="8"/>
  <c r="A1216" i="8"/>
  <c r="E1215" i="8"/>
  <c r="D1215" i="8"/>
  <c r="C1215" i="8"/>
  <c r="B1215" i="8"/>
  <c r="A1215" i="8"/>
  <c r="E1214" i="8"/>
  <c r="D1214" i="8"/>
  <c r="C1214" i="8"/>
  <c r="B1214" i="8"/>
  <c r="A1214" i="8"/>
  <c r="E1213" i="8"/>
  <c r="D1213" i="8"/>
  <c r="C1213" i="8"/>
  <c r="B1213" i="8"/>
  <c r="A1213" i="8"/>
  <c r="E1212" i="8"/>
  <c r="D1212" i="8"/>
  <c r="C1212" i="8"/>
  <c r="B1212" i="8"/>
  <c r="A1212" i="8"/>
  <c r="E1211" i="8"/>
  <c r="D1211" i="8"/>
  <c r="C1211" i="8"/>
  <c r="B1211" i="8"/>
  <c r="A1211" i="8"/>
  <c r="E1210" i="8"/>
  <c r="D1210" i="8"/>
  <c r="C1210" i="8"/>
  <c r="B1210" i="8"/>
  <c r="A1210" i="8"/>
  <c r="E1209" i="8"/>
  <c r="D1209" i="8"/>
  <c r="C1209" i="8"/>
  <c r="B1209" i="8"/>
  <c r="A1209" i="8"/>
  <c r="E1208" i="8"/>
  <c r="D1208" i="8"/>
  <c r="C1208" i="8"/>
  <c r="B1208" i="8"/>
  <c r="A1208" i="8"/>
  <c r="E1207" i="8"/>
  <c r="D1207" i="8"/>
  <c r="C1207" i="8"/>
  <c r="B1207" i="8"/>
  <c r="A1207" i="8"/>
  <c r="E1206" i="8"/>
  <c r="D1206" i="8"/>
  <c r="C1206" i="8"/>
  <c r="B1206" i="8"/>
  <c r="A1206" i="8"/>
  <c r="E1205" i="8"/>
  <c r="D1205" i="8"/>
  <c r="C1205" i="8"/>
  <c r="B1205" i="8"/>
  <c r="A1205" i="8"/>
  <c r="E1204" i="8"/>
  <c r="D1204" i="8"/>
  <c r="C1204" i="8"/>
  <c r="B1204" i="8"/>
  <c r="A1204" i="8"/>
  <c r="E1203" i="8"/>
  <c r="D1203" i="8"/>
  <c r="C1203" i="8"/>
  <c r="B1203" i="8"/>
  <c r="A1203" i="8"/>
  <c r="E1202" i="8"/>
  <c r="D1202" i="8"/>
  <c r="C1202" i="8"/>
  <c r="B1202" i="8"/>
  <c r="A1202" i="8"/>
  <c r="E1201" i="8"/>
  <c r="D1201" i="8"/>
  <c r="C1201" i="8"/>
  <c r="B1201" i="8"/>
  <c r="A1201" i="8"/>
  <c r="E1200" i="8"/>
  <c r="D1200" i="8"/>
  <c r="C1200" i="8"/>
  <c r="B1200" i="8"/>
  <c r="A1200" i="8"/>
  <c r="E1199" i="8"/>
  <c r="D1199" i="8"/>
  <c r="C1199" i="8"/>
  <c r="B1199" i="8"/>
  <c r="A1199" i="8"/>
  <c r="E1198" i="8"/>
  <c r="D1198" i="8"/>
  <c r="C1198" i="8"/>
  <c r="B1198" i="8"/>
  <c r="A1198" i="8"/>
  <c r="E1197" i="8"/>
  <c r="D1197" i="8"/>
  <c r="C1197" i="8"/>
  <c r="B1197" i="8"/>
  <c r="A1197" i="8"/>
  <c r="E1196" i="8"/>
  <c r="D1196" i="8"/>
  <c r="C1196" i="8"/>
  <c r="B1196" i="8"/>
  <c r="A1196" i="8"/>
  <c r="E1195" i="8"/>
  <c r="D1195" i="8"/>
  <c r="C1195" i="8"/>
  <c r="B1195" i="8"/>
  <c r="A1195" i="8"/>
  <c r="E1194" i="8"/>
  <c r="D1194" i="8"/>
  <c r="C1194" i="8"/>
  <c r="B1194" i="8"/>
  <c r="A1194" i="8"/>
  <c r="E1193" i="8"/>
  <c r="D1193" i="8"/>
  <c r="C1193" i="8"/>
  <c r="B1193" i="8"/>
  <c r="A1193" i="8"/>
  <c r="E1192" i="8"/>
  <c r="D1192" i="8"/>
  <c r="C1192" i="8"/>
  <c r="B1192" i="8"/>
  <c r="A1192" i="8"/>
  <c r="E1191" i="8"/>
  <c r="D1191" i="8"/>
  <c r="C1191" i="8"/>
  <c r="B1191" i="8"/>
  <c r="A1191" i="8"/>
  <c r="E1190" i="8"/>
  <c r="D1190" i="8"/>
  <c r="C1190" i="8"/>
  <c r="B1190" i="8"/>
  <c r="A1190" i="8"/>
  <c r="E1189" i="8"/>
  <c r="D1189" i="8"/>
  <c r="C1189" i="8"/>
  <c r="B1189" i="8"/>
  <c r="A1189" i="8"/>
  <c r="E1188" i="8"/>
  <c r="D1188" i="8"/>
  <c r="C1188" i="8"/>
  <c r="B1188" i="8"/>
  <c r="A1188" i="8"/>
  <c r="E1187" i="8"/>
  <c r="D1187" i="8"/>
  <c r="C1187" i="8"/>
  <c r="B1187" i="8"/>
  <c r="A1187" i="8"/>
  <c r="E1186" i="8"/>
  <c r="D1186" i="8"/>
  <c r="C1186" i="8"/>
  <c r="B1186" i="8"/>
  <c r="A1186" i="8"/>
  <c r="E1185" i="8"/>
  <c r="D1185" i="8"/>
  <c r="C1185" i="8"/>
  <c r="B1185" i="8"/>
  <c r="A1185" i="8"/>
  <c r="E1184" i="8"/>
  <c r="D1184" i="8"/>
  <c r="C1184" i="8"/>
  <c r="B1184" i="8"/>
  <c r="A1184" i="8"/>
  <c r="E1183" i="8"/>
  <c r="D1183" i="8"/>
  <c r="C1183" i="8"/>
  <c r="B1183" i="8"/>
  <c r="A1183" i="8"/>
  <c r="E1182" i="8"/>
  <c r="D1182" i="8"/>
  <c r="C1182" i="8"/>
  <c r="B1182" i="8"/>
  <c r="A1182" i="8"/>
  <c r="E1181" i="8"/>
  <c r="D1181" i="8"/>
  <c r="C1181" i="8"/>
  <c r="B1181" i="8"/>
  <c r="A1181" i="8"/>
  <c r="E1180" i="8"/>
  <c r="D1180" i="8"/>
  <c r="C1180" i="8"/>
  <c r="B1180" i="8"/>
  <c r="A1180" i="8"/>
  <c r="E1179" i="8"/>
  <c r="D1179" i="8"/>
  <c r="C1179" i="8"/>
  <c r="B1179" i="8"/>
  <c r="A1179" i="8"/>
  <c r="E1178" i="8"/>
  <c r="D1178" i="8"/>
  <c r="C1178" i="8"/>
  <c r="B1178" i="8"/>
  <c r="A1178" i="8"/>
  <c r="E1177" i="8"/>
  <c r="D1177" i="8"/>
  <c r="C1177" i="8"/>
  <c r="B1177" i="8"/>
  <c r="A1177" i="8"/>
  <c r="E1176" i="8"/>
  <c r="D1176" i="8"/>
  <c r="C1176" i="8"/>
  <c r="B1176" i="8"/>
  <c r="A1176" i="8"/>
  <c r="E1175" i="8"/>
  <c r="D1175" i="8"/>
  <c r="C1175" i="8"/>
  <c r="B1175" i="8"/>
  <c r="A1175" i="8"/>
  <c r="E1174" i="8"/>
  <c r="D1174" i="8"/>
  <c r="C1174" i="8"/>
  <c r="B1174" i="8"/>
  <c r="A1174" i="8"/>
  <c r="E1173" i="8"/>
  <c r="D1173" i="8"/>
  <c r="C1173" i="8"/>
  <c r="B1173" i="8"/>
  <c r="A1173" i="8"/>
  <c r="E1172" i="8"/>
  <c r="D1172" i="8"/>
  <c r="C1172" i="8"/>
  <c r="B1172" i="8"/>
  <c r="A1172" i="8"/>
  <c r="E1171" i="8"/>
  <c r="D1171" i="8"/>
  <c r="C1171" i="8"/>
  <c r="B1171" i="8"/>
  <c r="A1171" i="8"/>
  <c r="E1170" i="8"/>
  <c r="D1170" i="8"/>
  <c r="C1170" i="8"/>
  <c r="B1170" i="8"/>
  <c r="A1170" i="8"/>
  <c r="E1169" i="8"/>
  <c r="D1169" i="8"/>
  <c r="C1169" i="8"/>
  <c r="B1169" i="8"/>
  <c r="A1169" i="8"/>
  <c r="E1168" i="8"/>
  <c r="D1168" i="8"/>
  <c r="C1168" i="8"/>
  <c r="B1168" i="8"/>
  <c r="A1168" i="8"/>
  <c r="E1167" i="8"/>
  <c r="D1167" i="8"/>
  <c r="C1167" i="8"/>
  <c r="B1167" i="8"/>
  <c r="A1167" i="8"/>
  <c r="E1166" i="8"/>
  <c r="D1166" i="8"/>
  <c r="C1166" i="8"/>
  <c r="B1166" i="8"/>
  <c r="A1166" i="8"/>
  <c r="E1165" i="8"/>
  <c r="D1165" i="8"/>
  <c r="C1165" i="8"/>
  <c r="B1165" i="8"/>
  <c r="A1165" i="8"/>
  <c r="E1164" i="8"/>
  <c r="D1164" i="8"/>
  <c r="C1164" i="8"/>
  <c r="B1164" i="8"/>
  <c r="A1164" i="8"/>
  <c r="E1163" i="8"/>
  <c r="D1163" i="8"/>
  <c r="C1163" i="8"/>
  <c r="B1163" i="8"/>
  <c r="A1163" i="8"/>
  <c r="E1162" i="8"/>
  <c r="D1162" i="8"/>
  <c r="C1162" i="8"/>
  <c r="B1162" i="8"/>
  <c r="A1162" i="8"/>
  <c r="E1161" i="8"/>
  <c r="D1161" i="8"/>
  <c r="C1161" i="8"/>
  <c r="B1161" i="8"/>
  <c r="A1161" i="8"/>
  <c r="E1160" i="8"/>
  <c r="D1160" i="8"/>
  <c r="C1160" i="8"/>
  <c r="B1160" i="8"/>
  <c r="A1160" i="8"/>
  <c r="E1159" i="8"/>
  <c r="D1159" i="8"/>
  <c r="C1159" i="8"/>
  <c r="B1159" i="8"/>
  <c r="A1159" i="8"/>
  <c r="E1158" i="8"/>
  <c r="D1158" i="8"/>
  <c r="C1158" i="8"/>
  <c r="B1158" i="8"/>
  <c r="A1158" i="8"/>
  <c r="E1157" i="8"/>
  <c r="D1157" i="8"/>
  <c r="C1157" i="8"/>
  <c r="B1157" i="8"/>
  <c r="A1157" i="8"/>
  <c r="E1156" i="8"/>
  <c r="D1156" i="8"/>
  <c r="C1156" i="8"/>
  <c r="B1156" i="8"/>
  <c r="A1156" i="8"/>
  <c r="E1155" i="8"/>
  <c r="D1155" i="8"/>
  <c r="C1155" i="8"/>
  <c r="B1155" i="8"/>
  <c r="A1155" i="8"/>
  <c r="E1154" i="8"/>
  <c r="D1154" i="8"/>
  <c r="C1154" i="8"/>
  <c r="B1154" i="8"/>
  <c r="A1154" i="8"/>
  <c r="E1153" i="8"/>
  <c r="D1153" i="8"/>
  <c r="C1153" i="8"/>
  <c r="B1153" i="8"/>
  <c r="A1153" i="8"/>
  <c r="E1152" i="8"/>
  <c r="D1152" i="8"/>
  <c r="C1152" i="8"/>
  <c r="B1152" i="8"/>
  <c r="A1152" i="8"/>
  <c r="E1151" i="8"/>
  <c r="D1151" i="8"/>
  <c r="C1151" i="8"/>
  <c r="B1151" i="8"/>
  <c r="A1151" i="8"/>
  <c r="E1150" i="8"/>
  <c r="D1150" i="8"/>
  <c r="C1150" i="8"/>
  <c r="B1150" i="8"/>
  <c r="A1150" i="8"/>
  <c r="E1149" i="8"/>
  <c r="D1149" i="8"/>
  <c r="C1149" i="8"/>
  <c r="B1149" i="8"/>
  <c r="A1149" i="8"/>
  <c r="E1148" i="8"/>
  <c r="D1148" i="8"/>
  <c r="C1148" i="8"/>
  <c r="B1148" i="8"/>
  <c r="A1148" i="8"/>
  <c r="E1147" i="8"/>
  <c r="D1147" i="8"/>
  <c r="C1147" i="8"/>
  <c r="B1147" i="8"/>
  <c r="A1147" i="8"/>
  <c r="E1146" i="8"/>
  <c r="D1146" i="8"/>
  <c r="C1146" i="8"/>
  <c r="B1146" i="8"/>
  <c r="A1146" i="8"/>
  <c r="E1145" i="8"/>
  <c r="D1145" i="8"/>
  <c r="C1145" i="8"/>
  <c r="B1145" i="8"/>
  <c r="A1145" i="8"/>
  <c r="E1144" i="8"/>
  <c r="D1144" i="8"/>
  <c r="C1144" i="8"/>
  <c r="B1144" i="8"/>
  <c r="A1144" i="8"/>
  <c r="E1143" i="8"/>
  <c r="D1143" i="8"/>
  <c r="C1143" i="8"/>
  <c r="B1143" i="8"/>
  <c r="A1143" i="8"/>
  <c r="E1142" i="8"/>
  <c r="D1142" i="8"/>
  <c r="C1142" i="8"/>
  <c r="B1142" i="8"/>
  <c r="A1142" i="8"/>
  <c r="E1141" i="8"/>
  <c r="D1141" i="8"/>
  <c r="C1141" i="8"/>
  <c r="B1141" i="8"/>
  <c r="A1141" i="8"/>
  <c r="E1140" i="8"/>
  <c r="D1140" i="8"/>
  <c r="C1140" i="8"/>
  <c r="B1140" i="8"/>
  <c r="A1140" i="8"/>
  <c r="E1139" i="8"/>
  <c r="D1139" i="8"/>
  <c r="C1139" i="8"/>
  <c r="B1139" i="8"/>
  <c r="A1139" i="8"/>
  <c r="E1138" i="8"/>
  <c r="D1138" i="8"/>
  <c r="C1138" i="8"/>
  <c r="B1138" i="8"/>
  <c r="A1138" i="8"/>
  <c r="E1137" i="8"/>
  <c r="D1137" i="8"/>
  <c r="C1137" i="8"/>
  <c r="B1137" i="8"/>
  <c r="A1137" i="8"/>
  <c r="E1136" i="8"/>
  <c r="D1136" i="8"/>
  <c r="C1136" i="8"/>
  <c r="B1136" i="8"/>
  <c r="A1136" i="8"/>
  <c r="E1135" i="8"/>
  <c r="D1135" i="8"/>
  <c r="C1135" i="8"/>
  <c r="B1135" i="8"/>
  <c r="A1135" i="8"/>
  <c r="E1134" i="8"/>
  <c r="D1134" i="8"/>
  <c r="C1134" i="8"/>
  <c r="B1134" i="8"/>
  <c r="A1134" i="8"/>
  <c r="E1133" i="8"/>
  <c r="D1133" i="8"/>
  <c r="C1133" i="8"/>
  <c r="B1133" i="8"/>
  <c r="A1133" i="8"/>
  <c r="E1132" i="8"/>
  <c r="D1132" i="8"/>
  <c r="C1132" i="8"/>
  <c r="B1132" i="8"/>
  <c r="A1132" i="8"/>
  <c r="E1131" i="8"/>
  <c r="D1131" i="8"/>
  <c r="C1131" i="8"/>
  <c r="B1131" i="8"/>
  <c r="A1131" i="8"/>
  <c r="E1130" i="8"/>
  <c r="D1130" i="8"/>
  <c r="C1130" i="8"/>
  <c r="B1130" i="8"/>
  <c r="A1130" i="8"/>
  <c r="E1129" i="8"/>
  <c r="D1129" i="8"/>
  <c r="C1129" i="8"/>
  <c r="B1129" i="8"/>
  <c r="A1129" i="8"/>
  <c r="E1128" i="8"/>
  <c r="D1128" i="8"/>
  <c r="C1128" i="8"/>
  <c r="B1128" i="8"/>
  <c r="A1128" i="8"/>
  <c r="E1127" i="8"/>
  <c r="D1127" i="8"/>
  <c r="C1127" i="8"/>
  <c r="B1127" i="8"/>
  <c r="A1127" i="8"/>
  <c r="E1126" i="8"/>
  <c r="D1126" i="8"/>
  <c r="C1126" i="8"/>
  <c r="B1126" i="8"/>
  <c r="A1126" i="8"/>
  <c r="E1125" i="8"/>
  <c r="D1125" i="8"/>
  <c r="C1125" i="8"/>
  <c r="B1125" i="8"/>
  <c r="A1125" i="8"/>
  <c r="E1124" i="8"/>
  <c r="D1124" i="8"/>
  <c r="C1124" i="8"/>
  <c r="B1124" i="8"/>
  <c r="A1124" i="8"/>
  <c r="E1123" i="8"/>
  <c r="D1123" i="8"/>
  <c r="C1123" i="8"/>
  <c r="B1123" i="8"/>
  <c r="A1123" i="8"/>
  <c r="E1122" i="8"/>
  <c r="D1122" i="8"/>
  <c r="C1122" i="8"/>
  <c r="B1122" i="8"/>
  <c r="A1122" i="8"/>
  <c r="E1121" i="8"/>
  <c r="D1121" i="8"/>
  <c r="C1121" i="8"/>
  <c r="B1121" i="8"/>
  <c r="A1121" i="8"/>
  <c r="E1120" i="8"/>
  <c r="D1120" i="8"/>
  <c r="C1120" i="8"/>
  <c r="B1120" i="8"/>
  <c r="A1120" i="8"/>
  <c r="E1119" i="8"/>
  <c r="D1119" i="8"/>
  <c r="C1119" i="8"/>
  <c r="B1119" i="8"/>
  <c r="A1119" i="8"/>
  <c r="E1118" i="8"/>
  <c r="D1118" i="8"/>
  <c r="C1118" i="8"/>
  <c r="B1118" i="8"/>
  <c r="A1118" i="8"/>
  <c r="E1117" i="8"/>
  <c r="D1117" i="8"/>
  <c r="C1117" i="8"/>
  <c r="B1117" i="8"/>
  <c r="A1117" i="8"/>
  <c r="E1116" i="8"/>
  <c r="D1116" i="8"/>
  <c r="C1116" i="8"/>
  <c r="B1116" i="8"/>
  <c r="A1116" i="8"/>
  <c r="E1115" i="8"/>
  <c r="D1115" i="8"/>
  <c r="C1115" i="8"/>
  <c r="B1115" i="8"/>
  <c r="A1115" i="8"/>
  <c r="E1114" i="8"/>
  <c r="D1114" i="8"/>
  <c r="C1114" i="8"/>
  <c r="B1114" i="8"/>
  <c r="A1114" i="8"/>
  <c r="E1113" i="8"/>
  <c r="D1113" i="8"/>
  <c r="C1113" i="8"/>
  <c r="B1113" i="8"/>
  <c r="A1113" i="8"/>
  <c r="E1112" i="8"/>
  <c r="D1112" i="8"/>
  <c r="C1112" i="8"/>
  <c r="B1112" i="8"/>
  <c r="A1112" i="8"/>
  <c r="E1111" i="8"/>
  <c r="D1111" i="8"/>
  <c r="C1111" i="8"/>
  <c r="B1111" i="8"/>
  <c r="A1111" i="8"/>
  <c r="E1110" i="8"/>
  <c r="D1110" i="8"/>
  <c r="C1110" i="8"/>
  <c r="B1110" i="8"/>
  <c r="A1110" i="8"/>
  <c r="E1109" i="8"/>
  <c r="D1109" i="8"/>
  <c r="C1109" i="8"/>
  <c r="B1109" i="8"/>
  <c r="A1109" i="8"/>
  <c r="E1108" i="8"/>
  <c r="D1108" i="8"/>
  <c r="C1108" i="8"/>
  <c r="B1108" i="8"/>
  <c r="A1108" i="8"/>
  <c r="E1107" i="8"/>
  <c r="D1107" i="8"/>
  <c r="C1107" i="8"/>
  <c r="B1107" i="8"/>
  <c r="A1107" i="8"/>
  <c r="E1106" i="8"/>
  <c r="D1106" i="8"/>
  <c r="C1106" i="8"/>
  <c r="B1106" i="8"/>
  <c r="A1106" i="8"/>
  <c r="E1105" i="8"/>
  <c r="D1105" i="8"/>
  <c r="C1105" i="8"/>
  <c r="B1105" i="8"/>
  <c r="A1105" i="8"/>
  <c r="E1104" i="8"/>
  <c r="D1104" i="8"/>
  <c r="C1104" i="8"/>
  <c r="B1104" i="8"/>
  <c r="A1104" i="8"/>
  <c r="E1103" i="8"/>
  <c r="D1103" i="8"/>
  <c r="C1103" i="8"/>
  <c r="B1103" i="8"/>
  <c r="A1103" i="8"/>
  <c r="E1102" i="8"/>
  <c r="D1102" i="8"/>
  <c r="C1102" i="8"/>
  <c r="B1102" i="8"/>
  <c r="A1102" i="8"/>
  <c r="E1101" i="8"/>
  <c r="D1101" i="8"/>
  <c r="C1101" i="8"/>
  <c r="B1101" i="8"/>
  <c r="A1101" i="8"/>
  <c r="E1100" i="8"/>
  <c r="D1100" i="8"/>
  <c r="C1100" i="8"/>
  <c r="B1100" i="8"/>
  <c r="A1100" i="8"/>
  <c r="E1099" i="8"/>
  <c r="D1099" i="8"/>
  <c r="C1099" i="8"/>
  <c r="B1099" i="8"/>
  <c r="A1099" i="8"/>
  <c r="E1098" i="8"/>
  <c r="D1098" i="8"/>
  <c r="C1098" i="8"/>
  <c r="B1098" i="8"/>
  <c r="A1098" i="8"/>
  <c r="E1097" i="8"/>
  <c r="D1097" i="8"/>
  <c r="C1097" i="8"/>
  <c r="B1097" i="8"/>
  <c r="A1097" i="8"/>
  <c r="E1096" i="8"/>
  <c r="D1096" i="8"/>
  <c r="C1096" i="8"/>
  <c r="B1096" i="8"/>
  <c r="A1096" i="8"/>
  <c r="E1095" i="8"/>
  <c r="D1095" i="8"/>
  <c r="C1095" i="8"/>
  <c r="B1095" i="8"/>
  <c r="A1095" i="8"/>
  <c r="E1094" i="8"/>
  <c r="D1094" i="8"/>
  <c r="C1094" i="8"/>
  <c r="B1094" i="8"/>
  <c r="A1094" i="8"/>
  <c r="E1093" i="8"/>
  <c r="D1093" i="8"/>
  <c r="C1093" i="8"/>
  <c r="B1093" i="8"/>
  <c r="A1093" i="8"/>
  <c r="E1092" i="8"/>
  <c r="D1092" i="8"/>
  <c r="C1092" i="8"/>
  <c r="B1092" i="8"/>
  <c r="A1092" i="8"/>
  <c r="E1091" i="8"/>
  <c r="D1091" i="8"/>
  <c r="C1091" i="8"/>
  <c r="B1091" i="8"/>
  <c r="A1091" i="8"/>
  <c r="E1090" i="8"/>
  <c r="D1090" i="8"/>
  <c r="C1090" i="8"/>
  <c r="B1090" i="8"/>
  <c r="A1090" i="8"/>
  <c r="E1089" i="8"/>
  <c r="D1089" i="8"/>
  <c r="C1089" i="8"/>
  <c r="B1089" i="8"/>
  <c r="A1089" i="8"/>
  <c r="E1088" i="8"/>
  <c r="D1088" i="8"/>
  <c r="C1088" i="8"/>
  <c r="B1088" i="8"/>
  <c r="A1088" i="8"/>
  <c r="E1087" i="8"/>
  <c r="D1087" i="8"/>
  <c r="C1087" i="8"/>
  <c r="B1087" i="8"/>
  <c r="A1087" i="8"/>
  <c r="E1086" i="8"/>
  <c r="D1086" i="8"/>
  <c r="C1086" i="8"/>
  <c r="B1086" i="8"/>
  <c r="A1086" i="8"/>
  <c r="E1085" i="8"/>
  <c r="D1085" i="8"/>
  <c r="C1085" i="8"/>
  <c r="B1085" i="8"/>
  <c r="A1085" i="8"/>
  <c r="E1084" i="8"/>
  <c r="D1084" i="8"/>
  <c r="C1084" i="8"/>
  <c r="B1084" i="8"/>
  <c r="A1084" i="8"/>
  <c r="E1083" i="8"/>
  <c r="D1083" i="8"/>
  <c r="C1083" i="8"/>
  <c r="B1083" i="8"/>
  <c r="A1083" i="8"/>
  <c r="E1082" i="8"/>
  <c r="D1082" i="8"/>
  <c r="C1082" i="8"/>
  <c r="B1082" i="8"/>
  <c r="A1082" i="8"/>
  <c r="E1081" i="8"/>
  <c r="D1081" i="8"/>
  <c r="C1081" i="8"/>
  <c r="B1081" i="8"/>
  <c r="A1081" i="8"/>
  <c r="E1080" i="8"/>
  <c r="D1080" i="8"/>
  <c r="C1080" i="8"/>
  <c r="B1080" i="8"/>
  <c r="A1080" i="8"/>
  <c r="E1079" i="8"/>
  <c r="D1079" i="8"/>
  <c r="C1079" i="8"/>
  <c r="B1079" i="8"/>
  <c r="A1079" i="8"/>
  <c r="E1078" i="8"/>
  <c r="D1078" i="8"/>
  <c r="C1078" i="8"/>
  <c r="B1078" i="8"/>
  <c r="A1078" i="8"/>
  <c r="E1077" i="8"/>
  <c r="D1077" i="8"/>
  <c r="C1077" i="8"/>
  <c r="B1077" i="8"/>
  <c r="A1077" i="8"/>
  <c r="E1076" i="8"/>
  <c r="D1076" i="8"/>
  <c r="C1076" i="8"/>
  <c r="B1076" i="8"/>
  <c r="A1076" i="8"/>
  <c r="E1075" i="8"/>
  <c r="D1075" i="8"/>
  <c r="C1075" i="8"/>
  <c r="B1075" i="8"/>
  <c r="A1075" i="8"/>
  <c r="E1074" i="8"/>
  <c r="D1074" i="8"/>
  <c r="C1074" i="8"/>
  <c r="B1074" i="8"/>
  <c r="A1074" i="8"/>
  <c r="E1073" i="8"/>
  <c r="D1073" i="8"/>
  <c r="C1073" i="8"/>
  <c r="B1073" i="8"/>
  <c r="A1073" i="8"/>
  <c r="E1072" i="8"/>
  <c r="D1072" i="8"/>
  <c r="C1072" i="8"/>
  <c r="B1072" i="8"/>
  <c r="A1072" i="8"/>
  <c r="E1071" i="8"/>
  <c r="D1071" i="8"/>
  <c r="C1071" i="8"/>
  <c r="B1071" i="8"/>
  <c r="A1071" i="8"/>
  <c r="E1070" i="8"/>
  <c r="D1070" i="8"/>
  <c r="C1070" i="8"/>
  <c r="B1070" i="8"/>
  <c r="A1070" i="8"/>
  <c r="E1069" i="8"/>
  <c r="D1069" i="8"/>
  <c r="C1069" i="8"/>
  <c r="B1069" i="8"/>
  <c r="A1069" i="8"/>
  <c r="E1068" i="8"/>
  <c r="D1068" i="8"/>
  <c r="C1068" i="8"/>
  <c r="B1068" i="8"/>
  <c r="A1068" i="8"/>
  <c r="E1067" i="8"/>
  <c r="D1067" i="8"/>
  <c r="C1067" i="8"/>
  <c r="B1067" i="8"/>
  <c r="A1067" i="8"/>
  <c r="E1066" i="8"/>
  <c r="D1066" i="8"/>
  <c r="C1066" i="8"/>
  <c r="B1066" i="8"/>
  <c r="A1066" i="8"/>
  <c r="E1065" i="8"/>
  <c r="D1065" i="8"/>
  <c r="C1065" i="8"/>
  <c r="B1065" i="8"/>
  <c r="A1065" i="8"/>
  <c r="E1064" i="8"/>
  <c r="D1064" i="8"/>
  <c r="C1064" i="8"/>
  <c r="B1064" i="8"/>
  <c r="A1064" i="8"/>
  <c r="E1063" i="8"/>
  <c r="D1063" i="8"/>
  <c r="C1063" i="8"/>
  <c r="B1063" i="8"/>
  <c r="A1063" i="8"/>
  <c r="E1062" i="8"/>
  <c r="D1062" i="8"/>
  <c r="C1062" i="8"/>
  <c r="B1062" i="8"/>
  <c r="A1062" i="8"/>
  <c r="E1061" i="8"/>
  <c r="D1061" i="8"/>
  <c r="C1061" i="8"/>
  <c r="B1061" i="8"/>
  <c r="A1061" i="8"/>
  <c r="E1060" i="8"/>
  <c r="D1060" i="8"/>
  <c r="C1060" i="8"/>
  <c r="B1060" i="8"/>
  <c r="A1060" i="8"/>
  <c r="E1059" i="8"/>
  <c r="D1059" i="8"/>
  <c r="C1059" i="8"/>
  <c r="B1059" i="8"/>
  <c r="A1059" i="8"/>
  <c r="E1058" i="8"/>
  <c r="D1058" i="8"/>
  <c r="C1058" i="8"/>
  <c r="B1058" i="8"/>
  <c r="A1058" i="8"/>
  <c r="E1057" i="8"/>
  <c r="D1057" i="8"/>
  <c r="C1057" i="8"/>
  <c r="B1057" i="8"/>
  <c r="A1057" i="8"/>
  <c r="E1056" i="8"/>
  <c r="D1056" i="8"/>
  <c r="C1056" i="8"/>
  <c r="B1056" i="8"/>
  <c r="A1056" i="8"/>
  <c r="E1055" i="8"/>
  <c r="D1055" i="8"/>
  <c r="C1055" i="8"/>
  <c r="B1055" i="8"/>
  <c r="A1055" i="8"/>
  <c r="E1054" i="8"/>
  <c r="D1054" i="8"/>
  <c r="C1054" i="8"/>
  <c r="B1054" i="8"/>
  <c r="A1054" i="8"/>
  <c r="E1053" i="8"/>
  <c r="D1053" i="8"/>
  <c r="C1053" i="8"/>
  <c r="B1053" i="8"/>
  <c r="A1053" i="8"/>
  <c r="E1052" i="8"/>
  <c r="D1052" i="8"/>
  <c r="C1052" i="8"/>
  <c r="B1052" i="8"/>
  <c r="A1052" i="8"/>
  <c r="E1051" i="8"/>
  <c r="D1051" i="8"/>
  <c r="C1051" i="8"/>
  <c r="B1051" i="8"/>
  <c r="A1051" i="8"/>
  <c r="E1050" i="8"/>
  <c r="D1050" i="8"/>
  <c r="C1050" i="8"/>
  <c r="B1050" i="8"/>
  <c r="A1050" i="8"/>
  <c r="E1049" i="8"/>
  <c r="D1049" i="8"/>
  <c r="C1049" i="8"/>
  <c r="B1049" i="8"/>
  <c r="A1049" i="8"/>
  <c r="E1048" i="8"/>
  <c r="D1048" i="8"/>
  <c r="C1048" i="8"/>
  <c r="B1048" i="8"/>
  <c r="A1048" i="8"/>
  <c r="E1047" i="8"/>
  <c r="D1047" i="8"/>
  <c r="C1047" i="8"/>
  <c r="B1047" i="8"/>
  <c r="A1047" i="8"/>
  <c r="E1046" i="8"/>
  <c r="D1046" i="8"/>
  <c r="C1046" i="8"/>
  <c r="B1046" i="8"/>
  <c r="A1046" i="8"/>
  <c r="E1045" i="8"/>
  <c r="D1045" i="8"/>
  <c r="C1045" i="8"/>
  <c r="B1045" i="8"/>
  <c r="A1045" i="8"/>
  <c r="E1044" i="8"/>
  <c r="D1044" i="8"/>
  <c r="C1044" i="8"/>
  <c r="B1044" i="8"/>
  <c r="A1044" i="8"/>
  <c r="E1043" i="8"/>
  <c r="D1043" i="8"/>
  <c r="C1043" i="8"/>
  <c r="B1043" i="8"/>
  <c r="A1043" i="8"/>
  <c r="E1042" i="8"/>
  <c r="D1042" i="8"/>
  <c r="C1042" i="8"/>
  <c r="B1042" i="8"/>
  <c r="A1042" i="8"/>
  <c r="E1041" i="8"/>
  <c r="D1041" i="8"/>
  <c r="C1041" i="8"/>
  <c r="B1041" i="8"/>
  <c r="A1041" i="8"/>
  <c r="E1040" i="8"/>
  <c r="D1040" i="8"/>
  <c r="C1040" i="8"/>
  <c r="B1040" i="8"/>
  <c r="A1040" i="8"/>
  <c r="E1039" i="8"/>
  <c r="D1039" i="8"/>
  <c r="C1039" i="8"/>
  <c r="B1039" i="8"/>
  <c r="A1039" i="8"/>
  <c r="E1038" i="8"/>
  <c r="D1038" i="8"/>
  <c r="C1038" i="8"/>
  <c r="B1038" i="8"/>
  <c r="A1038" i="8"/>
  <c r="E1037" i="8"/>
  <c r="D1037" i="8"/>
  <c r="C1037" i="8"/>
  <c r="B1037" i="8"/>
  <c r="A1037" i="8"/>
  <c r="E1036" i="8"/>
  <c r="D1036" i="8"/>
  <c r="C1036" i="8"/>
  <c r="B1036" i="8"/>
  <c r="A1036" i="8"/>
  <c r="E1035" i="8"/>
  <c r="D1035" i="8"/>
  <c r="C1035" i="8"/>
  <c r="B1035" i="8"/>
  <c r="A1035" i="8"/>
  <c r="E1034" i="8"/>
  <c r="D1034" i="8"/>
  <c r="C1034" i="8"/>
  <c r="B1034" i="8"/>
  <c r="A1034" i="8"/>
  <c r="E1033" i="8"/>
  <c r="D1033" i="8"/>
  <c r="C1033" i="8"/>
  <c r="B1033" i="8"/>
  <c r="A1033" i="8"/>
  <c r="E1032" i="8"/>
  <c r="D1032" i="8"/>
  <c r="C1032" i="8"/>
  <c r="B1032" i="8"/>
  <c r="A1032" i="8"/>
  <c r="E1031" i="8"/>
  <c r="D1031" i="8"/>
  <c r="C1031" i="8"/>
  <c r="B1031" i="8"/>
  <c r="A1031" i="8"/>
  <c r="E1030" i="8"/>
  <c r="D1030" i="8"/>
  <c r="C1030" i="8"/>
  <c r="B1030" i="8"/>
  <c r="A1030" i="8"/>
  <c r="E1029" i="8"/>
  <c r="D1029" i="8"/>
  <c r="C1029" i="8"/>
  <c r="B1029" i="8"/>
  <c r="A1029" i="8"/>
  <c r="E1028" i="8"/>
  <c r="D1028" i="8"/>
  <c r="C1028" i="8"/>
  <c r="B1028" i="8"/>
  <c r="A1028" i="8"/>
  <c r="E1027" i="8"/>
  <c r="D1027" i="8"/>
  <c r="C1027" i="8"/>
  <c r="B1027" i="8"/>
  <c r="A1027" i="8"/>
  <c r="E1026" i="8"/>
  <c r="D1026" i="8"/>
  <c r="C1026" i="8"/>
  <c r="B1026" i="8"/>
  <c r="A1026" i="8"/>
  <c r="E1025" i="8"/>
  <c r="D1025" i="8"/>
  <c r="C1025" i="8"/>
  <c r="B1025" i="8"/>
  <c r="A1025" i="8"/>
  <c r="E1024" i="8"/>
  <c r="D1024" i="8"/>
  <c r="C1024" i="8"/>
  <c r="B1024" i="8"/>
  <c r="A1024" i="8"/>
  <c r="E1023" i="8"/>
  <c r="D1023" i="8"/>
  <c r="C1023" i="8"/>
  <c r="B1023" i="8"/>
  <c r="A1023" i="8"/>
  <c r="E1022" i="8"/>
  <c r="D1022" i="8"/>
  <c r="C1022" i="8"/>
  <c r="B1022" i="8"/>
  <c r="A1022" i="8"/>
  <c r="E1021" i="8"/>
  <c r="D1021" i="8"/>
  <c r="C1021" i="8"/>
  <c r="B1021" i="8"/>
  <c r="A1021" i="8"/>
  <c r="E1020" i="8"/>
  <c r="D1020" i="8"/>
  <c r="C1020" i="8"/>
  <c r="B1020" i="8"/>
  <c r="A1020" i="8"/>
  <c r="E1019" i="8"/>
  <c r="D1019" i="8"/>
  <c r="C1019" i="8"/>
  <c r="B1019" i="8"/>
  <c r="A1019" i="8"/>
  <c r="E1018" i="8"/>
  <c r="D1018" i="8"/>
  <c r="C1018" i="8"/>
  <c r="B1018" i="8"/>
  <c r="A1018" i="8"/>
  <c r="E1017" i="8"/>
  <c r="D1017" i="8"/>
  <c r="C1017" i="8"/>
  <c r="B1017" i="8"/>
  <c r="A1017" i="8"/>
  <c r="E1016" i="8"/>
  <c r="D1016" i="8"/>
  <c r="C1016" i="8"/>
  <c r="B1016" i="8"/>
  <c r="A1016" i="8"/>
  <c r="E1015" i="8"/>
  <c r="D1015" i="8"/>
  <c r="C1015" i="8"/>
  <c r="B1015" i="8"/>
  <c r="A1015" i="8"/>
  <c r="E1014" i="8"/>
  <c r="D1014" i="8"/>
  <c r="C1014" i="8"/>
  <c r="B1014" i="8"/>
  <c r="A1014" i="8"/>
  <c r="E1013" i="8"/>
  <c r="D1013" i="8"/>
  <c r="C1013" i="8"/>
  <c r="B1013" i="8"/>
  <c r="A1013" i="8"/>
  <c r="E1012" i="8"/>
  <c r="D1012" i="8"/>
  <c r="C1012" i="8"/>
  <c r="B1012" i="8"/>
  <c r="A1012" i="8"/>
  <c r="E1011" i="8"/>
  <c r="D1011" i="8"/>
  <c r="C1011" i="8"/>
  <c r="B1011" i="8"/>
  <c r="A1011" i="8"/>
  <c r="E1010" i="8"/>
  <c r="D1010" i="8"/>
  <c r="C1010" i="8"/>
  <c r="B1010" i="8"/>
  <c r="A1010" i="8"/>
  <c r="E1009" i="8"/>
  <c r="D1009" i="8"/>
  <c r="C1009" i="8"/>
  <c r="B1009" i="8"/>
  <c r="A1009" i="8"/>
  <c r="E1008" i="8"/>
  <c r="D1008" i="8"/>
  <c r="C1008" i="8"/>
  <c r="B1008" i="8"/>
  <c r="A1008" i="8"/>
  <c r="E1007" i="8"/>
  <c r="D1007" i="8"/>
  <c r="C1007" i="8"/>
  <c r="B1007" i="8"/>
  <c r="A1007" i="8"/>
  <c r="E1006" i="8"/>
  <c r="D1006" i="8"/>
  <c r="C1006" i="8"/>
  <c r="B1006" i="8"/>
  <c r="A1006" i="8"/>
  <c r="E1005" i="8"/>
  <c r="D1005" i="8"/>
  <c r="C1005" i="8"/>
  <c r="B1005" i="8"/>
  <c r="A1005" i="8"/>
  <c r="E1004" i="8"/>
  <c r="D1004" i="8"/>
  <c r="C1004" i="8"/>
  <c r="B1004" i="8"/>
  <c r="A1004" i="8"/>
  <c r="E1003" i="8"/>
  <c r="D1003" i="8"/>
  <c r="C1003" i="8"/>
  <c r="B1003" i="8"/>
  <c r="A1003" i="8"/>
  <c r="E1002" i="8"/>
  <c r="D1002" i="8"/>
  <c r="C1002" i="8"/>
  <c r="B1002" i="8"/>
  <c r="A1002" i="8"/>
  <c r="E1001" i="8"/>
  <c r="D1001" i="8"/>
  <c r="C1001" i="8"/>
  <c r="B1001" i="8"/>
  <c r="A1001" i="8"/>
  <c r="E1000" i="8"/>
  <c r="D1000" i="8"/>
  <c r="C1000" i="8"/>
  <c r="B1000" i="8"/>
  <c r="A1000" i="8"/>
  <c r="E999" i="8"/>
  <c r="D999" i="8"/>
  <c r="C999" i="8"/>
  <c r="B999" i="8"/>
  <c r="A999" i="8"/>
  <c r="E998" i="8"/>
  <c r="D998" i="8"/>
  <c r="C998" i="8"/>
  <c r="B998" i="8"/>
  <c r="A998" i="8"/>
  <c r="E997" i="8"/>
  <c r="D997" i="8"/>
  <c r="C997" i="8"/>
  <c r="B997" i="8"/>
  <c r="A997" i="8"/>
  <c r="E996" i="8"/>
  <c r="D996" i="8"/>
  <c r="C996" i="8"/>
  <c r="B996" i="8"/>
  <c r="A996" i="8"/>
  <c r="E995" i="8"/>
  <c r="D995" i="8"/>
  <c r="C995" i="8"/>
  <c r="B995" i="8"/>
  <c r="A995" i="8"/>
  <c r="E994" i="8"/>
  <c r="D994" i="8"/>
  <c r="C994" i="8"/>
  <c r="B994" i="8"/>
  <c r="A994" i="8"/>
  <c r="E993" i="8"/>
  <c r="D993" i="8"/>
  <c r="C993" i="8"/>
  <c r="B993" i="8"/>
  <c r="A993" i="8"/>
  <c r="E992" i="8"/>
  <c r="D992" i="8"/>
  <c r="C992" i="8"/>
  <c r="B992" i="8"/>
  <c r="A992" i="8"/>
  <c r="E991" i="8"/>
  <c r="D991" i="8"/>
  <c r="C991" i="8"/>
  <c r="B991" i="8"/>
  <c r="A991" i="8"/>
  <c r="E990" i="8"/>
  <c r="D990" i="8"/>
  <c r="C990" i="8"/>
  <c r="B990" i="8"/>
  <c r="A990" i="8"/>
  <c r="E989" i="8"/>
  <c r="D989" i="8"/>
  <c r="C989" i="8"/>
  <c r="B989" i="8"/>
  <c r="A989" i="8"/>
  <c r="E988" i="8"/>
  <c r="D988" i="8"/>
  <c r="C988" i="8"/>
  <c r="B988" i="8"/>
  <c r="A988" i="8"/>
  <c r="E987" i="8"/>
  <c r="D987" i="8"/>
  <c r="C987" i="8"/>
  <c r="B987" i="8"/>
  <c r="A987" i="8"/>
  <c r="E986" i="8"/>
  <c r="D986" i="8"/>
  <c r="C986" i="8"/>
  <c r="B986" i="8"/>
  <c r="A986" i="8"/>
  <c r="E985" i="8"/>
  <c r="D985" i="8"/>
  <c r="C985" i="8"/>
  <c r="B985" i="8"/>
  <c r="A985" i="8"/>
  <c r="E984" i="8"/>
  <c r="D984" i="8"/>
  <c r="C984" i="8"/>
  <c r="B984" i="8"/>
  <c r="A984" i="8"/>
  <c r="E983" i="8"/>
  <c r="D983" i="8"/>
  <c r="C983" i="8"/>
  <c r="B983" i="8"/>
  <c r="A983" i="8"/>
  <c r="E982" i="8"/>
  <c r="D982" i="8"/>
  <c r="C982" i="8"/>
  <c r="B982" i="8"/>
  <c r="A982" i="8"/>
  <c r="E981" i="8"/>
  <c r="D981" i="8"/>
  <c r="C981" i="8"/>
  <c r="B981" i="8"/>
  <c r="A981" i="8"/>
  <c r="E980" i="8"/>
  <c r="D980" i="8"/>
  <c r="C980" i="8"/>
  <c r="B980" i="8"/>
  <c r="A980" i="8"/>
  <c r="E979" i="8"/>
  <c r="D979" i="8"/>
  <c r="C979" i="8"/>
  <c r="B979" i="8"/>
  <c r="A979" i="8"/>
  <c r="E978" i="8"/>
  <c r="D978" i="8"/>
  <c r="C978" i="8"/>
  <c r="B978" i="8"/>
  <c r="A978" i="8"/>
  <c r="E977" i="8"/>
  <c r="D977" i="8"/>
  <c r="C977" i="8"/>
  <c r="B977" i="8"/>
  <c r="A977" i="8"/>
  <c r="E976" i="8"/>
  <c r="D976" i="8"/>
  <c r="C976" i="8"/>
  <c r="B976" i="8"/>
  <c r="A976" i="8"/>
  <c r="E975" i="8"/>
  <c r="D975" i="8"/>
  <c r="C975" i="8"/>
  <c r="B975" i="8"/>
  <c r="A975" i="8"/>
  <c r="E974" i="8"/>
  <c r="D974" i="8"/>
  <c r="C974" i="8"/>
  <c r="B974" i="8"/>
  <c r="A974" i="8"/>
  <c r="E973" i="8"/>
  <c r="D973" i="8"/>
  <c r="C973" i="8"/>
  <c r="B973" i="8"/>
  <c r="A973" i="8"/>
  <c r="E972" i="8"/>
  <c r="D972" i="8"/>
  <c r="C972" i="8"/>
  <c r="B972" i="8"/>
  <c r="A972" i="8"/>
  <c r="G971" i="8"/>
  <c r="E971" i="8"/>
  <c r="D971" i="8"/>
  <c r="C971" i="8"/>
  <c r="B971" i="8"/>
  <c r="A971" i="8"/>
  <c r="E970" i="8"/>
  <c r="D970" i="8"/>
  <c r="C970" i="8"/>
  <c r="B970" i="8"/>
  <c r="A970" i="8"/>
  <c r="E969" i="8"/>
  <c r="D969" i="8"/>
  <c r="C969" i="8"/>
  <c r="B969" i="8"/>
  <c r="A969" i="8"/>
  <c r="E968" i="8"/>
  <c r="D968" i="8"/>
  <c r="C968" i="8"/>
  <c r="B968" i="8"/>
  <c r="A968" i="8"/>
  <c r="E967" i="8"/>
  <c r="D967" i="8"/>
  <c r="C967" i="8"/>
  <c r="B967" i="8"/>
  <c r="A967" i="8"/>
  <c r="E966" i="8"/>
  <c r="D966" i="8"/>
  <c r="C966" i="8"/>
  <c r="B966" i="8"/>
  <c r="A966" i="8"/>
  <c r="E965" i="8"/>
  <c r="D965" i="8"/>
  <c r="C965" i="8"/>
  <c r="B965" i="8"/>
  <c r="A965" i="8"/>
  <c r="E964" i="8"/>
  <c r="D964" i="8"/>
  <c r="C964" i="8"/>
  <c r="B964" i="8"/>
  <c r="A964" i="8"/>
  <c r="E963" i="8"/>
  <c r="D963" i="8"/>
  <c r="C963" i="8"/>
  <c r="B963" i="8"/>
  <c r="A963" i="8"/>
  <c r="E962" i="8"/>
  <c r="D962" i="8"/>
  <c r="C962" i="8"/>
  <c r="B962" i="8"/>
  <c r="A962" i="8"/>
  <c r="E961" i="8"/>
  <c r="D961" i="8"/>
  <c r="C961" i="8"/>
  <c r="B961" i="8"/>
  <c r="A961" i="8"/>
  <c r="E960" i="8"/>
  <c r="D960" i="8"/>
  <c r="C960" i="8"/>
  <c r="B960" i="8"/>
  <c r="A960" i="8"/>
  <c r="E959" i="8"/>
  <c r="D959" i="8"/>
  <c r="C959" i="8"/>
  <c r="B959" i="8"/>
  <c r="A959" i="8"/>
  <c r="E958" i="8"/>
  <c r="D958" i="8"/>
  <c r="C958" i="8"/>
  <c r="B958" i="8"/>
  <c r="A958" i="8"/>
  <c r="E957" i="8"/>
  <c r="D957" i="8"/>
  <c r="C957" i="8"/>
  <c r="B957" i="8"/>
  <c r="A957" i="8"/>
  <c r="E956" i="8"/>
  <c r="D956" i="8"/>
  <c r="C956" i="8"/>
  <c r="B956" i="8"/>
  <c r="A956" i="8"/>
  <c r="E955" i="8"/>
  <c r="D955" i="8"/>
  <c r="C955" i="8"/>
  <c r="B955" i="8"/>
  <c r="A955" i="8"/>
  <c r="E954" i="8"/>
  <c r="D954" i="8"/>
  <c r="C954" i="8"/>
  <c r="B954" i="8"/>
  <c r="A954" i="8"/>
  <c r="E953" i="8"/>
  <c r="D953" i="8"/>
  <c r="C953" i="8"/>
  <c r="B953" i="8"/>
  <c r="A953" i="8"/>
  <c r="E952" i="8"/>
  <c r="D952" i="8"/>
  <c r="C952" i="8"/>
  <c r="B952" i="8"/>
  <c r="A952" i="8"/>
  <c r="E951" i="8"/>
  <c r="D951" i="8"/>
  <c r="C951" i="8"/>
  <c r="B951" i="8"/>
  <c r="A951" i="8"/>
  <c r="E950" i="8"/>
  <c r="D950" i="8"/>
  <c r="C950" i="8"/>
  <c r="B950" i="8"/>
  <c r="A950" i="8"/>
  <c r="E949" i="8"/>
  <c r="D949" i="8"/>
  <c r="C949" i="8"/>
  <c r="B949" i="8"/>
  <c r="A949" i="8"/>
  <c r="E948" i="8"/>
  <c r="D948" i="8"/>
  <c r="C948" i="8"/>
  <c r="B948" i="8"/>
  <c r="A948" i="8"/>
  <c r="E947" i="8"/>
  <c r="D947" i="8"/>
  <c r="C947" i="8"/>
  <c r="B947" i="8"/>
  <c r="A947" i="8"/>
  <c r="E946" i="8"/>
  <c r="D946" i="8"/>
  <c r="C946" i="8"/>
  <c r="B946" i="8"/>
  <c r="A946" i="8"/>
  <c r="E945" i="8"/>
  <c r="D945" i="8"/>
  <c r="C945" i="8"/>
  <c r="B945" i="8"/>
  <c r="A945" i="8"/>
  <c r="E944" i="8"/>
  <c r="D944" i="8"/>
  <c r="C944" i="8"/>
  <c r="B944" i="8"/>
  <c r="A944" i="8"/>
  <c r="E943" i="8"/>
  <c r="D943" i="8"/>
  <c r="C943" i="8"/>
  <c r="B943" i="8"/>
  <c r="A943" i="8"/>
  <c r="E942" i="8"/>
  <c r="D942" i="8"/>
  <c r="C942" i="8"/>
  <c r="B942" i="8"/>
  <c r="A942" i="8"/>
  <c r="E941" i="8"/>
  <c r="D941" i="8"/>
  <c r="C941" i="8"/>
  <c r="B941" i="8"/>
  <c r="A941" i="8"/>
  <c r="E940" i="8"/>
  <c r="D940" i="8"/>
  <c r="C940" i="8"/>
  <c r="B940" i="8"/>
  <c r="A940" i="8"/>
  <c r="E939" i="8"/>
  <c r="D939" i="8"/>
  <c r="C939" i="8"/>
  <c r="B939" i="8"/>
  <c r="A939" i="8"/>
  <c r="E938" i="8"/>
  <c r="D938" i="8"/>
  <c r="C938" i="8"/>
  <c r="B938" i="8"/>
  <c r="A938" i="8"/>
  <c r="E937" i="8"/>
  <c r="D937" i="8"/>
  <c r="C937" i="8"/>
  <c r="B937" i="8"/>
  <c r="A937" i="8"/>
  <c r="E936" i="8"/>
  <c r="D936" i="8"/>
  <c r="C936" i="8"/>
  <c r="B936" i="8"/>
  <c r="A936" i="8"/>
  <c r="E935" i="8"/>
  <c r="D935" i="8"/>
  <c r="C935" i="8"/>
  <c r="B935" i="8"/>
  <c r="A935" i="8"/>
  <c r="E934" i="8"/>
  <c r="D934" i="8"/>
  <c r="C934" i="8"/>
  <c r="B934" i="8"/>
  <c r="A934" i="8"/>
  <c r="E933" i="8"/>
  <c r="D933" i="8"/>
  <c r="C933" i="8"/>
  <c r="B933" i="8"/>
  <c r="A933" i="8"/>
  <c r="E932" i="8"/>
  <c r="D932" i="8"/>
  <c r="C932" i="8"/>
  <c r="B932" i="8"/>
  <c r="A932" i="8"/>
  <c r="E931" i="8"/>
  <c r="D931" i="8"/>
  <c r="C931" i="8"/>
  <c r="B931" i="8"/>
  <c r="A931" i="8"/>
  <c r="E930" i="8"/>
  <c r="D930" i="8"/>
  <c r="C930" i="8"/>
  <c r="B930" i="8"/>
  <c r="A930" i="8"/>
  <c r="E929" i="8"/>
  <c r="D929" i="8"/>
  <c r="C929" i="8"/>
  <c r="B929" i="8"/>
  <c r="A929" i="8"/>
  <c r="E928" i="8"/>
  <c r="D928" i="8"/>
  <c r="C928" i="8"/>
  <c r="B928" i="8"/>
  <c r="A928" i="8"/>
  <c r="E927" i="8"/>
  <c r="D927" i="8"/>
  <c r="C927" i="8"/>
  <c r="B927" i="8"/>
  <c r="A927" i="8"/>
  <c r="E926" i="8"/>
  <c r="D926" i="8"/>
  <c r="C926" i="8"/>
  <c r="B926" i="8"/>
  <c r="A926" i="8"/>
  <c r="E925" i="8"/>
  <c r="D925" i="8"/>
  <c r="C925" i="8"/>
  <c r="B925" i="8"/>
  <c r="A925" i="8"/>
  <c r="E924" i="8"/>
  <c r="D924" i="8"/>
  <c r="C924" i="8"/>
  <c r="B924" i="8"/>
  <c r="A924" i="8"/>
  <c r="E923" i="8"/>
  <c r="D923" i="8"/>
  <c r="C923" i="8"/>
  <c r="B923" i="8"/>
  <c r="A923" i="8"/>
  <c r="E922" i="8"/>
  <c r="D922" i="8"/>
  <c r="C922" i="8"/>
  <c r="B922" i="8"/>
  <c r="A922" i="8"/>
  <c r="E921" i="8"/>
  <c r="D921" i="8"/>
  <c r="C921" i="8"/>
  <c r="B921" i="8"/>
  <c r="A921" i="8"/>
  <c r="E920" i="8"/>
  <c r="D920" i="8"/>
  <c r="C920" i="8"/>
  <c r="B920" i="8"/>
  <c r="A920" i="8"/>
  <c r="E919" i="8"/>
  <c r="D919" i="8"/>
  <c r="C919" i="8"/>
  <c r="B919" i="8"/>
  <c r="A919" i="8"/>
  <c r="E918" i="8"/>
  <c r="D918" i="8"/>
  <c r="C918" i="8"/>
  <c r="B918" i="8"/>
  <c r="A918" i="8"/>
  <c r="E917" i="8"/>
  <c r="D917" i="8"/>
  <c r="C917" i="8"/>
  <c r="B917" i="8"/>
  <c r="A917" i="8"/>
  <c r="E916" i="8"/>
  <c r="D916" i="8"/>
  <c r="C916" i="8"/>
  <c r="B916" i="8"/>
  <c r="A916" i="8"/>
  <c r="E915" i="8"/>
  <c r="D915" i="8"/>
  <c r="C915" i="8"/>
  <c r="B915" i="8"/>
  <c r="A915" i="8"/>
  <c r="E914" i="8"/>
  <c r="D914" i="8"/>
  <c r="C914" i="8"/>
  <c r="B914" i="8"/>
  <c r="A914" i="8"/>
  <c r="E913" i="8"/>
  <c r="D913" i="8"/>
  <c r="C913" i="8"/>
  <c r="B913" i="8"/>
  <c r="A913" i="8"/>
  <c r="E912" i="8"/>
  <c r="D912" i="8"/>
  <c r="C912" i="8"/>
  <c r="B912" i="8"/>
  <c r="A912" i="8"/>
  <c r="E911" i="8"/>
  <c r="D911" i="8"/>
  <c r="C911" i="8"/>
  <c r="B911" i="8"/>
  <c r="A911" i="8"/>
  <c r="E910" i="8"/>
  <c r="D910" i="8"/>
  <c r="C910" i="8"/>
  <c r="B910" i="8"/>
  <c r="A910" i="8"/>
  <c r="E909" i="8"/>
  <c r="D909" i="8"/>
  <c r="C909" i="8"/>
  <c r="B909" i="8"/>
  <c r="A909" i="8"/>
  <c r="E908" i="8"/>
  <c r="D908" i="8"/>
  <c r="C908" i="8"/>
  <c r="B908" i="8"/>
  <c r="A908" i="8"/>
  <c r="E907" i="8"/>
  <c r="D907" i="8"/>
  <c r="C907" i="8"/>
  <c r="B907" i="8"/>
  <c r="A907" i="8"/>
  <c r="E906" i="8"/>
  <c r="D906" i="8"/>
  <c r="C906" i="8"/>
  <c r="B906" i="8"/>
  <c r="A906" i="8"/>
  <c r="E905" i="8"/>
  <c r="D905" i="8"/>
  <c r="C905" i="8"/>
  <c r="B905" i="8"/>
  <c r="A905" i="8"/>
  <c r="E904" i="8"/>
  <c r="D904" i="8"/>
  <c r="C904" i="8"/>
  <c r="B904" i="8"/>
  <c r="A904" i="8"/>
  <c r="E903" i="8"/>
  <c r="D903" i="8"/>
  <c r="C903" i="8"/>
  <c r="B903" i="8"/>
  <c r="A903" i="8"/>
  <c r="E902" i="8"/>
  <c r="D902" i="8"/>
  <c r="C902" i="8"/>
  <c r="B902" i="8"/>
  <c r="A902" i="8"/>
  <c r="E901" i="8"/>
  <c r="D901" i="8"/>
  <c r="C901" i="8"/>
  <c r="B901" i="8"/>
  <c r="A901" i="8"/>
  <c r="E900" i="8"/>
  <c r="D900" i="8"/>
  <c r="C900" i="8"/>
  <c r="B900" i="8"/>
  <c r="A900" i="8"/>
  <c r="E899" i="8"/>
  <c r="D899" i="8"/>
  <c r="C899" i="8"/>
  <c r="B899" i="8"/>
  <c r="A899" i="8"/>
  <c r="E898" i="8"/>
  <c r="D898" i="8"/>
  <c r="C898" i="8"/>
  <c r="B898" i="8"/>
  <c r="A898" i="8"/>
  <c r="E897" i="8"/>
  <c r="D897" i="8"/>
  <c r="C897" i="8"/>
  <c r="B897" i="8"/>
  <c r="A897" i="8"/>
  <c r="E896" i="8"/>
  <c r="D896" i="8"/>
  <c r="C896" i="8"/>
  <c r="B896" i="8"/>
  <c r="A896" i="8"/>
  <c r="E895" i="8"/>
  <c r="D895" i="8"/>
  <c r="C895" i="8"/>
  <c r="B895" i="8"/>
  <c r="A895" i="8"/>
  <c r="E894" i="8"/>
  <c r="D894" i="8"/>
  <c r="C894" i="8"/>
  <c r="B894" i="8"/>
  <c r="A894" i="8"/>
  <c r="E893" i="8"/>
  <c r="D893" i="8"/>
  <c r="C893" i="8"/>
  <c r="B893" i="8"/>
  <c r="A893" i="8"/>
  <c r="E892" i="8"/>
  <c r="D892" i="8"/>
  <c r="C892" i="8"/>
  <c r="B892" i="8"/>
  <c r="A892" i="8"/>
  <c r="E891" i="8"/>
  <c r="D891" i="8"/>
  <c r="C891" i="8"/>
  <c r="B891" i="8"/>
  <c r="A891" i="8"/>
  <c r="E890" i="8"/>
  <c r="D890" i="8"/>
  <c r="C890" i="8"/>
  <c r="B890" i="8"/>
  <c r="A890" i="8"/>
  <c r="E889" i="8"/>
  <c r="D889" i="8"/>
  <c r="C889" i="8"/>
  <c r="B889" i="8"/>
  <c r="A889" i="8"/>
  <c r="E888" i="8"/>
  <c r="D888" i="8"/>
  <c r="C888" i="8"/>
  <c r="B888" i="8"/>
  <c r="A888" i="8"/>
  <c r="E887" i="8"/>
  <c r="D887" i="8"/>
  <c r="C887" i="8"/>
  <c r="B887" i="8"/>
  <c r="A887" i="8"/>
  <c r="E886" i="8"/>
  <c r="D886" i="8"/>
  <c r="C886" i="8"/>
  <c r="B886" i="8"/>
  <c r="A886" i="8"/>
  <c r="E885" i="8"/>
  <c r="D885" i="8"/>
  <c r="C885" i="8"/>
  <c r="B885" i="8"/>
  <c r="A885" i="8"/>
  <c r="E884" i="8"/>
  <c r="D884" i="8"/>
  <c r="C884" i="8"/>
  <c r="B884" i="8"/>
  <c r="A884" i="8"/>
  <c r="E883" i="8"/>
  <c r="D883" i="8"/>
  <c r="C883" i="8"/>
  <c r="B883" i="8"/>
  <c r="A883" i="8"/>
  <c r="E882" i="8"/>
  <c r="D882" i="8"/>
  <c r="C882" i="8"/>
  <c r="B882" i="8"/>
  <c r="A882" i="8"/>
  <c r="E881" i="8"/>
  <c r="D881" i="8"/>
  <c r="C881" i="8"/>
  <c r="B881" i="8"/>
  <c r="A881" i="8"/>
  <c r="E880" i="8"/>
  <c r="D880" i="8"/>
  <c r="C880" i="8"/>
  <c r="B880" i="8"/>
  <c r="A880" i="8"/>
  <c r="E879" i="8"/>
  <c r="D879" i="8"/>
  <c r="C879" i="8"/>
  <c r="B879" i="8"/>
  <c r="A879" i="8"/>
  <c r="E878" i="8"/>
  <c r="D878" i="8"/>
  <c r="C878" i="8"/>
  <c r="B878" i="8"/>
  <c r="A878" i="8"/>
  <c r="E877" i="8"/>
  <c r="D877" i="8"/>
  <c r="C877" i="8"/>
  <c r="B877" i="8"/>
  <c r="A877" i="8"/>
  <c r="E876" i="8"/>
  <c r="D876" i="8"/>
  <c r="C876" i="8"/>
  <c r="B876" i="8"/>
  <c r="A876" i="8"/>
  <c r="E875" i="8"/>
  <c r="D875" i="8"/>
  <c r="C875" i="8"/>
  <c r="B875" i="8"/>
  <c r="A875" i="8"/>
  <c r="E874" i="8"/>
  <c r="D874" i="8"/>
  <c r="C874" i="8"/>
  <c r="B874" i="8"/>
  <c r="A874" i="8"/>
  <c r="E873" i="8"/>
  <c r="D873" i="8"/>
  <c r="C873" i="8"/>
  <c r="B873" i="8"/>
  <c r="A873" i="8"/>
  <c r="E872" i="8"/>
  <c r="D872" i="8"/>
  <c r="C872" i="8"/>
  <c r="B872" i="8"/>
  <c r="A872" i="8"/>
  <c r="E871" i="8"/>
  <c r="D871" i="8"/>
  <c r="C871" i="8"/>
  <c r="B871" i="8"/>
  <c r="A871" i="8"/>
  <c r="E870" i="8"/>
  <c r="D870" i="8"/>
  <c r="C870" i="8"/>
  <c r="B870" i="8"/>
  <c r="A870" i="8"/>
  <c r="E869" i="8"/>
  <c r="D869" i="8"/>
  <c r="C869" i="8"/>
  <c r="B869" i="8"/>
  <c r="A869" i="8"/>
  <c r="E868" i="8"/>
  <c r="D868" i="8"/>
  <c r="C868" i="8"/>
  <c r="B868" i="8"/>
  <c r="A868" i="8"/>
  <c r="E867" i="8"/>
  <c r="D867" i="8"/>
  <c r="C867" i="8"/>
  <c r="B867" i="8"/>
  <c r="A867" i="8"/>
  <c r="E866" i="8"/>
  <c r="D866" i="8"/>
  <c r="C866" i="8"/>
  <c r="B866" i="8"/>
  <c r="A866" i="8"/>
  <c r="E865" i="8"/>
  <c r="D865" i="8"/>
  <c r="C865" i="8"/>
  <c r="B865" i="8"/>
  <c r="A865" i="8"/>
  <c r="E864" i="8"/>
  <c r="D864" i="8"/>
  <c r="C864" i="8"/>
  <c r="B864" i="8"/>
  <c r="A864" i="8"/>
  <c r="E863" i="8"/>
  <c r="D863" i="8"/>
  <c r="C863" i="8"/>
  <c r="B863" i="8"/>
  <c r="A863" i="8"/>
  <c r="E862" i="8"/>
  <c r="D862" i="8"/>
  <c r="C862" i="8"/>
  <c r="B862" i="8"/>
  <c r="A862" i="8"/>
  <c r="E861" i="8"/>
  <c r="D861" i="8"/>
  <c r="C861" i="8"/>
  <c r="B861" i="8"/>
  <c r="A861" i="8"/>
  <c r="E860" i="8"/>
  <c r="D860" i="8"/>
  <c r="C860" i="8"/>
  <c r="B860" i="8"/>
  <c r="A860" i="8"/>
  <c r="E859" i="8"/>
  <c r="D859" i="8"/>
  <c r="C859" i="8"/>
  <c r="B859" i="8"/>
  <c r="A859" i="8"/>
  <c r="E858" i="8"/>
  <c r="D858" i="8"/>
  <c r="C858" i="8"/>
  <c r="B858" i="8"/>
  <c r="A858" i="8"/>
  <c r="E857" i="8"/>
  <c r="D857" i="8"/>
  <c r="C857" i="8"/>
  <c r="B857" i="8"/>
  <c r="A857" i="8"/>
  <c r="E856" i="8"/>
  <c r="D856" i="8"/>
  <c r="C856" i="8"/>
  <c r="B856" i="8"/>
  <c r="A856" i="8"/>
  <c r="E855" i="8"/>
  <c r="D855" i="8"/>
  <c r="C855" i="8"/>
  <c r="B855" i="8"/>
  <c r="A855" i="8"/>
  <c r="E854" i="8"/>
  <c r="D854" i="8"/>
  <c r="C854" i="8"/>
  <c r="B854" i="8"/>
  <c r="A854" i="8"/>
  <c r="E853" i="8"/>
  <c r="D853" i="8"/>
  <c r="C853" i="8"/>
  <c r="B853" i="8"/>
  <c r="A853" i="8"/>
  <c r="E852" i="8"/>
  <c r="D852" i="8"/>
  <c r="C852" i="8"/>
  <c r="B852" i="8"/>
  <c r="A852" i="8"/>
  <c r="E851" i="8"/>
  <c r="D851" i="8"/>
  <c r="C851" i="8"/>
  <c r="B851" i="8"/>
  <c r="A851" i="8"/>
  <c r="E850" i="8"/>
  <c r="D850" i="8"/>
  <c r="C850" i="8"/>
  <c r="B850" i="8"/>
  <c r="A850" i="8"/>
  <c r="E849" i="8"/>
  <c r="D849" i="8"/>
  <c r="C849" i="8"/>
  <c r="B849" i="8"/>
  <c r="A849" i="8"/>
  <c r="E848" i="8"/>
  <c r="D848" i="8"/>
  <c r="C848" i="8"/>
  <c r="B848" i="8"/>
  <c r="A848" i="8"/>
  <c r="E847" i="8"/>
  <c r="D847" i="8"/>
  <c r="C847" i="8"/>
  <c r="B847" i="8"/>
  <c r="A847" i="8"/>
  <c r="E846" i="8"/>
  <c r="D846" i="8"/>
  <c r="C846" i="8"/>
  <c r="B846" i="8"/>
  <c r="A846" i="8"/>
  <c r="E845" i="8"/>
  <c r="D845" i="8"/>
  <c r="C845" i="8"/>
  <c r="B845" i="8"/>
  <c r="A845" i="8"/>
  <c r="E844" i="8"/>
  <c r="D844" i="8"/>
  <c r="C844" i="8"/>
  <c r="B844" i="8"/>
  <c r="A844" i="8"/>
  <c r="E843" i="8"/>
  <c r="D843" i="8"/>
  <c r="C843" i="8"/>
  <c r="B843" i="8"/>
  <c r="A843" i="8"/>
  <c r="E842" i="8"/>
  <c r="D842" i="8"/>
  <c r="C842" i="8"/>
  <c r="B842" i="8"/>
  <c r="A842" i="8"/>
  <c r="E841" i="8"/>
  <c r="D841" i="8"/>
  <c r="C841" i="8"/>
  <c r="B841" i="8"/>
  <c r="A841" i="8"/>
  <c r="E840" i="8"/>
  <c r="D840" i="8"/>
  <c r="C840" i="8"/>
  <c r="B840" i="8"/>
  <c r="A840" i="8"/>
  <c r="E839" i="8"/>
  <c r="D839" i="8"/>
  <c r="C839" i="8"/>
  <c r="B839" i="8"/>
  <c r="A839" i="8"/>
  <c r="E838" i="8"/>
  <c r="D838" i="8"/>
  <c r="C838" i="8"/>
  <c r="B838" i="8"/>
  <c r="A838" i="8"/>
  <c r="E837" i="8"/>
  <c r="D837" i="8"/>
  <c r="C837" i="8"/>
  <c r="B837" i="8"/>
  <c r="A837" i="8"/>
  <c r="E836" i="8"/>
  <c r="D836" i="8"/>
  <c r="C836" i="8"/>
  <c r="B836" i="8"/>
  <c r="A836" i="8"/>
  <c r="E835" i="8"/>
  <c r="D835" i="8"/>
  <c r="C835" i="8"/>
  <c r="B835" i="8"/>
  <c r="A835" i="8"/>
  <c r="E834" i="8"/>
  <c r="D834" i="8"/>
  <c r="C834" i="8"/>
  <c r="B834" i="8"/>
  <c r="A834" i="8"/>
  <c r="E833" i="8"/>
  <c r="D833" i="8"/>
  <c r="C833" i="8"/>
  <c r="B833" i="8"/>
  <c r="A833" i="8"/>
  <c r="E832" i="8"/>
  <c r="D832" i="8"/>
  <c r="C832" i="8"/>
  <c r="B832" i="8"/>
  <c r="A832" i="8"/>
  <c r="E831" i="8"/>
  <c r="D831" i="8"/>
  <c r="C831" i="8"/>
  <c r="B831" i="8"/>
  <c r="A831" i="8"/>
  <c r="E830" i="8"/>
  <c r="D830" i="8"/>
  <c r="C830" i="8"/>
  <c r="B830" i="8"/>
  <c r="A830" i="8"/>
  <c r="E829" i="8"/>
  <c r="D829" i="8"/>
  <c r="C829" i="8"/>
  <c r="B829" i="8"/>
  <c r="A829" i="8"/>
  <c r="E828" i="8"/>
  <c r="D828" i="8"/>
  <c r="C828" i="8"/>
  <c r="B828" i="8"/>
  <c r="A828" i="8"/>
  <c r="E827" i="8"/>
  <c r="D827" i="8"/>
  <c r="C827" i="8"/>
  <c r="B827" i="8"/>
  <c r="A827" i="8"/>
  <c r="E826" i="8"/>
  <c r="D826" i="8"/>
  <c r="C826" i="8"/>
  <c r="B826" i="8"/>
  <c r="A826" i="8"/>
  <c r="E825" i="8"/>
  <c r="D825" i="8"/>
  <c r="C825" i="8"/>
  <c r="B825" i="8"/>
  <c r="A825" i="8"/>
  <c r="E824" i="8"/>
  <c r="D824" i="8"/>
  <c r="C824" i="8"/>
  <c r="B824" i="8"/>
  <c r="A824" i="8"/>
  <c r="E823" i="8"/>
  <c r="D823" i="8"/>
  <c r="C823" i="8"/>
  <c r="B823" i="8"/>
  <c r="A823" i="8"/>
  <c r="E822" i="8"/>
  <c r="D822" i="8"/>
  <c r="C822" i="8"/>
  <c r="B822" i="8"/>
  <c r="A822" i="8"/>
  <c r="E821" i="8"/>
  <c r="D821" i="8"/>
  <c r="C821" i="8"/>
  <c r="B821" i="8"/>
  <c r="A821" i="8"/>
  <c r="E820" i="8"/>
  <c r="D820" i="8"/>
  <c r="C820" i="8"/>
  <c r="B820" i="8"/>
  <c r="A820" i="8"/>
  <c r="E819" i="8"/>
  <c r="D819" i="8"/>
  <c r="C819" i="8"/>
  <c r="B819" i="8"/>
  <c r="A819" i="8"/>
  <c r="E818" i="8"/>
  <c r="D818" i="8"/>
  <c r="C818" i="8"/>
  <c r="B818" i="8"/>
  <c r="A818" i="8"/>
  <c r="E817" i="8"/>
  <c r="D817" i="8"/>
  <c r="C817" i="8"/>
  <c r="B817" i="8"/>
  <c r="A817" i="8"/>
  <c r="E816" i="8"/>
  <c r="D816" i="8"/>
  <c r="C816" i="8"/>
  <c r="B816" i="8"/>
  <c r="A816" i="8"/>
  <c r="E815" i="8"/>
  <c r="D815" i="8"/>
  <c r="C815" i="8"/>
  <c r="B815" i="8"/>
  <c r="A815" i="8"/>
  <c r="E814" i="8"/>
  <c r="D814" i="8"/>
  <c r="C814" i="8"/>
  <c r="B814" i="8"/>
  <c r="A814" i="8"/>
  <c r="E813" i="8"/>
  <c r="D813" i="8"/>
  <c r="C813" i="8"/>
  <c r="B813" i="8"/>
  <c r="A813" i="8"/>
  <c r="E812" i="8"/>
  <c r="D812" i="8"/>
  <c r="C812" i="8"/>
  <c r="B812" i="8"/>
  <c r="A812" i="8"/>
  <c r="E811" i="8"/>
  <c r="D811" i="8"/>
  <c r="C811" i="8"/>
  <c r="B811" i="8"/>
  <c r="A811" i="8"/>
  <c r="E810" i="8"/>
  <c r="D810" i="8"/>
  <c r="C810" i="8"/>
  <c r="B810" i="8"/>
  <c r="A810" i="8"/>
  <c r="E809" i="8"/>
  <c r="D809" i="8"/>
  <c r="C809" i="8"/>
  <c r="B809" i="8"/>
  <c r="A809" i="8"/>
  <c r="E808" i="8"/>
  <c r="D808" i="8"/>
  <c r="C808" i="8"/>
  <c r="B808" i="8"/>
  <c r="A808" i="8"/>
  <c r="E807" i="8"/>
  <c r="D807" i="8"/>
  <c r="C807" i="8"/>
  <c r="B807" i="8"/>
  <c r="A807" i="8"/>
  <c r="E806" i="8"/>
  <c r="D806" i="8"/>
  <c r="C806" i="8"/>
  <c r="B806" i="8"/>
  <c r="A806" i="8"/>
  <c r="E805" i="8"/>
  <c r="D805" i="8"/>
  <c r="C805" i="8"/>
  <c r="B805" i="8"/>
  <c r="A805" i="8"/>
  <c r="E804" i="8"/>
  <c r="D804" i="8"/>
  <c r="C804" i="8"/>
  <c r="B804" i="8"/>
  <c r="A804" i="8"/>
  <c r="E803" i="8"/>
  <c r="D803" i="8"/>
  <c r="C803" i="8"/>
  <c r="B803" i="8"/>
  <c r="A803" i="8"/>
  <c r="E802" i="8"/>
  <c r="D802" i="8"/>
  <c r="C802" i="8"/>
  <c r="B802" i="8"/>
  <c r="A802" i="8"/>
  <c r="E801" i="8"/>
  <c r="D801" i="8"/>
  <c r="C801" i="8"/>
  <c r="B801" i="8"/>
  <c r="A801" i="8"/>
  <c r="E800" i="8"/>
  <c r="D800" i="8"/>
  <c r="C800" i="8"/>
  <c r="B800" i="8"/>
  <c r="A800" i="8"/>
  <c r="E799" i="8"/>
  <c r="D799" i="8"/>
  <c r="C799" i="8"/>
  <c r="B799" i="8"/>
  <c r="A799" i="8"/>
  <c r="E798" i="8"/>
  <c r="D798" i="8"/>
  <c r="C798" i="8"/>
  <c r="B798" i="8"/>
  <c r="A798" i="8"/>
  <c r="E797" i="8"/>
  <c r="D797" i="8"/>
  <c r="C797" i="8"/>
  <c r="B797" i="8"/>
  <c r="A797" i="8"/>
  <c r="E796" i="8"/>
  <c r="D796" i="8"/>
  <c r="C796" i="8"/>
  <c r="B796" i="8"/>
  <c r="A796" i="8"/>
  <c r="E795" i="8"/>
  <c r="D795" i="8"/>
  <c r="C795" i="8"/>
  <c r="B795" i="8"/>
  <c r="A795" i="8"/>
  <c r="E794" i="8"/>
  <c r="D794" i="8"/>
  <c r="C794" i="8"/>
  <c r="B794" i="8"/>
  <c r="A794" i="8"/>
  <c r="E793" i="8"/>
  <c r="D793" i="8"/>
  <c r="C793" i="8"/>
  <c r="B793" i="8"/>
  <c r="A793" i="8"/>
  <c r="E792" i="8"/>
  <c r="D792" i="8"/>
  <c r="C792" i="8"/>
  <c r="B792" i="8"/>
  <c r="A792" i="8"/>
  <c r="E791" i="8"/>
  <c r="D791" i="8"/>
  <c r="C791" i="8"/>
  <c r="B791" i="8"/>
  <c r="A791" i="8"/>
  <c r="E790" i="8"/>
  <c r="D790" i="8"/>
  <c r="C790" i="8"/>
  <c r="B790" i="8"/>
  <c r="A790" i="8"/>
  <c r="E789" i="8"/>
  <c r="D789" i="8"/>
  <c r="C789" i="8"/>
  <c r="B789" i="8"/>
  <c r="A789" i="8"/>
  <c r="E788" i="8"/>
  <c r="D788" i="8"/>
  <c r="C788" i="8"/>
  <c r="B788" i="8"/>
  <c r="A788" i="8"/>
  <c r="E787" i="8"/>
  <c r="D787" i="8"/>
  <c r="C787" i="8"/>
  <c r="B787" i="8"/>
  <c r="A787" i="8"/>
  <c r="E786" i="8"/>
  <c r="D786" i="8"/>
  <c r="C786" i="8"/>
  <c r="B786" i="8"/>
  <c r="A786" i="8"/>
  <c r="E785" i="8"/>
  <c r="D785" i="8"/>
  <c r="C785" i="8"/>
  <c r="B785" i="8"/>
  <c r="A785" i="8"/>
  <c r="E784" i="8"/>
  <c r="D784" i="8"/>
  <c r="C784" i="8"/>
  <c r="B784" i="8"/>
  <c r="A784" i="8"/>
  <c r="E783" i="8"/>
  <c r="D783" i="8"/>
  <c r="C783" i="8"/>
  <c r="B783" i="8"/>
  <c r="A783" i="8"/>
  <c r="E782" i="8"/>
  <c r="D782" i="8"/>
  <c r="C782" i="8"/>
  <c r="B782" i="8"/>
  <c r="A782" i="8"/>
  <c r="E781" i="8"/>
  <c r="D781" i="8"/>
  <c r="C781" i="8"/>
  <c r="B781" i="8"/>
  <c r="A781" i="8"/>
  <c r="E780" i="8"/>
  <c r="D780" i="8"/>
  <c r="C780" i="8"/>
  <c r="B780" i="8"/>
  <c r="A780" i="8"/>
  <c r="E779" i="8"/>
  <c r="D779" i="8"/>
  <c r="C779" i="8"/>
  <c r="B779" i="8"/>
  <c r="A779" i="8"/>
  <c r="E778" i="8"/>
  <c r="D778" i="8"/>
  <c r="C778" i="8"/>
  <c r="B778" i="8"/>
  <c r="A778" i="8"/>
  <c r="E777" i="8"/>
  <c r="D777" i="8"/>
  <c r="C777" i="8"/>
  <c r="B777" i="8"/>
  <c r="A777" i="8"/>
  <c r="E776" i="8"/>
  <c r="D776" i="8"/>
  <c r="C776" i="8"/>
  <c r="B776" i="8"/>
  <c r="A776" i="8"/>
  <c r="E775" i="8"/>
  <c r="D775" i="8"/>
  <c r="C775" i="8"/>
  <c r="B775" i="8"/>
  <c r="A775" i="8"/>
  <c r="E774" i="8"/>
  <c r="D774" i="8"/>
  <c r="C774" i="8"/>
  <c r="B774" i="8"/>
  <c r="A774" i="8"/>
  <c r="E773" i="8"/>
  <c r="D773" i="8"/>
  <c r="C773" i="8"/>
  <c r="B773" i="8"/>
  <c r="A773" i="8"/>
  <c r="E772" i="8"/>
  <c r="D772" i="8"/>
  <c r="C772" i="8"/>
  <c r="B772" i="8"/>
  <c r="A772" i="8"/>
  <c r="E771" i="8"/>
  <c r="D771" i="8"/>
  <c r="C771" i="8"/>
  <c r="B771" i="8"/>
  <c r="A771" i="8"/>
  <c r="E770" i="8"/>
  <c r="D770" i="8"/>
  <c r="C770" i="8"/>
  <c r="B770" i="8"/>
  <c r="A770" i="8"/>
  <c r="E769" i="8"/>
  <c r="D769" i="8"/>
  <c r="C769" i="8"/>
  <c r="B769" i="8"/>
  <c r="A769" i="8"/>
  <c r="E768" i="8"/>
  <c r="D768" i="8"/>
  <c r="C768" i="8"/>
  <c r="B768" i="8"/>
  <c r="A768" i="8"/>
  <c r="E767" i="8"/>
  <c r="D767" i="8"/>
  <c r="C767" i="8"/>
  <c r="B767" i="8"/>
  <c r="A767" i="8"/>
  <c r="E766" i="8"/>
  <c r="D766" i="8"/>
  <c r="C766" i="8"/>
  <c r="B766" i="8"/>
  <c r="A766" i="8"/>
  <c r="E765" i="8"/>
  <c r="D765" i="8"/>
  <c r="C765" i="8"/>
  <c r="B765" i="8"/>
  <c r="A765" i="8"/>
  <c r="E764" i="8"/>
  <c r="D764" i="8"/>
  <c r="C764" i="8"/>
  <c r="B764" i="8"/>
  <c r="A764" i="8"/>
  <c r="E763" i="8"/>
  <c r="D763" i="8"/>
  <c r="C763" i="8"/>
  <c r="B763" i="8"/>
  <c r="A763" i="8"/>
  <c r="E762" i="8"/>
  <c r="D762" i="8"/>
  <c r="C762" i="8"/>
  <c r="B762" i="8"/>
  <c r="A762" i="8"/>
  <c r="E761" i="8"/>
  <c r="D761" i="8"/>
  <c r="C761" i="8"/>
  <c r="B761" i="8"/>
  <c r="A761" i="8"/>
  <c r="E760" i="8"/>
  <c r="D760" i="8"/>
  <c r="C760" i="8"/>
  <c r="B760" i="8"/>
  <c r="A760" i="8"/>
  <c r="E759" i="8"/>
  <c r="D759" i="8"/>
  <c r="C759" i="8"/>
  <c r="B759" i="8"/>
  <c r="A759" i="8"/>
  <c r="E758" i="8"/>
  <c r="D758" i="8"/>
  <c r="C758" i="8"/>
  <c r="B758" i="8"/>
  <c r="A758" i="8"/>
  <c r="E757" i="8"/>
  <c r="D757" i="8"/>
  <c r="C757" i="8"/>
  <c r="B757" i="8"/>
  <c r="A757" i="8"/>
  <c r="E756" i="8"/>
  <c r="D756" i="8"/>
  <c r="C756" i="8"/>
  <c r="B756" i="8"/>
  <c r="A756" i="8"/>
  <c r="E755" i="8"/>
  <c r="D755" i="8"/>
  <c r="C755" i="8"/>
  <c r="B755" i="8"/>
  <c r="A755" i="8"/>
  <c r="E754" i="8"/>
  <c r="D754" i="8"/>
  <c r="C754" i="8"/>
  <c r="B754" i="8"/>
  <c r="A754" i="8"/>
  <c r="E753" i="8"/>
  <c r="D753" i="8"/>
  <c r="C753" i="8"/>
  <c r="B753" i="8"/>
  <c r="A753" i="8"/>
  <c r="E752" i="8"/>
  <c r="D752" i="8"/>
  <c r="C752" i="8"/>
  <c r="B752" i="8"/>
  <c r="A752" i="8"/>
  <c r="E751" i="8"/>
  <c r="D751" i="8"/>
  <c r="C751" i="8"/>
  <c r="B751" i="8"/>
  <c r="A751" i="8"/>
  <c r="E750" i="8"/>
  <c r="D750" i="8"/>
  <c r="C750" i="8"/>
  <c r="B750" i="8"/>
  <c r="A750" i="8"/>
  <c r="E749" i="8"/>
  <c r="D749" i="8"/>
  <c r="C749" i="8"/>
  <c r="B749" i="8"/>
  <c r="A749" i="8"/>
  <c r="E748" i="8"/>
  <c r="D748" i="8"/>
  <c r="C748" i="8"/>
  <c r="B748" i="8"/>
  <c r="A748" i="8"/>
  <c r="E747" i="8"/>
  <c r="D747" i="8"/>
  <c r="C747" i="8"/>
  <c r="B747" i="8"/>
  <c r="A747" i="8"/>
  <c r="E746" i="8"/>
  <c r="D746" i="8"/>
  <c r="C746" i="8"/>
  <c r="B746" i="8"/>
  <c r="A746" i="8"/>
  <c r="E745" i="8"/>
  <c r="D745" i="8"/>
  <c r="C745" i="8"/>
  <c r="B745" i="8"/>
  <c r="A745" i="8"/>
  <c r="E744" i="8"/>
  <c r="D744" i="8"/>
  <c r="C744" i="8"/>
  <c r="B744" i="8"/>
  <c r="A744" i="8"/>
  <c r="E743" i="8"/>
  <c r="D743" i="8"/>
  <c r="C743" i="8"/>
  <c r="B743" i="8"/>
  <c r="A743" i="8"/>
  <c r="E742" i="8"/>
  <c r="D742" i="8"/>
  <c r="C742" i="8"/>
  <c r="B742" i="8"/>
  <c r="A742" i="8"/>
  <c r="E741" i="8"/>
  <c r="D741" i="8"/>
  <c r="C741" i="8"/>
  <c r="B741" i="8"/>
  <c r="A741" i="8"/>
  <c r="E740" i="8"/>
  <c r="D740" i="8"/>
  <c r="C740" i="8"/>
  <c r="B740" i="8"/>
  <c r="A740" i="8"/>
  <c r="E739" i="8"/>
  <c r="D739" i="8"/>
  <c r="C739" i="8"/>
  <c r="B739" i="8"/>
  <c r="A739" i="8"/>
  <c r="E738" i="8"/>
  <c r="D738" i="8"/>
  <c r="C738" i="8"/>
  <c r="B738" i="8"/>
  <c r="A738" i="8"/>
  <c r="E737" i="8"/>
  <c r="D737" i="8"/>
  <c r="C737" i="8"/>
  <c r="B737" i="8"/>
  <c r="A737" i="8"/>
  <c r="E736" i="8"/>
  <c r="D736" i="8"/>
  <c r="C736" i="8"/>
  <c r="B736" i="8"/>
  <c r="A736" i="8"/>
  <c r="E735" i="8"/>
  <c r="D735" i="8"/>
  <c r="C735" i="8"/>
  <c r="B735" i="8"/>
  <c r="A735" i="8"/>
  <c r="E734" i="8"/>
  <c r="D734" i="8"/>
  <c r="C734" i="8"/>
  <c r="B734" i="8"/>
  <c r="A734" i="8"/>
  <c r="E733" i="8"/>
  <c r="D733" i="8"/>
  <c r="C733" i="8"/>
  <c r="B733" i="8"/>
  <c r="A733" i="8"/>
  <c r="E732" i="8"/>
  <c r="D732" i="8"/>
  <c r="C732" i="8"/>
  <c r="B732" i="8"/>
  <c r="A732" i="8"/>
  <c r="E731" i="8"/>
  <c r="D731" i="8"/>
  <c r="C731" i="8"/>
  <c r="B731" i="8"/>
  <c r="A731" i="8"/>
  <c r="E730" i="8"/>
  <c r="D730" i="8"/>
  <c r="C730" i="8"/>
  <c r="B730" i="8"/>
  <c r="A730" i="8"/>
  <c r="E729" i="8"/>
  <c r="D729" i="8"/>
  <c r="C729" i="8"/>
  <c r="B729" i="8"/>
  <c r="A729" i="8"/>
  <c r="E728" i="8"/>
  <c r="D728" i="8"/>
  <c r="C728" i="8"/>
  <c r="B728" i="8"/>
  <c r="A728" i="8"/>
  <c r="E727" i="8"/>
  <c r="D727" i="8"/>
  <c r="C727" i="8"/>
  <c r="B727" i="8"/>
  <c r="A727" i="8"/>
  <c r="E726" i="8"/>
  <c r="D726" i="8"/>
  <c r="C726" i="8"/>
  <c r="B726" i="8"/>
  <c r="A726" i="8"/>
  <c r="E725" i="8"/>
  <c r="D725" i="8"/>
  <c r="C725" i="8"/>
  <c r="B725" i="8"/>
  <c r="A725" i="8"/>
  <c r="E724" i="8"/>
  <c r="D724" i="8"/>
  <c r="C724" i="8"/>
  <c r="B724" i="8"/>
  <c r="A724" i="8"/>
  <c r="E723" i="8"/>
  <c r="D723" i="8"/>
  <c r="C723" i="8"/>
  <c r="B723" i="8"/>
  <c r="A723" i="8"/>
  <c r="E722" i="8"/>
  <c r="D722" i="8"/>
  <c r="C722" i="8"/>
  <c r="B722" i="8"/>
  <c r="A722" i="8"/>
  <c r="E721" i="8"/>
  <c r="D721" i="8"/>
  <c r="C721" i="8"/>
  <c r="B721" i="8"/>
  <c r="A721" i="8"/>
  <c r="E720" i="8"/>
  <c r="D720" i="8"/>
  <c r="C720" i="8"/>
  <c r="B720" i="8"/>
  <c r="A720" i="8"/>
  <c r="E719" i="8"/>
  <c r="D719" i="8"/>
  <c r="C719" i="8"/>
  <c r="B719" i="8"/>
  <c r="A719" i="8"/>
  <c r="E718" i="8"/>
  <c r="D718" i="8"/>
  <c r="C718" i="8"/>
  <c r="B718" i="8"/>
  <c r="A718" i="8"/>
  <c r="E717" i="8"/>
  <c r="D717" i="8"/>
  <c r="C717" i="8"/>
  <c r="B717" i="8"/>
  <c r="A717" i="8"/>
  <c r="E716" i="8"/>
  <c r="D716" i="8"/>
  <c r="C716" i="8"/>
  <c r="B716" i="8"/>
  <c r="A716" i="8"/>
  <c r="E715" i="8"/>
  <c r="D715" i="8"/>
  <c r="C715" i="8"/>
  <c r="B715" i="8"/>
  <c r="A715" i="8"/>
  <c r="E714" i="8"/>
  <c r="D714" i="8"/>
  <c r="C714" i="8"/>
  <c r="B714" i="8"/>
  <c r="A714" i="8"/>
  <c r="E713" i="8"/>
  <c r="D713" i="8"/>
  <c r="C713" i="8"/>
  <c r="B713" i="8"/>
  <c r="A713" i="8"/>
  <c r="E712" i="8"/>
  <c r="D712" i="8"/>
  <c r="C712" i="8"/>
  <c r="B712" i="8"/>
  <c r="A712" i="8"/>
  <c r="E711" i="8"/>
  <c r="D711" i="8"/>
  <c r="C711" i="8"/>
  <c r="B711" i="8"/>
  <c r="A711" i="8"/>
  <c r="E710" i="8"/>
  <c r="D710" i="8"/>
  <c r="C710" i="8"/>
  <c r="B710" i="8"/>
  <c r="A710" i="8"/>
  <c r="E709" i="8"/>
  <c r="D709" i="8"/>
  <c r="C709" i="8"/>
  <c r="B709" i="8"/>
  <c r="A709" i="8"/>
  <c r="E708" i="8"/>
  <c r="D708" i="8"/>
  <c r="C708" i="8"/>
  <c r="B708" i="8"/>
  <c r="A708" i="8"/>
  <c r="E707" i="8"/>
  <c r="D707" i="8"/>
  <c r="C707" i="8"/>
  <c r="B707" i="8"/>
  <c r="A707" i="8"/>
  <c r="E706" i="8"/>
  <c r="D706" i="8"/>
  <c r="C706" i="8"/>
  <c r="B706" i="8"/>
  <c r="A706" i="8"/>
  <c r="E705" i="8"/>
  <c r="D705" i="8"/>
  <c r="C705" i="8"/>
  <c r="B705" i="8"/>
  <c r="A705" i="8"/>
  <c r="E704" i="8"/>
  <c r="D704" i="8"/>
  <c r="C704" i="8"/>
  <c r="B704" i="8"/>
  <c r="A704" i="8"/>
  <c r="E703" i="8"/>
  <c r="D703" i="8"/>
  <c r="C703" i="8"/>
  <c r="B703" i="8"/>
  <c r="A703" i="8"/>
  <c r="E702" i="8"/>
  <c r="D702" i="8"/>
  <c r="C702" i="8"/>
  <c r="B702" i="8"/>
  <c r="A702" i="8"/>
  <c r="E701" i="8"/>
  <c r="D701" i="8"/>
  <c r="C701" i="8"/>
  <c r="B701" i="8"/>
  <c r="A701" i="8"/>
  <c r="E700" i="8"/>
  <c r="D700" i="8"/>
  <c r="C700" i="8"/>
  <c r="B700" i="8"/>
  <c r="A700" i="8"/>
  <c r="E699" i="8"/>
  <c r="D699" i="8"/>
  <c r="C699" i="8"/>
  <c r="B699" i="8"/>
  <c r="A699" i="8"/>
  <c r="E698" i="8"/>
  <c r="D698" i="8"/>
  <c r="C698" i="8"/>
  <c r="B698" i="8"/>
  <c r="A698" i="8"/>
  <c r="E697" i="8"/>
  <c r="D697" i="8"/>
  <c r="C697" i="8"/>
  <c r="B697" i="8"/>
  <c r="A697" i="8"/>
  <c r="E696" i="8"/>
  <c r="D696" i="8"/>
  <c r="C696" i="8"/>
  <c r="B696" i="8"/>
  <c r="A696" i="8"/>
  <c r="E695" i="8"/>
  <c r="D695" i="8"/>
  <c r="C695" i="8"/>
  <c r="B695" i="8"/>
  <c r="A695" i="8"/>
  <c r="E694" i="8"/>
  <c r="D694" i="8"/>
  <c r="C694" i="8"/>
  <c r="B694" i="8"/>
  <c r="A694" i="8"/>
  <c r="E693" i="8"/>
  <c r="D693" i="8"/>
  <c r="C693" i="8"/>
  <c r="B693" i="8"/>
  <c r="A693" i="8"/>
  <c r="E692" i="8"/>
  <c r="D692" i="8"/>
  <c r="C692" i="8"/>
  <c r="B692" i="8"/>
  <c r="A692" i="8"/>
  <c r="E691" i="8"/>
  <c r="D691" i="8"/>
  <c r="C691" i="8"/>
  <c r="B691" i="8"/>
  <c r="A691" i="8"/>
  <c r="E690" i="8"/>
  <c r="D690" i="8"/>
  <c r="C690" i="8"/>
  <c r="B690" i="8"/>
  <c r="A690" i="8"/>
  <c r="E689" i="8"/>
  <c r="D689" i="8"/>
  <c r="C689" i="8"/>
  <c r="B689" i="8"/>
  <c r="A689" i="8"/>
  <c r="E688" i="8"/>
  <c r="D688" i="8"/>
  <c r="C688" i="8"/>
  <c r="B688" i="8"/>
  <c r="A688" i="8"/>
  <c r="E687" i="8"/>
  <c r="D687" i="8"/>
  <c r="C687" i="8"/>
  <c r="B687" i="8"/>
  <c r="A687" i="8"/>
  <c r="E686" i="8"/>
  <c r="D686" i="8"/>
  <c r="C686" i="8"/>
  <c r="B686" i="8"/>
  <c r="A686" i="8"/>
  <c r="E685" i="8"/>
  <c r="D685" i="8"/>
  <c r="C685" i="8"/>
  <c r="B685" i="8"/>
  <c r="A685" i="8"/>
  <c r="E684" i="8"/>
  <c r="D684" i="8"/>
  <c r="C684" i="8"/>
  <c r="B684" i="8"/>
  <c r="A684" i="8"/>
  <c r="E683" i="8"/>
  <c r="D683" i="8"/>
  <c r="C683" i="8"/>
  <c r="B683" i="8"/>
  <c r="A683" i="8"/>
  <c r="E682" i="8"/>
  <c r="D682" i="8"/>
  <c r="C682" i="8"/>
  <c r="B682" i="8"/>
  <c r="A682" i="8"/>
  <c r="E681" i="8"/>
  <c r="D681" i="8"/>
  <c r="C681" i="8"/>
  <c r="B681" i="8"/>
  <c r="A681" i="8"/>
  <c r="E680" i="8"/>
  <c r="D680" i="8"/>
  <c r="C680" i="8"/>
  <c r="B680" i="8"/>
  <c r="A680" i="8"/>
  <c r="E679" i="8"/>
  <c r="D679" i="8"/>
  <c r="C679" i="8"/>
  <c r="B679" i="8"/>
  <c r="A679" i="8"/>
  <c r="E678" i="8"/>
  <c r="D678" i="8"/>
  <c r="C678" i="8"/>
  <c r="B678" i="8"/>
  <c r="A678" i="8"/>
  <c r="E677" i="8"/>
  <c r="D677" i="8"/>
  <c r="C677" i="8"/>
  <c r="B677" i="8"/>
  <c r="A677" i="8"/>
  <c r="E676" i="8"/>
  <c r="D676" i="8"/>
  <c r="C676" i="8"/>
  <c r="B676" i="8"/>
  <c r="A676" i="8"/>
  <c r="E675" i="8"/>
  <c r="D675" i="8"/>
  <c r="C675" i="8"/>
  <c r="B675" i="8"/>
  <c r="A675" i="8"/>
  <c r="E674" i="8"/>
  <c r="D674" i="8"/>
  <c r="C674" i="8"/>
  <c r="B674" i="8"/>
  <c r="A674" i="8"/>
  <c r="E673" i="8"/>
  <c r="D673" i="8"/>
  <c r="C673" i="8"/>
  <c r="B673" i="8"/>
  <c r="A673" i="8"/>
  <c r="E672" i="8"/>
  <c r="D672" i="8"/>
  <c r="C672" i="8"/>
  <c r="B672" i="8"/>
  <c r="A672" i="8"/>
  <c r="E671" i="8"/>
  <c r="D671" i="8"/>
  <c r="C671" i="8"/>
  <c r="B671" i="8"/>
  <c r="A671" i="8"/>
  <c r="E670" i="8"/>
  <c r="D670" i="8"/>
  <c r="C670" i="8"/>
  <c r="B670" i="8"/>
  <c r="A670" i="8"/>
  <c r="E669" i="8"/>
  <c r="D669" i="8"/>
  <c r="C669" i="8"/>
  <c r="B669" i="8"/>
  <c r="A669" i="8"/>
  <c r="E668" i="8"/>
  <c r="D668" i="8"/>
  <c r="C668" i="8"/>
  <c r="B668" i="8"/>
  <c r="A668" i="8"/>
  <c r="E667" i="8"/>
  <c r="D667" i="8"/>
  <c r="C667" i="8"/>
  <c r="B667" i="8"/>
  <c r="A667" i="8"/>
  <c r="E666" i="8"/>
  <c r="D666" i="8"/>
  <c r="C666" i="8"/>
  <c r="B666" i="8"/>
  <c r="A666" i="8"/>
  <c r="E665" i="8"/>
  <c r="D665" i="8"/>
  <c r="C665" i="8"/>
  <c r="B665" i="8"/>
  <c r="A665" i="8"/>
  <c r="E664" i="8"/>
  <c r="D664" i="8"/>
  <c r="C664" i="8"/>
  <c r="B664" i="8"/>
  <c r="A664" i="8"/>
  <c r="E663" i="8"/>
  <c r="D663" i="8"/>
  <c r="C663" i="8"/>
  <c r="B663" i="8"/>
  <c r="A663" i="8"/>
  <c r="E662" i="8"/>
  <c r="D662" i="8"/>
  <c r="C662" i="8"/>
  <c r="B662" i="8"/>
  <c r="A662" i="8"/>
  <c r="E661" i="8"/>
  <c r="D661" i="8"/>
  <c r="C661" i="8"/>
  <c r="B661" i="8"/>
  <c r="A661" i="8"/>
  <c r="E660" i="8"/>
  <c r="D660" i="8"/>
  <c r="C660" i="8"/>
  <c r="B660" i="8"/>
  <c r="A660" i="8"/>
  <c r="E659" i="8"/>
  <c r="D659" i="8"/>
  <c r="C659" i="8"/>
  <c r="B659" i="8"/>
  <c r="A659" i="8"/>
  <c r="E658" i="8"/>
  <c r="D658" i="8"/>
  <c r="C658" i="8"/>
  <c r="B658" i="8"/>
  <c r="A658" i="8"/>
  <c r="E657" i="8"/>
  <c r="D657" i="8"/>
  <c r="C657" i="8"/>
  <c r="B657" i="8"/>
  <c r="A657" i="8"/>
  <c r="E656" i="8"/>
  <c r="D656" i="8"/>
  <c r="C656" i="8"/>
  <c r="B656" i="8"/>
  <c r="A656" i="8"/>
  <c r="E655" i="8"/>
  <c r="D655" i="8"/>
  <c r="C655" i="8"/>
  <c r="B655" i="8"/>
  <c r="A655" i="8"/>
  <c r="E654" i="8"/>
  <c r="D654" i="8"/>
  <c r="C654" i="8"/>
  <c r="B654" i="8"/>
  <c r="A654" i="8"/>
  <c r="E653" i="8"/>
  <c r="D653" i="8"/>
  <c r="C653" i="8"/>
  <c r="B653" i="8"/>
  <c r="A653" i="8"/>
  <c r="E652" i="8"/>
  <c r="D652" i="8"/>
  <c r="C652" i="8"/>
  <c r="B652" i="8"/>
  <c r="A652" i="8"/>
  <c r="E651" i="8"/>
  <c r="D651" i="8"/>
  <c r="C651" i="8"/>
  <c r="B651" i="8"/>
  <c r="A651" i="8"/>
  <c r="E650" i="8"/>
  <c r="D650" i="8"/>
  <c r="C650" i="8"/>
  <c r="B650" i="8"/>
  <c r="A650" i="8"/>
  <c r="E649" i="8"/>
  <c r="D649" i="8"/>
  <c r="C649" i="8"/>
  <c r="B649" i="8"/>
  <c r="A649" i="8"/>
  <c r="E648" i="8"/>
  <c r="D648" i="8"/>
  <c r="C648" i="8"/>
  <c r="B648" i="8"/>
  <c r="A648" i="8"/>
  <c r="E647" i="8"/>
  <c r="D647" i="8"/>
  <c r="C647" i="8"/>
  <c r="B647" i="8"/>
  <c r="A647" i="8"/>
  <c r="E646" i="8"/>
  <c r="D646" i="8"/>
  <c r="C646" i="8"/>
  <c r="B646" i="8"/>
  <c r="A646" i="8"/>
  <c r="E645" i="8"/>
  <c r="D645" i="8"/>
  <c r="C645" i="8"/>
  <c r="B645" i="8"/>
  <c r="A645" i="8"/>
  <c r="E644" i="8"/>
  <c r="D644" i="8"/>
  <c r="C644" i="8"/>
  <c r="B644" i="8"/>
  <c r="A644" i="8"/>
  <c r="E643" i="8"/>
  <c r="D643" i="8"/>
  <c r="C643" i="8"/>
  <c r="B643" i="8"/>
  <c r="A643" i="8"/>
  <c r="E642" i="8"/>
  <c r="D642" i="8"/>
  <c r="C642" i="8"/>
  <c r="B642" i="8"/>
  <c r="A642" i="8"/>
  <c r="E641" i="8"/>
  <c r="D641" i="8"/>
  <c r="C641" i="8"/>
  <c r="B641" i="8"/>
  <c r="A641" i="8"/>
  <c r="E640" i="8"/>
  <c r="D640" i="8"/>
  <c r="C640" i="8"/>
  <c r="B640" i="8"/>
  <c r="A640" i="8"/>
  <c r="E639" i="8"/>
  <c r="D639" i="8"/>
  <c r="C639" i="8"/>
  <c r="B639" i="8"/>
  <c r="A639" i="8"/>
  <c r="E638" i="8"/>
  <c r="D638" i="8"/>
  <c r="C638" i="8"/>
  <c r="B638" i="8"/>
  <c r="A638" i="8"/>
  <c r="E637" i="8"/>
  <c r="D637" i="8"/>
  <c r="C637" i="8"/>
  <c r="B637" i="8"/>
  <c r="A637" i="8"/>
  <c r="E636" i="8"/>
  <c r="D636" i="8"/>
  <c r="C636" i="8"/>
  <c r="B636" i="8"/>
  <c r="A636" i="8"/>
  <c r="E635" i="8"/>
  <c r="D635" i="8"/>
  <c r="C635" i="8"/>
  <c r="B635" i="8"/>
  <c r="A635" i="8"/>
  <c r="E634" i="8"/>
  <c r="D634" i="8"/>
  <c r="C634" i="8"/>
  <c r="B634" i="8"/>
  <c r="A634" i="8"/>
  <c r="E633" i="8"/>
  <c r="D633" i="8"/>
  <c r="C633" i="8"/>
  <c r="B633" i="8"/>
  <c r="A633" i="8"/>
  <c r="E632" i="8"/>
  <c r="D632" i="8"/>
  <c r="C632" i="8"/>
  <c r="B632" i="8"/>
  <c r="A632" i="8"/>
  <c r="E631" i="8"/>
  <c r="D631" i="8"/>
  <c r="C631" i="8"/>
  <c r="B631" i="8"/>
  <c r="A631" i="8"/>
  <c r="E630" i="8"/>
  <c r="D630" i="8"/>
  <c r="C630" i="8"/>
  <c r="B630" i="8"/>
  <c r="A630" i="8"/>
  <c r="E629" i="8"/>
  <c r="D629" i="8"/>
  <c r="C629" i="8"/>
  <c r="B629" i="8"/>
  <c r="A629" i="8"/>
  <c r="E628" i="8"/>
  <c r="D628" i="8"/>
  <c r="C628" i="8"/>
  <c r="B628" i="8"/>
  <c r="A628" i="8"/>
  <c r="E627" i="8"/>
  <c r="D627" i="8"/>
  <c r="C627" i="8"/>
  <c r="B627" i="8"/>
  <c r="A627" i="8"/>
  <c r="E626" i="8"/>
  <c r="D626" i="8"/>
  <c r="C626" i="8"/>
  <c r="B626" i="8"/>
  <c r="A626" i="8"/>
  <c r="E625" i="8"/>
  <c r="D625" i="8"/>
  <c r="C625" i="8"/>
  <c r="B625" i="8"/>
  <c r="A625" i="8"/>
  <c r="E624" i="8"/>
  <c r="D624" i="8"/>
  <c r="C624" i="8"/>
  <c r="B624" i="8"/>
  <c r="A624" i="8"/>
  <c r="E623" i="8"/>
  <c r="D623" i="8"/>
  <c r="C623" i="8"/>
  <c r="B623" i="8"/>
  <c r="A623" i="8"/>
  <c r="E622" i="8"/>
  <c r="D622" i="8"/>
  <c r="C622" i="8"/>
  <c r="B622" i="8"/>
  <c r="A622" i="8"/>
  <c r="E621" i="8"/>
  <c r="D621" i="8"/>
  <c r="C621" i="8"/>
  <c r="B621" i="8"/>
  <c r="A621" i="8"/>
  <c r="E620" i="8"/>
  <c r="D620" i="8"/>
  <c r="C620" i="8"/>
  <c r="B620" i="8"/>
  <c r="A620" i="8"/>
  <c r="E619" i="8"/>
  <c r="D619" i="8"/>
  <c r="C619" i="8"/>
  <c r="B619" i="8"/>
  <c r="A619" i="8"/>
  <c r="E618" i="8"/>
  <c r="D618" i="8"/>
  <c r="C618" i="8"/>
  <c r="B618" i="8"/>
  <c r="A618" i="8"/>
  <c r="E617" i="8"/>
  <c r="D617" i="8"/>
  <c r="C617" i="8"/>
  <c r="B617" i="8"/>
  <c r="A617" i="8"/>
  <c r="E616" i="8"/>
  <c r="D616" i="8"/>
  <c r="C616" i="8"/>
  <c r="B616" i="8"/>
  <c r="A616" i="8"/>
  <c r="E615" i="8"/>
  <c r="D615" i="8"/>
  <c r="C615" i="8"/>
  <c r="B615" i="8"/>
  <c r="A615" i="8"/>
  <c r="E614" i="8"/>
  <c r="D614" i="8"/>
  <c r="C614" i="8"/>
  <c r="B614" i="8"/>
  <c r="A614" i="8"/>
  <c r="E613" i="8"/>
  <c r="D613" i="8"/>
  <c r="C613" i="8"/>
  <c r="B613" i="8"/>
  <c r="A613" i="8"/>
  <c r="E612" i="8"/>
  <c r="D612" i="8"/>
  <c r="C612" i="8"/>
  <c r="B612" i="8"/>
  <c r="A612" i="8"/>
  <c r="E611" i="8"/>
  <c r="D611" i="8"/>
  <c r="C611" i="8"/>
  <c r="B611" i="8"/>
  <c r="A611" i="8"/>
  <c r="E610" i="8"/>
  <c r="D610" i="8"/>
  <c r="C610" i="8"/>
  <c r="B610" i="8"/>
  <c r="A610" i="8"/>
  <c r="E609" i="8"/>
  <c r="D609" i="8"/>
  <c r="C609" i="8"/>
  <c r="B609" i="8"/>
  <c r="A609" i="8"/>
  <c r="E608" i="8"/>
  <c r="D608" i="8"/>
  <c r="C608" i="8"/>
  <c r="B608" i="8"/>
  <c r="A608" i="8"/>
  <c r="E607" i="8"/>
  <c r="D607" i="8"/>
  <c r="C607" i="8"/>
  <c r="B607" i="8"/>
  <c r="A607" i="8"/>
  <c r="E606" i="8"/>
  <c r="D606" i="8"/>
  <c r="C606" i="8"/>
  <c r="B606" i="8"/>
  <c r="A606" i="8"/>
  <c r="E605" i="8"/>
  <c r="D605" i="8"/>
  <c r="C605" i="8"/>
  <c r="B605" i="8"/>
  <c r="A605" i="8"/>
  <c r="E604" i="8"/>
  <c r="D604" i="8"/>
  <c r="C604" i="8"/>
  <c r="B604" i="8"/>
  <c r="A604" i="8"/>
  <c r="E603" i="8"/>
  <c r="D603" i="8"/>
  <c r="C603" i="8"/>
  <c r="B603" i="8"/>
  <c r="A603" i="8"/>
  <c r="E602" i="8"/>
  <c r="D602" i="8"/>
  <c r="C602" i="8"/>
  <c r="B602" i="8"/>
  <c r="A602" i="8"/>
  <c r="E601" i="8"/>
  <c r="D601" i="8"/>
  <c r="C601" i="8"/>
  <c r="B601" i="8"/>
  <c r="A601" i="8"/>
  <c r="E600" i="8"/>
  <c r="D600" i="8"/>
  <c r="C600" i="8"/>
  <c r="B600" i="8"/>
  <c r="A600" i="8"/>
  <c r="E599" i="8"/>
  <c r="D599" i="8"/>
  <c r="C599" i="8"/>
  <c r="B599" i="8"/>
  <c r="A599" i="8"/>
  <c r="E598" i="8"/>
  <c r="D598" i="8"/>
  <c r="C598" i="8"/>
  <c r="B598" i="8"/>
  <c r="A598" i="8"/>
  <c r="E597" i="8"/>
  <c r="D597" i="8"/>
  <c r="C597" i="8"/>
  <c r="B597" i="8"/>
  <c r="A597" i="8"/>
  <c r="E596" i="8"/>
  <c r="D596" i="8"/>
  <c r="C596" i="8"/>
  <c r="B596" i="8"/>
  <c r="A596" i="8"/>
  <c r="E595" i="8"/>
  <c r="D595" i="8"/>
  <c r="C595" i="8"/>
  <c r="B595" i="8"/>
  <c r="A595" i="8"/>
  <c r="E594" i="8"/>
  <c r="D594" i="8"/>
  <c r="C594" i="8"/>
  <c r="B594" i="8"/>
  <c r="A594" i="8"/>
  <c r="E593" i="8"/>
  <c r="D593" i="8"/>
  <c r="C593" i="8"/>
  <c r="B593" i="8"/>
  <c r="A593" i="8"/>
  <c r="E592" i="8"/>
  <c r="D592" i="8"/>
  <c r="C592" i="8"/>
  <c r="B592" i="8"/>
  <c r="A592" i="8"/>
  <c r="E591" i="8"/>
  <c r="D591" i="8"/>
  <c r="C591" i="8"/>
  <c r="B591" i="8"/>
  <c r="A591" i="8"/>
  <c r="E590" i="8"/>
  <c r="D590" i="8"/>
  <c r="C590" i="8"/>
  <c r="B590" i="8"/>
  <c r="A590" i="8"/>
  <c r="E589" i="8"/>
  <c r="D589" i="8"/>
  <c r="C589" i="8"/>
  <c r="B589" i="8"/>
  <c r="A589" i="8"/>
  <c r="E588" i="8"/>
  <c r="D588" i="8"/>
  <c r="C588" i="8"/>
  <c r="B588" i="8"/>
  <c r="A588" i="8"/>
  <c r="E587" i="8"/>
  <c r="D587" i="8"/>
  <c r="C587" i="8"/>
  <c r="B587" i="8"/>
  <c r="A587" i="8"/>
  <c r="E586" i="8"/>
  <c r="D586" i="8"/>
  <c r="C586" i="8"/>
  <c r="B586" i="8"/>
  <c r="A586" i="8"/>
  <c r="E585" i="8"/>
  <c r="D585" i="8"/>
  <c r="C585" i="8"/>
  <c r="B585" i="8"/>
  <c r="A585" i="8"/>
  <c r="E584" i="8"/>
  <c r="D584" i="8"/>
  <c r="C584" i="8"/>
  <c r="B584" i="8"/>
  <c r="A584" i="8"/>
  <c r="E583" i="8"/>
  <c r="D583" i="8"/>
  <c r="C583" i="8"/>
  <c r="B583" i="8"/>
  <c r="A583" i="8"/>
  <c r="E582" i="8"/>
  <c r="D582" i="8"/>
  <c r="C582" i="8"/>
  <c r="B582" i="8"/>
  <c r="A582" i="8"/>
  <c r="E581" i="8"/>
  <c r="D581" i="8"/>
  <c r="C581" i="8"/>
  <c r="B581" i="8"/>
  <c r="A581" i="8"/>
  <c r="E580" i="8"/>
  <c r="D580" i="8"/>
  <c r="C580" i="8"/>
  <c r="B580" i="8"/>
  <c r="A580" i="8"/>
  <c r="E579" i="8"/>
  <c r="D579" i="8"/>
  <c r="C579" i="8"/>
  <c r="B579" i="8"/>
  <c r="A579" i="8"/>
  <c r="E578" i="8"/>
  <c r="D578" i="8"/>
  <c r="C578" i="8"/>
  <c r="B578" i="8"/>
  <c r="A578" i="8"/>
  <c r="E577" i="8"/>
  <c r="D577" i="8"/>
  <c r="C577" i="8"/>
  <c r="B577" i="8"/>
  <c r="A577" i="8"/>
  <c r="E576" i="8"/>
  <c r="D576" i="8"/>
  <c r="C576" i="8"/>
  <c r="B576" i="8"/>
  <c r="A576" i="8"/>
  <c r="E575" i="8"/>
  <c r="D575" i="8"/>
  <c r="C575" i="8"/>
  <c r="B575" i="8"/>
  <c r="A575" i="8"/>
  <c r="E574" i="8"/>
  <c r="D574" i="8"/>
  <c r="C574" i="8"/>
  <c r="B574" i="8"/>
  <c r="A574" i="8"/>
  <c r="E573" i="8"/>
  <c r="D573" i="8"/>
  <c r="C573" i="8"/>
  <c r="B573" i="8"/>
  <c r="A573" i="8"/>
  <c r="E572" i="8"/>
  <c r="D572" i="8"/>
  <c r="C572" i="8"/>
  <c r="B572" i="8"/>
  <c r="A572" i="8"/>
  <c r="E571" i="8"/>
  <c r="D571" i="8"/>
  <c r="C571" i="8"/>
  <c r="B571" i="8"/>
  <c r="A571" i="8"/>
  <c r="E570" i="8"/>
  <c r="D570" i="8"/>
  <c r="C570" i="8"/>
  <c r="B570" i="8"/>
  <c r="A570" i="8"/>
  <c r="E569" i="8"/>
  <c r="D569" i="8"/>
  <c r="C569" i="8"/>
  <c r="B569" i="8"/>
  <c r="A569" i="8"/>
  <c r="E568" i="8"/>
  <c r="D568" i="8"/>
  <c r="C568" i="8"/>
  <c r="B568" i="8"/>
  <c r="A568" i="8"/>
  <c r="E567" i="8"/>
  <c r="D567" i="8"/>
  <c r="C567" i="8"/>
  <c r="B567" i="8"/>
  <c r="A567" i="8"/>
  <c r="E566" i="8"/>
  <c r="D566" i="8"/>
  <c r="C566" i="8"/>
  <c r="B566" i="8"/>
  <c r="A566" i="8"/>
  <c r="E565" i="8"/>
  <c r="D565" i="8"/>
  <c r="C565" i="8"/>
  <c r="B565" i="8"/>
  <c r="A565" i="8"/>
  <c r="E564" i="8"/>
  <c r="D564" i="8"/>
  <c r="C564" i="8"/>
  <c r="B564" i="8"/>
  <c r="A564" i="8"/>
  <c r="E563" i="8"/>
  <c r="D563" i="8"/>
  <c r="C563" i="8"/>
  <c r="B563" i="8"/>
  <c r="A563" i="8"/>
  <c r="E562" i="8"/>
  <c r="D562" i="8"/>
  <c r="C562" i="8"/>
  <c r="B562" i="8"/>
  <c r="A562" i="8"/>
  <c r="E561" i="8"/>
  <c r="D561" i="8"/>
  <c r="C561" i="8"/>
  <c r="B561" i="8"/>
  <c r="A561" i="8"/>
  <c r="E560" i="8"/>
  <c r="D560" i="8"/>
  <c r="C560" i="8"/>
  <c r="B560" i="8"/>
  <c r="A560" i="8"/>
  <c r="E559" i="8"/>
  <c r="D559" i="8"/>
  <c r="C559" i="8"/>
  <c r="B559" i="8"/>
  <c r="A559" i="8"/>
  <c r="E558" i="8"/>
  <c r="D558" i="8"/>
  <c r="C558" i="8"/>
  <c r="B558" i="8"/>
  <c r="A558" i="8"/>
  <c r="E557" i="8"/>
  <c r="D557" i="8"/>
  <c r="C557" i="8"/>
  <c r="B557" i="8"/>
  <c r="A557" i="8"/>
  <c r="E556" i="8"/>
  <c r="D556" i="8"/>
  <c r="C556" i="8"/>
  <c r="B556" i="8"/>
  <c r="A556" i="8"/>
  <c r="E555" i="8"/>
  <c r="D555" i="8"/>
  <c r="C555" i="8"/>
  <c r="B555" i="8"/>
  <c r="A555" i="8"/>
  <c r="E554" i="8"/>
  <c r="D554" i="8"/>
  <c r="C554" i="8"/>
  <c r="B554" i="8"/>
  <c r="A554" i="8"/>
  <c r="E553" i="8"/>
  <c r="D553" i="8"/>
  <c r="C553" i="8"/>
  <c r="B553" i="8"/>
  <c r="A553" i="8"/>
  <c r="E552" i="8"/>
  <c r="D552" i="8"/>
  <c r="C552" i="8"/>
  <c r="B552" i="8"/>
  <c r="A552" i="8"/>
  <c r="E551" i="8"/>
  <c r="D551" i="8"/>
  <c r="C551" i="8"/>
  <c r="B551" i="8"/>
  <c r="A551" i="8"/>
  <c r="E550" i="8"/>
  <c r="D550" i="8"/>
  <c r="C550" i="8"/>
  <c r="B550" i="8"/>
  <c r="A550" i="8"/>
  <c r="E549" i="8"/>
  <c r="D549" i="8"/>
  <c r="C549" i="8"/>
  <c r="B549" i="8"/>
  <c r="A549" i="8"/>
  <c r="E548" i="8"/>
  <c r="D548" i="8"/>
  <c r="C548" i="8"/>
  <c r="B548" i="8"/>
  <c r="A548" i="8"/>
  <c r="E547" i="8"/>
  <c r="D547" i="8"/>
  <c r="C547" i="8"/>
  <c r="B547" i="8"/>
  <c r="A547" i="8"/>
  <c r="E546" i="8"/>
  <c r="D546" i="8"/>
  <c r="C546" i="8"/>
  <c r="B546" i="8"/>
  <c r="A546" i="8"/>
  <c r="E545" i="8"/>
  <c r="D545" i="8"/>
  <c r="C545" i="8"/>
  <c r="B545" i="8"/>
  <c r="A545" i="8"/>
  <c r="E544" i="8"/>
  <c r="D544" i="8"/>
  <c r="C544" i="8"/>
  <c r="B544" i="8"/>
  <c r="A544" i="8"/>
  <c r="E543" i="8"/>
  <c r="D543" i="8"/>
  <c r="C543" i="8"/>
  <c r="B543" i="8"/>
  <c r="A543" i="8"/>
  <c r="E542" i="8"/>
  <c r="D542" i="8"/>
  <c r="C542" i="8"/>
  <c r="B542" i="8"/>
  <c r="A542" i="8"/>
  <c r="E541" i="8"/>
  <c r="D541" i="8"/>
  <c r="C541" i="8"/>
  <c r="B541" i="8"/>
  <c r="A541" i="8"/>
  <c r="E540" i="8"/>
  <c r="D540" i="8"/>
  <c r="C540" i="8"/>
  <c r="B540" i="8"/>
  <c r="A540" i="8"/>
  <c r="E539" i="8"/>
  <c r="D539" i="8"/>
  <c r="C539" i="8"/>
  <c r="B539" i="8"/>
  <c r="A539" i="8"/>
  <c r="E538" i="8"/>
  <c r="D538" i="8"/>
  <c r="C538" i="8"/>
  <c r="B538" i="8"/>
  <c r="A538" i="8"/>
  <c r="E537" i="8"/>
  <c r="D537" i="8"/>
  <c r="C537" i="8"/>
  <c r="B537" i="8"/>
  <c r="A537" i="8"/>
  <c r="G536" i="8"/>
  <c r="E536" i="8"/>
  <c r="D536" i="8"/>
  <c r="C536" i="8"/>
  <c r="B536" i="8"/>
  <c r="A536" i="8"/>
  <c r="E535" i="8"/>
  <c r="D535" i="8"/>
  <c r="C535" i="8"/>
  <c r="B535" i="8"/>
  <c r="A535" i="8"/>
  <c r="E534" i="8"/>
  <c r="D534" i="8"/>
  <c r="C534" i="8"/>
  <c r="B534" i="8"/>
  <c r="A534" i="8"/>
  <c r="E533" i="8"/>
  <c r="D533" i="8"/>
  <c r="C533" i="8"/>
  <c r="B533" i="8"/>
  <c r="A533" i="8"/>
  <c r="E532" i="8"/>
  <c r="D532" i="8"/>
  <c r="C532" i="8"/>
  <c r="B532" i="8"/>
  <c r="A532" i="8"/>
  <c r="E531" i="8"/>
  <c r="D531" i="8"/>
  <c r="C531" i="8"/>
  <c r="B531" i="8"/>
  <c r="A531" i="8"/>
  <c r="E530" i="8"/>
  <c r="D530" i="8"/>
  <c r="C530" i="8"/>
  <c r="B530" i="8"/>
  <c r="A530" i="8"/>
  <c r="E529" i="8"/>
  <c r="D529" i="8"/>
  <c r="C529" i="8"/>
  <c r="B529" i="8"/>
  <c r="A529" i="8"/>
  <c r="E528" i="8"/>
  <c r="D528" i="8"/>
  <c r="C528" i="8"/>
  <c r="B528" i="8"/>
  <c r="A528" i="8"/>
  <c r="E527" i="8"/>
  <c r="D527" i="8"/>
  <c r="C527" i="8"/>
  <c r="B527" i="8"/>
  <c r="A527" i="8"/>
  <c r="E526" i="8"/>
  <c r="D526" i="8"/>
  <c r="C526" i="8"/>
  <c r="B526" i="8"/>
  <c r="A526" i="8"/>
  <c r="E525" i="8"/>
  <c r="D525" i="8"/>
  <c r="C525" i="8"/>
  <c r="B525" i="8"/>
  <c r="A525" i="8"/>
  <c r="E524" i="8"/>
  <c r="D524" i="8"/>
  <c r="C524" i="8"/>
  <c r="B524" i="8"/>
  <c r="A524" i="8"/>
  <c r="E523" i="8"/>
  <c r="D523" i="8"/>
  <c r="C523" i="8"/>
  <c r="B523" i="8"/>
  <c r="A523" i="8"/>
  <c r="E522" i="8"/>
  <c r="D522" i="8"/>
  <c r="C522" i="8"/>
  <c r="B522" i="8"/>
  <c r="A522" i="8"/>
  <c r="E521" i="8"/>
  <c r="D521" i="8"/>
  <c r="C521" i="8"/>
  <c r="B521" i="8"/>
  <c r="A521" i="8"/>
  <c r="E520" i="8"/>
  <c r="D520" i="8"/>
  <c r="C520" i="8"/>
  <c r="B520" i="8"/>
  <c r="A520" i="8"/>
  <c r="E519" i="8"/>
  <c r="D519" i="8"/>
  <c r="C519" i="8"/>
  <c r="B519" i="8"/>
  <c r="A519" i="8"/>
  <c r="E518" i="8"/>
  <c r="D518" i="8"/>
  <c r="C518" i="8"/>
  <c r="B518" i="8"/>
  <c r="A518" i="8"/>
  <c r="E517" i="8"/>
  <c r="D517" i="8"/>
  <c r="C517" i="8"/>
  <c r="B517" i="8"/>
  <c r="A517" i="8"/>
  <c r="E516" i="8"/>
  <c r="D516" i="8"/>
  <c r="C516" i="8"/>
  <c r="B516" i="8"/>
  <c r="A516" i="8"/>
  <c r="E515" i="8"/>
  <c r="D515" i="8"/>
  <c r="C515" i="8"/>
  <c r="B515" i="8"/>
  <c r="A515" i="8"/>
  <c r="E514" i="8"/>
  <c r="D514" i="8"/>
  <c r="C514" i="8"/>
  <c r="B514" i="8"/>
  <c r="A514" i="8"/>
  <c r="E513" i="8"/>
  <c r="D513" i="8"/>
  <c r="C513" i="8"/>
  <c r="B513" i="8"/>
  <c r="A513" i="8"/>
  <c r="E512" i="8"/>
  <c r="D512" i="8"/>
  <c r="C512" i="8"/>
  <c r="B512" i="8"/>
  <c r="A512" i="8"/>
  <c r="E511" i="8"/>
  <c r="D511" i="8"/>
  <c r="C511" i="8"/>
  <c r="B511" i="8"/>
  <c r="A511" i="8"/>
  <c r="E510" i="8"/>
  <c r="D510" i="8"/>
  <c r="C510" i="8"/>
  <c r="B510" i="8"/>
  <c r="A510" i="8"/>
  <c r="E509" i="8"/>
  <c r="D509" i="8"/>
  <c r="C509" i="8"/>
  <c r="B509" i="8"/>
  <c r="A509" i="8"/>
  <c r="E508" i="8"/>
  <c r="D508" i="8"/>
  <c r="C508" i="8"/>
  <c r="B508" i="8"/>
  <c r="A508" i="8"/>
  <c r="E507" i="8"/>
  <c r="D507" i="8"/>
  <c r="C507" i="8"/>
  <c r="B507" i="8"/>
  <c r="A507" i="8"/>
  <c r="E506" i="8"/>
  <c r="D506" i="8"/>
  <c r="C506" i="8"/>
  <c r="B506" i="8"/>
  <c r="A506" i="8"/>
  <c r="E505" i="8"/>
  <c r="D505" i="8"/>
  <c r="C505" i="8"/>
  <c r="B505" i="8"/>
  <c r="A505" i="8"/>
  <c r="E504" i="8"/>
  <c r="D504" i="8"/>
  <c r="C504" i="8"/>
  <c r="B504" i="8"/>
  <c r="A504" i="8"/>
  <c r="E503" i="8"/>
  <c r="D503" i="8"/>
  <c r="C503" i="8"/>
  <c r="B503" i="8"/>
  <c r="A503" i="8"/>
  <c r="E502" i="8"/>
  <c r="D502" i="8"/>
  <c r="C502" i="8"/>
  <c r="B502" i="8"/>
  <c r="A502" i="8"/>
  <c r="G501" i="8"/>
  <c r="E501" i="8"/>
  <c r="D501" i="8"/>
  <c r="C501" i="8"/>
  <c r="B501" i="8"/>
  <c r="A501" i="8"/>
  <c r="E500" i="8"/>
  <c r="D500" i="8"/>
  <c r="C500" i="8"/>
  <c r="B500" i="8"/>
  <c r="A500" i="8"/>
  <c r="E499" i="8"/>
  <c r="D499" i="8"/>
  <c r="C499" i="8"/>
  <c r="B499" i="8"/>
  <c r="A499" i="8"/>
  <c r="E498" i="8"/>
  <c r="D498" i="8"/>
  <c r="C498" i="8"/>
  <c r="B498" i="8"/>
  <c r="A498" i="8"/>
  <c r="E497" i="8"/>
  <c r="D497" i="8"/>
  <c r="C497" i="8"/>
  <c r="B497" i="8"/>
  <c r="A497" i="8"/>
  <c r="E496" i="8"/>
  <c r="D496" i="8"/>
  <c r="C496" i="8"/>
  <c r="B496" i="8"/>
  <c r="A496" i="8"/>
  <c r="E495" i="8"/>
  <c r="D495" i="8"/>
  <c r="C495" i="8"/>
  <c r="B495" i="8"/>
  <c r="A495" i="8"/>
  <c r="E494" i="8"/>
  <c r="D494" i="8"/>
  <c r="C494" i="8"/>
  <c r="B494" i="8"/>
  <c r="A494" i="8"/>
  <c r="E493" i="8"/>
  <c r="D493" i="8"/>
  <c r="C493" i="8"/>
  <c r="B493" i="8"/>
  <c r="A493" i="8"/>
  <c r="E492" i="8"/>
  <c r="D492" i="8"/>
  <c r="C492" i="8"/>
  <c r="B492" i="8"/>
  <c r="A492" i="8"/>
  <c r="E491" i="8"/>
  <c r="D491" i="8"/>
  <c r="C491" i="8"/>
  <c r="B491" i="8"/>
  <c r="A491" i="8"/>
  <c r="E490" i="8"/>
  <c r="D490" i="8"/>
  <c r="C490" i="8"/>
  <c r="B490" i="8"/>
  <c r="A490" i="8"/>
  <c r="E489" i="8"/>
  <c r="D489" i="8"/>
  <c r="C489" i="8"/>
  <c r="B489" i="8"/>
  <c r="A489" i="8"/>
  <c r="E488" i="8"/>
  <c r="D488" i="8"/>
  <c r="C488" i="8"/>
  <c r="B488" i="8"/>
  <c r="A488" i="8"/>
  <c r="E487" i="8"/>
  <c r="D487" i="8"/>
  <c r="C487" i="8"/>
  <c r="B487" i="8"/>
  <c r="A487" i="8"/>
  <c r="E486" i="8"/>
  <c r="D486" i="8"/>
  <c r="C486" i="8"/>
  <c r="B486" i="8"/>
  <c r="A486" i="8"/>
  <c r="E485" i="8"/>
  <c r="D485" i="8"/>
  <c r="C485" i="8"/>
  <c r="B485" i="8"/>
  <c r="A485" i="8"/>
  <c r="G484" i="8"/>
  <c r="E484" i="8"/>
  <c r="D484" i="8"/>
  <c r="C484" i="8"/>
  <c r="B484" i="8"/>
  <c r="A484" i="8"/>
  <c r="E483" i="8"/>
  <c r="D483" i="8"/>
  <c r="C483" i="8"/>
  <c r="B483" i="8"/>
  <c r="A483" i="8"/>
  <c r="E482" i="8"/>
  <c r="D482" i="8"/>
  <c r="C482" i="8"/>
  <c r="B482" i="8"/>
  <c r="A482" i="8"/>
  <c r="E481" i="8"/>
  <c r="D481" i="8"/>
  <c r="C481" i="8"/>
  <c r="B481" i="8"/>
  <c r="A481" i="8"/>
  <c r="E480" i="8"/>
  <c r="D480" i="8"/>
  <c r="C480" i="8"/>
  <c r="B480" i="8"/>
  <c r="A480" i="8"/>
  <c r="E479" i="8"/>
  <c r="D479" i="8"/>
  <c r="C479" i="8"/>
  <c r="B479" i="8"/>
  <c r="A479" i="8"/>
  <c r="E478" i="8"/>
  <c r="D478" i="8"/>
  <c r="C478" i="8"/>
  <c r="B478" i="8"/>
  <c r="A478" i="8"/>
  <c r="E477" i="8"/>
  <c r="D477" i="8"/>
  <c r="C477" i="8"/>
  <c r="B477" i="8"/>
  <c r="A477" i="8"/>
  <c r="E476" i="8"/>
  <c r="D476" i="8"/>
  <c r="C476" i="8"/>
  <c r="B476" i="8"/>
  <c r="A476" i="8"/>
  <c r="E475" i="8"/>
  <c r="D475" i="8"/>
  <c r="C475" i="8"/>
  <c r="B475" i="8"/>
  <c r="A475" i="8"/>
  <c r="E474" i="8"/>
  <c r="D474" i="8"/>
  <c r="C474" i="8"/>
  <c r="B474" i="8"/>
  <c r="A474" i="8"/>
  <c r="E473" i="8"/>
  <c r="D473" i="8"/>
  <c r="C473" i="8"/>
  <c r="B473" i="8"/>
  <c r="A473" i="8"/>
  <c r="E472" i="8"/>
  <c r="D472" i="8"/>
  <c r="C472" i="8"/>
  <c r="B472" i="8"/>
  <c r="A472" i="8"/>
  <c r="E471" i="8"/>
  <c r="D471" i="8"/>
  <c r="C471" i="8"/>
  <c r="B471" i="8"/>
  <c r="A471" i="8"/>
  <c r="E470" i="8"/>
  <c r="D470" i="8"/>
  <c r="C470" i="8"/>
  <c r="B470" i="8"/>
  <c r="A470" i="8"/>
  <c r="E469" i="8"/>
  <c r="D469" i="8"/>
  <c r="C469" i="8"/>
  <c r="B469" i="8"/>
  <c r="A469" i="8"/>
  <c r="E468" i="8"/>
  <c r="D468" i="8"/>
  <c r="C468" i="8"/>
  <c r="B468" i="8"/>
  <c r="A468" i="8"/>
  <c r="E467" i="8"/>
  <c r="D467" i="8"/>
  <c r="C467" i="8"/>
  <c r="B467" i="8"/>
  <c r="A467" i="8"/>
  <c r="E466" i="8"/>
  <c r="D466" i="8"/>
  <c r="C466" i="8"/>
  <c r="B466" i="8"/>
  <c r="A466" i="8"/>
  <c r="E465" i="8"/>
  <c r="D465" i="8"/>
  <c r="C465" i="8"/>
  <c r="B465" i="8"/>
  <c r="A465" i="8"/>
  <c r="E464" i="8"/>
  <c r="D464" i="8"/>
  <c r="C464" i="8"/>
  <c r="B464" i="8"/>
  <c r="A464" i="8"/>
  <c r="E463" i="8"/>
  <c r="D463" i="8"/>
  <c r="C463" i="8"/>
  <c r="B463" i="8"/>
  <c r="A463" i="8"/>
  <c r="E462" i="8"/>
  <c r="D462" i="8"/>
  <c r="C462" i="8"/>
  <c r="B462" i="8"/>
  <c r="A462" i="8"/>
  <c r="E461" i="8"/>
  <c r="D461" i="8"/>
  <c r="C461" i="8"/>
  <c r="B461" i="8"/>
  <c r="A461" i="8"/>
  <c r="E460" i="8"/>
  <c r="D460" i="8"/>
  <c r="C460" i="8"/>
  <c r="B460" i="8"/>
  <c r="A460" i="8"/>
  <c r="E459" i="8"/>
  <c r="D459" i="8"/>
  <c r="C459" i="8"/>
  <c r="B459" i="8"/>
  <c r="A459" i="8"/>
  <c r="E458" i="8"/>
  <c r="D458" i="8"/>
  <c r="C458" i="8"/>
  <c r="B458" i="8"/>
  <c r="A458" i="8"/>
  <c r="E457" i="8"/>
  <c r="D457" i="8"/>
  <c r="C457" i="8"/>
  <c r="B457" i="8"/>
  <c r="A457" i="8"/>
  <c r="E456" i="8"/>
  <c r="D456" i="8"/>
  <c r="C456" i="8"/>
  <c r="B456" i="8"/>
  <c r="A456" i="8"/>
  <c r="E455" i="8"/>
  <c r="D455" i="8"/>
  <c r="C455" i="8"/>
  <c r="B455" i="8"/>
  <c r="A455" i="8"/>
  <c r="E454" i="8"/>
  <c r="D454" i="8"/>
  <c r="C454" i="8"/>
  <c r="B454" i="8"/>
  <c r="A454" i="8"/>
  <c r="E453" i="8"/>
  <c r="D453" i="8"/>
  <c r="C453" i="8"/>
  <c r="B453" i="8"/>
  <c r="A453" i="8"/>
  <c r="E452" i="8"/>
  <c r="D452" i="8"/>
  <c r="C452" i="8"/>
  <c r="B452" i="8"/>
  <c r="A452" i="8"/>
  <c r="E451" i="8"/>
  <c r="D451" i="8"/>
  <c r="C451" i="8"/>
  <c r="B451" i="8"/>
  <c r="A451" i="8"/>
  <c r="E450" i="8"/>
  <c r="D450" i="8"/>
  <c r="C450" i="8"/>
  <c r="B450" i="8"/>
  <c r="A450" i="8"/>
  <c r="E449" i="8"/>
  <c r="D449" i="8"/>
  <c r="C449" i="8"/>
  <c r="B449" i="8"/>
  <c r="A449" i="8"/>
  <c r="E448" i="8"/>
  <c r="D448" i="8"/>
  <c r="C448" i="8"/>
  <c r="B448" i="8"/>
  <c r="A448" i="8"/>
  <c r="E447" i="8"/>
  <c r="D447" i="8"/>
  <c r="C447" i="8"/>
  <c r="B447" i="8"/>
  <c r="A447" i="8"/>
  <c r="E446" i="8"/>
  <c r="D446" i="8"/>
  <c r="C446" i="8"/>
  <c r="B446" i="8"/>
  <c r="A446" i="8"/>
  <c r="E445" i="8"/>
  <c r="D445" i="8"/>
  <c r="C445" i="8"/>
  <c r="B445" i="8"/>
  <c r="A445" i="8"/>
  <c r="E444" i="8"/>
  <c r="D444" i="8"/>
  <c r="C444" i="8"/>
  <c r="B444" i="8"/>
  <c r="A444" i="8"/>
  <c r="E443" i="8"/>
  <c r="D443" i="8"/>
  <c r="C443" i="8"/>
  <c r="B443" i="8"/>
  <c r="A443" i="8"/>
  <c r="E442" i="8"/>
  <c r="D442" i="8"/>
  <c r="C442" i="8"/>
  <c r="B442" i="8"/>
  <c r="A442" i="8"/>
  <c r="E441" i="8"/>
  <c r="D441" i="8"/>
  <c r="C441" i="8"/>
  <c r="B441" i="8"/>
  <c r="A441" i="8"/>
  <c r="E440" i="8"/>
  <c r="D440" i="8"/>
  <c r="C440" i="8"/>
  <c r="B440" i="8"/>
  <c r="A440" i="8"/>
  <c r="E439" i="8"/>
  <c r="D439" i="8"/>
  <c r="C439" i="8"/>
  <c r="B439" i="8"/>
  <c r="A439" i="8"/>
  <c r="E438" i="8"/>
  <c r="D438" i="8"/>
  <c r="C438" i="8"/>
  <c r="B438" i="8"/>
  <c r="A438" i="8"/>
  <c r="E437" i="8"/>
  <c r="D437" i="8"/>
  <c r="C437" i="8"/>
  <c r="B437" i="8"/>
  <c r="A437" i="8"/>
  <c r="E436" i="8"/>
  <c r="D436" i="8"/>
  <c r="C436" i="8"/>
  <c r="B436" i="8"/>
  <c r="A436" i="8"/>
  <c r="E435" i="8"/>
  <c r="D435" i="8"/>
  <c r="C435" i="8"/>
  <c r="B435" i="8"/>
  <c r="A435" i="8"/>
  <c r="E434" i="8"/>
  <c r="D434" i="8"/>
  <c r="C434" i="8"/>
  <c r="B434" i="8"/>
  <c r="A434" i="8"/>
  <c r="E433" i="8"/>
  <c r="D433" i="8"/>
  <c r="C433" i="8"/>
  <c r="B433" i="8"/>
  <c r="A433" i="8"/>
  <c r="E432" i="8"/>
  <c r="D432" i="8"/>
  <c r="C432" i="8"/>
  <c r="B432" i="8"/>
  <c r="A432" i="8"/>
  <c r="E431" i="8"/>
  <c r="D431" i="8"/>
  <c r="C431" i="8"/>
  <c r="B431" i="8"/>
  <c r="A431" i="8"/>
  <c r="E430" i="8"/>
  <c r="D430" i="8"/>
  <c r="C430" i="8"/>
  <c r="B430" i="8"/>
  <c r="A430" i="8"/>
  <c r="E429" i="8"/>
  <c r="D429" i="8"/>
  <c r="C429" i="8"/>
  <c r="B429" i="8"/>
  <c r="A429" i="8"/>
  <c r="E428" i="8"/>
  <c r="D428" i="8"/>
  <c r="C428" i="8"/>
  <c r="B428" i="8"/>
  <c r="A428" i="8"/>
  <c r="G427" i="8"/>
  <c r="E427" i="8"/>
  <c r="D427" i="8"/>
  <c r="C427" i="8"/>
  <c r="B427" i="8"/>
  <c r="A427" i="8"/>
  <c r="E426" i="8"/>
  <c r="D426" i="8"/>
  <c r="C426" i="8"/>
  <c r="B426" i="8"/>
  <c r="A426" i="8"/>
  <c r="E425" i="8"/>
  <c r="D425" i="8"/>
  <c r="C425" i="8"/>
  <c r="B425" i="8"/>
  <c r="A425" i="8"/>
  <c r="E424" i="8"/>
  <c r="D424" i="8"/>
  <c r="C424" i="8"/>
  <c r="B424" i="8"/>
  <c r="A424" i="8"/>
  <c r="E423" i="8"/>
  <c r="D423" i="8"/>
  <c r="C423" i="8"/>
  <c r="B423" i="8"/>
  <c r="A423" i="8"/>
  <c r="E422" i="8"/>
  <c r="D422" i="8"/>
  <c r="C422" i="8"/>
  <c r="B422" i="8"/>
  <c r="A422" i="8"/>
  <c r="E421" i="8"/>
  <c r="D421" i="8"/>
  <c r="C421" i="8"/>
  <c r="B421" i="8"/>
  <c r="A421" i="8"/>
  <c r="E420" i="8"/>
  <c r="D420" i="8"/>
  <c r="C420" i="8"/>
  <c r="B420" i="8"/>
  <c r="A420" i="8"/>
  <c r="G419" i="8"/>
  <c r="E419" i="8"/>
  <c r="D419" i="8"/>
  <c r="C419" i="8"/>
  <c r="B419" i="8"/>
  <c r="A419" i="8"/>
  <c r="E418" i="8"/>
  <c r="D418" i="8"/>
  <c r="C418" i="8"/>
  <c r="B418" i="8"/>
  <c r="A418" i="8"/>
  <c r="E417" i="8"/>
  <c r="D417" i="8"/>
  <c r="C417" i="8"/>
  <c r="B417" i="8"/>
  <c r="A417" i="8"/>
  <c r="E416" i="8"/>
  <c r="D416" i="8"/>
  <c r="C416" i="8"/>
  <c r="B416" i="8"/>
  <c r="A416" i="8"/>
  <c r="E415" i="8"/>
  <c r="D415" i="8"/>
  <c r="C415" i="8"/>
  <c r="B415" i="8"/>
  <c r="A415" i="8"/>
  <c r="E414" i="8"/>
  <c r="D414" i="8"/>
  <c r="C414" i="8"/>
  <c r="B414" i="8"/>
  <c r="A414" i="8"/>
  <c r="E413" i="8"/>
  <c r="D413" i="8"/>
  <c r="C413" i="8"/>
  <c r="B413" i="8"/>
  <c r="A413" i="8"/>
  <c r="E412" i="8"/>
  <c r="D412" i="8"/>
  <c r="C412" i="8"/>
  <c r="B412" i="8"/>
  <c r="A412" i="8"/>
  <c r="E411" i="8"/>
  <c r="D411" i="8"/>
  <c r="C411" i="8"/>
  <c r="B411" i="8"/>
  <c r="A411" i="8"/>
  <c r="E410" i="8"/>
  <c r="D410" i="8"/>
  <c r="C410" i="8"/>
  <c r="B410" i="8"/>
  <c r="A410" i="8"/>
  <c r="E409" i="8"/>
  <c r="D409" i="8"/>
  <c r="C409" i="8"/>
  <c r="B409" i="8"/>
  <c r="A409" i="8"/>
  <c r="E408" i="8"/>
  <c r="D408" i="8"/>
  <c r="C408" i="8"/>
  <c r="B408" i="8"/>
  <c r="A408" i="8"/>
  <c r="E407" i="8"/>
  <c r="D407" i="8"/>
  <c r="C407" i="8"/>
  <c r="B407" i="8"/>
  <c r="A407" i="8"/>
  <c r="E406" i="8"/>
  <c r="D406" i="8"/>
  <c r="C406" i="8"/>
  <c r="B406" i="8"/>
  <c r="A406" i="8"/>
  <c r="E405" i="8"/>
  <c r="D405" i="8"/>
  <c r="C405" i="8"/>
  <c r="B405" i="8"/>
  <c r="A405" i="8"/>
  <c r="E404" i="8"/>
  <c r="D404" i="8"/>
  <c r="C404" i="8"/>
  <c r="B404" i="8"/>
  <c r="A404" i="8"/>
  <c r="E403" i="8"/>
  <c r="D403" i="8"/>
  <c r="C403" i="8"/>
  <c r="B403" i="8"/>
  <c r="A403" i="8"/>
  <c r="E402" i="8"/>
  <c r="D402" i="8"/>
  <c r="C402" i="8"/>
  <c r="B402" i="8"/>
  <c r="A402" i="8"/>
  <c r="E401" i="8"/>
  <c r="D401" i="8"/>
  <c r="C401" i="8"/>
  <c r="B401" i="8"/>
  <c r="A401" i="8"/>
  <c r="E400" i="8"/>
  <c r="D400" i="8"/>
  <c r="C400" i="8"/>
  <c r="B400" i="8"/>
  <c r="A400" i="8"/>
  <c r="E399" i="8"/>
  <c r="D399" i="8"/>
  <c r="C399" i="8"/>
  <c r="B399" i="8"/>
  <c r="A399" i="8"/>
  <c r="E398" i="8"/>
  <c r="D398" i="8"/>
  <c r="C398" i="8"/>
  <c r="B398" i="8"/>
  <c r="A398" i="8"/>
  <c r="E397" i="8"/>
  <c r="D397" i="8"/>
  <c r="C397" i="8"/>
  <c r="B397" i="8"/>
  <c r="A397" i="8"/>
  <c r="E396" i="8"/>
  <c r="D396" i="8"/>
  <c r="C396" i="8"/>
  <c r="B396" i="8"/>
  <c r="A396" i="8"/>
  <c r="E395" i="8"/>
  <c r="D395" i="8"/>
  <c r="C395" i="8"/>
  <c r="B395" i="8"/>
  <c r="A395" i="8"/>
  <c r="E394" i="8"/>
  <c r="D394" i="8"/>
  <c r="C394" i="8"/>
  <c r="B394" i="8"/>
  <c r="A394" i="8"/>
  <c r="E393" i="8"/>
  <c r="D393" i="8"/>
  <c r="C393" i="8"/>
  <c r="B393" i="8"/>
  <c r="A393" i="8"/>
  <c r="E392" i="8"/>
  <c r="D392" i="8"/>
  <c r="C392" i="8"/>
  <c r="B392" i="8"/>
  <c r="A392" i="8"/>
  <c r="E391" i="8"/>
  <c r="D391" i="8"/>
  <c r="C391" i="8"/>
  <c r="B391" i="8"/>
  <c r="A391" i="8"/>
  <c r="E390" i="8"/>
  <c r="D390" i="8"/>
  <c r="C390" i="8"/>
  <c r="B390" i="8"/>
  <c r="A390" i="8"/>
  <c r="E389" i="8"/>
  <c r="D389" i="8"/>
  <c r="C389" i="8"/>
  <c r="B389" i="8"/>
  <c r="A389" i="8"/>
  <c r="E388" i="8"/>
  <c r="D388" i="8"/>
  <c r="C388" i="8"/>
  <c r="B388" i="8"/>
  <c r="A388" i="8"/>
  <c r="E387" i="8"/>
  <c r="D387" i="8"/>
  <c r="C387" i="8"/>
  <c r="B387" i="8"/>
  <c r="A387" i="8"/>
  <c r="E386" i="8"/>
  <c r="D386" i="8"/>
  <c r="C386" i="8"/>
  <c r="B386" i="8"/>
  <c r="A386" i="8"/>
  <c r="E385" i="8"/>
  <c r="D385" i="8"/>
  <c r="C385" i="8"/>
  <c r="B385" i="8"/>
  <c r="A385" i="8"/>
  <c r="E384" i="8"/>
  <c r="D384" i="8"/>
  <c r="C384" i="8"/>
  <c r="B384" i="8"/>
  <c r="A384" i="8"/>
  <c r="E383" i="8"/>
  <c r="D383" i="8"/>
  <c r="C383" i="8"/>
  <c r="B383" i="8"/>
  <c r="A383" i="8"/>
  <c r="E382" i="8"/>
  <c r="D382" i="8"/>
  <c r="C382" i="8"/>
  <c r="B382" i="8"/>
  <c r="A382" i="8"/>
  <c r="E381" i="8"/>
  <c r="D381" i="8"/>
  <c r="C381" i="8"/>
  <c r="B381" i="8"/>
  <c r="A381" i="8"/>
  <c r="E380" i="8"/>
  <c r="D380" i="8"/>
  <c r="C380" i="8"/>
  <c r="B380" i="8"/>
  <c r="A380" i="8"/>
  <c r="E379" i="8"/>
  <c r="D379" i="8"/>
  <c r="C379" i="8"/>
  <c r="B379" i="8"/>
  <c r="A379" i="8"/>
  <c r="E378" i="8"/>
  <c r="D378" i="8"/>
  <c r="C378" i="8"/>
  <c r="B378" i="8"/>
  <c r="A378" i="8"/>
  <c r="E377" i="8"/>
  <c r="D377" i="8"/>
  <c r="C377" i="8"/>
  <c r="B377" i="8"/>
  <c r="A377" i="8"/>
  <c r="E376" i="8"/>
  <c r="D376" i="8"/>
  <c r="C376" i="8"/>
  <c r="B376" i="8"/>
  <c r="A376" i="8"/>
  <c r="E375" i="8"/>
  <c r="D375" i="8"/>
  <c r="C375" i="8"/>
  <c r="B375" i="8"/>
  <c r="A375" i="8"/>
  <c r="E374" i="8"/>
  <c r="D374" i="8"/>
  <c r="C374" i="8"/>
  <c r="B374" i="8"/>
  <c r="A374" i="8"/>
  <c r="G373" i="8"/>
  <c r="E373" i="8"/>
  <c r="D373" i="8"/>
  <c r="C373" i="8"/>
  <c r="B373" i="8"/>
  <c r="A373" i="8"/>
  <c r="E372" i="8"/>
  <c r="D372" i="8"/>
  <c r="C372" i="8"/>
  <c r="B372" i="8"/>
  <c r="A372" i="8"/>
  <c r="E371" i="8"/>
  <c r="D371" i="8"/>
  <c r="C371" i="8"/>
  <c r="B371" i="8"/>
  <c r="A371" i="8"/>
  <c r="E370" i="8"/>
  <c r="D370" i="8"/>
  <c r="C370" i="8"/>
  <c r="B370" i="8"/>
  <c r="A370" i="8"/>
  <c r="E369" i="8"/>
  <c r="D369" i="8"/>
  <c r="C369" i="8"/>
  <c r="B369" i="8"/>
  <c r="A369" i="8"/>
  <c r="E368" i="8"/>
  <c r="D368" i="8"/>
  <c r="C368" i="8"/>
  <c r="B368" i="8"/>
  <c r="A368" i="8"/>
  <c r="E367" i="8"/>
  <c r="D367" i="8"/>
  <c r="C367" i="8"/>
  <c r="B367" i="8"/>
  <c r="A367" i="8"/>
  <c r="E366" i="8"/>
  <c r="D366" i="8"/>
  <c r="C366" i="8"/>
  <c r="B366" i="8"/>
  <c r="A366" i="8"/>
  <c r="E365" i="8"/>
  <c r="D365" i="8"/>
  <c r="C365" i="8"/>
  <c r="B365" i="8"/>
  <c r="A365" i="8"/>
  <c r="E364" i="8"/>
  <c r="D364" i="8"/>
  <c r="C364" i="8"/>
  <c r="B364" i="8"/>
  <c r="A364" i="8"/>
  <c r="E363" i="8"/>
  <c r="D363" i="8"/>
  <c r="C363" i="8"/>
  <c r="B363" i="8"/>
  <c r="A363" i="8"/>
  <c r="E362" i="8"/>
  <c r="D362" i="8"/>
  <c r="C362" i="8"/>
  <c r="B362" i="8"/>
  <c r="A362" i="8"/>
  <c r="E361" i="8"/>
  <c r="D361" i="8"/>
  <c r="C361" i="8"/>
  <c r="B361" i="8"/>
  <c r="A361" i="8"/>
  <c r="E360" i="8"/>
  <c r="D360" i="8"/>
  <c r="C360" i="8"/>
  <c r="B360" i="8"/>
  <c r="A360" i="8"/>
  <c r="E359" i="8"/>
  <c r="D359" i="8"/>
  <c r="C359" i="8"/>
  <c r="B359" i="8"/>
  <c r="A359" i="8"/>
  <c r="E358" i="8"/>
  <c r="D358" i="8"/>
  <c r="C358" i="8"/>
  <c r="B358" i="8"/>
  <c r="A358" i="8"/>
  <c r="E357" i="8"/>
  <c r="D357" i="8"/>
  <c r="C357" i="8"/>
  <c r="B357" i="8"/>
  <c r="A357" i="8"/>
  <c r="E356" i="8"/>
  <c r="D356" i="8"/>
  <c r="C356" i="8"/>
  <c r="B356" i="8"/>
  <c r="A356" i="8"/>
  <c r="E355" i="8"/>
  <c r="D355" i="8"/>
  <c r="C355" i="8"/>
  <c r="B355" i="8"/>
  <c r="A355" i="8"/>
  <c r="E354" i="8"/>
  <c r="D354" i="8"/>
  <c r="C354" i="8"/>
  <c r="B354" i="8"/>
  <c r="A354" i="8"/>
  <c r="E353" i="8"/>
  <c r="D353" i="8"/>
  <c r="C353" i="8"/>
  <c r="B353" i="8"/>
  <c r="A353" i="8"/>
  <c r="E352" i="8"/>
  <c r="D352" i="8"/>
  <c r="C352" i="8"/>
  <c r="B352" i="8"/>
  <c r="A352" i="8"/>
  <c r="E351" i="8"/>
  <c r="D351" i="8"/>
  <c r="C351" i="8"/>
  <c r="B351" i="8"/>
  <c r="A351" i="8"/>
  <c r="E350" i="8"/>
  <c r="D350" i="8"/>
  <c r="C350" i="8"/>
  <c r="B350" i="8"/>
  <c r="A350" i="8"/>
  <c r="E349" i="8"/>
  <c r="D349" i="8"/>
  <c r="C349" i="8"/>
  <c r="B349" i="8"/>
  <c r="A349" i="8"/>
  <c r="E348" i="8"/>
  <c r="D348" i="8"/>
  <c r="C348" i="8"/>
  <c r="B348" i="8"/>
  <c r="A348" i="8"/>
  <c r="E347" i="8"/>
  <c r="D347" i="8"/>
  <c r="C347" i="8"/>
  <c r="B347" i="8"/>
  <c r="A347" i="8"/>
  <c r="E346" i="8"/>
  <c r="D346" i="8"/>
  <c r="C346" i="8"/>
  <c r="B346" i="8"/>
  <c r="A346" i="8"/>
  <c r="E345" i="8"/>
  <c r="D345" i="8"/>
  <c r="C345" i="8"/>
  <c r="B345" i="8"/>
  <c r="A345" i="8"/>
  <c r="E344" i="8"/>
  <c r="D344" i="8"/>
  <c r="C344" i="8"/>
  <c r="B344" i="8"/>
  <c r="A344" i="8"/>
  <c r="E343" i="8"/>
  <c r="D343" i="8"/>
  <c r="C343" i="8"/>
  <c r="B343" i="8"/>
  <c r="A343" i="8"/>
  <c r="E342" i="8"/>
  <c r="D342" i="8"/>
  <c r="C342" i="8"/>
  <c r="B342" i="8"/>
  <c r="A342" i="8"/>
  <c r="E341" i="8"/>
  <c r="D341" i="8"/>
  <c r="C341" i="8"/>
  <c r="B341" i="8"/>
  <c r="A341" i="8"/>
  <c r="E340" i="8"/>
  <c r="D340" i="8"/>
  <c r="C340" i="8"/>
  <c r="B340" i="8"/>
  <c r="A340" i="8"/>
  <c r="E339" i="8"/>
  <c r="D339" i="8"/>
  <c r="C339" i="8"/>
  <c r="B339" i="8"/>
  <c r="A339" i="8"/>
  <c r="E338" i="8"/>
  <c r="D338" i="8"/>
  <c r="C338" i="8"/>
  <c r="B338" i="8"/>
  <c r="A338" i="8"/>
  <c r="E337" i="8"/>
  <c r="D337" i="8"/>
  <c r="C337" i="8"/>
  <c r="B337" i="8"/>
  <c r="A337" i="8"/>
  <c r="E336" i="8"/>
  <c r="D336" i="8"/>
  <c r="C336" i="8"/>
  <c r="B336" i="8"/>
  <c r="A336" i="8"/>
  <c r="E335" i="8"/>
  <c r="D335" i="8"/>
  <c r="C335" i="8"/>
  <c r="B335" i="8"/>
  <c r="A335" i="8"/>
  <c r="E334" i="8"/>
  <c r="D334" i="8"/>
  <c r="C334" i="8"/>
  <c r="B334" i="8"/>
  <c r="A334" i="8"/>
  <c r="E333" i="8"/>
  <c r="D333" i="8"/>
  <c r="C333" i="8"/>
  <c r="B333" i="8"/>
  <c r="A333" i="8"/>
  <c r="E332" i="8"/>
  <c r="D332" i="8"/>
  <c r="C332" i="8"/>
  <c r="B332" i="8"/>
  <c r="A332" i="8"/>
  <c r="E331" i="8"/>
  <c r="D331" i="8"/>
  <c r="C331" i="8"/>
  <c r="B331" i="8"/>
  <c r="A331" i="8"/>
  <c r="E330" i="8"/>
  <c r="D330" i="8"/>
  <c r="C330" i="8"/>
  <c r="B330" i="8"/>
  <c r="A330" i="8"/>
  <c r="E329" i="8"/>
  <c r="D329" i="8"/>
  <c r="C329" i="8"/>
  <c r="B329" i="8"/>
  <c r="A329" i="8"/>
  <c r="E328" i="8"/>
  <c r="D328" i="8"/>
  <c r="C328" i="8"/>
  <c r="B328" i="8"/>
  <c r="A328" i="8"/>
  <c r="E327" i="8"/>
  <c r="D327" i="8"/>
  <c r="C327" i="8"/>
  <c r="B327" i="8"/>
  <c r="A327" i="8"/>
  <c r="E326" i="8"/>
  <c r="D326" i="8"/>
  <c r="C326" i="8"/>
  <c r="B326" i="8"/>
  <c r="A326" i="8"/>
  <c r="E325" i="8"/>
  <c r="D325" i="8"/>
  <c r="C325" i="8"/>
  <c r="B325" i="8"/>
  <c r="A325" i="8"/>
  <c r="E324" i="8"/>
  <c r="D324" i="8"/>
  <c r="C324" i="8"/>
  <c r="B324" i="8"/>
  <c r="A324" i="8"/>
  <c r="E323" i="8"/>
  <c r="D323" i="8"/>
  <c r="C323" i="8"/>
  <c r="B323" i="8"/>
  <c r="A323" i="8"/>
  <c r="E322" i="8"/>
  <c r="D322" i="8"/>
  <c r="C322" i="8"/>
  <c r="B322" i="8"/>
  <c r="A322" i="8"/>
  <c r="E321" i="8"/>
  <c r="D321" i="8"/>
  <c r="C321" i="8"/>
  <c r="B321" i="8"/>
  <c r="A321" i="8"/>
  <c r="E320" i="8"/>
  <c r="D320" i="8"/>
  <c r="C320" i="8"/>
  <c r="B320" i="8"/>
  <c r="A320" i="8"/>
  <c r="E319" i="8"/>
  <c r="D319" i="8"/>
  <c r="C319" i="8"/>
  <c r="B319" i="8"/>
  <c r="A319" i="8"/>
  <c r="E318" i="8"/>
  <c r="D318" i="8"/>
  <c r="C318" i="8"/>
  <c r="B318" i="8"/>
  <c r="A318" i="8"/>
  <c r="E317" i="8"/>
  <c r="D317" i="8"/>
  <c r="C317" i="8"/>
  <c r="B317" i="8"/>
  <c r="A317" i="8"/>
  <c r="E316" i="8"/>
  <c r="D316" i="8"/>
  <c r="C316" i="8"/>
  <c r="B316" i="8"/>
  <c r="A316" i="8"/>
  <c r="E315" i="8"/>
  <c r="D315" i="8"/>
  <c r="C315" i="8"/>
  <c r="B315" i="8"/>
  <c r="A315" i="8"/>
  <c r="E314" i="8"/>
  <c r="D314" i="8"/>
  <c r="C314" i="8"/>
  <c r="B314" i="8"/>
  <c r="A314" i="8"/>
  <c r="E313" i="8"/>
  <c r="D313" i="8"/>
  <c r="C313" i="8"/>
  <c r="B313" i="8"/>
  <c r="A313" i="8"/>
  <c r="E312" i="8"/>
  <c r="D312" i="8"/>
  <c r="C312" i="8"/>
  <c r="B312" i="8"/>
  <c r="A312" i="8"/>
  <c r="E311" i="8"/>
  <c r="D311" i="8"/>
  <c r="C311" i="8"/>
  <c r="B311" i="8"/>
  <c r="A311" i="8"/>
  <c r="E310" i="8"/>
  <c r="D310" i="8"/>
  <c r="C310" i="8"/>
  <c r="B310" i="8"/>
  <c r="A310" i="8"/>
  <c r="E309" i="8"/>
  <c r="D309" i="8"/>
  <c r="C309" i="8"/>
  <c r="B309" i="8"/>
  <c r="A309" i="8"/>
  <c r="E308" i="8"/>
  <c r="D308" i="8"/>
  <c r="C308" i="8"/>
  <c r="B308" i="8"/>
  <c r="A308" i="8"/>
  <c r="E307" i="8"/>
  <c r="D307" i="8"/>
  <c r="C307" i="8"/>
  <c r="B307" i="8"/>
  <c r="A307" i="8"/>
  <c r="E306" i="8"/>
  <c r="D306" i="8"/>
  <c r="C306" i="8"/>
  <c r="B306" i="8"/>
  <c r="A306" i="8"/>
  <c r="E305" i="8"/>
  <c r="D305" i="8"/>
  <c r="C305" i="8"/>
  <c r="B305" i="8"/>
  <c r="A305" i="8"/>
  <c r="E304" i="8"/>
  <c r="D304" i="8"/>
  <c r="C304" i="8"/>
  <c r="B304" i="8"/>
  <c r="A304" i="8"/>
  <c r="E303" i="8"/>
  <c r="D303" i="8"/>
  <c r="C303" i="8"/>
  <c r="B303" i="8"/>
  <c r="A303" i="8"/>
  <c r="E302" i="8"/>
  <c r="D302" i="8"/>
  <c r="C302" i="8"/>
  <c r="B302" i="8"/>
  <c r="A302" i="8"/>
  <c r="E301" i="8"/>
  <c r="D301" i="8"/>
  <c r="C301" i="8"/>
  <c r="B301" i="8"/>
  <c r="A301" i="8"/>
  <c r="E300" i="8"/>
  <c r="D300" i="8"/>
  <c r="C300" i="8"/>
  <c r="B300" i="8"/>
  <c r="A300" i="8"/>
  <c r="E299" i="8"/>
  <c r="D299" i="8"/>
  <c r="C299" i="8"/>
  <c r="B299" i="8"/>
  <c r="A299" i="8"/>
  <c r="E298" i="8"/>
  <c r="D298" i="8"/>
  <c r="C298" i="8"/>
  <c r="B298" i="8"/>
  <c r="A298" i="8"/>
  <c r="E297" i="8"/>
  <c r="D297" i="8"/>
  <c r="C297" i="8"/>
  <c r="B297" i="8"/>
  <c r="A297" i="8"/>
  <c r="E296" i="8"/>
  <c r="D296" i="8"/>
  <c r="C296" i="8"/>
  <c r="B296" i="8"/>
  <c r="A296" i="8"/>
  <c r="E295" i="8"/>
  <c r="D295" i="8"/>
  <c r="C295" i="8"/>
  <c r="B295" i="8"/>
  <c r="A295" i="8"/>
  <c r="E294" i="8"/>
  <c r="D294" i="8"/>
  <c r="C294" i="8"/>
  <c r="B294" i="8"/>
  <c r="A294" i="8"/>
  <c r="E293" i="8"/>
  <c r="D293" i="8"/>
  <c r="C293" i="8"/>
  <c r="B293" i="8"/>
  <c r="A293" i="8"/>
  <c r="E292" i="8"/>
  <c r="D292" i="8"/>
  <c r="C292" i="8"/>
  <c r="B292" i="8"/>
  <c r="A292" i="8"/>
  <c r="E291" i="8"/>
  <c r="D291" i="8"/>
  <c r="C291" i="8"/>
  <c r="B291" i="8"/>
  <c r="A291" i="8"/>
  <c r="E290" i="8"/>
  <c r="D290" i="8"/>
  <c r="C290" i="8"/>
  <c r="B290" i="8"/>
  <c r="A290" i="8"/>
  <c r="E289" i="8"/>
  <c r="D289" i="8"/>
  <c r="C289" i="8"/>
  <c r="B289" i="8"/>
  <c r="A289" i="8"/>
  <c r="E288" i="8"/>
  <c r="D288" i="8"/>
  <c r="C288" i="8"/>
  <c r="B288" i="8"/>
  <c r="A288" i="8"/>
  <c r="E287" i="8"/>
  <c r="D287" i="8"/>
  <c r="C287" i="8"/>
  <c r="B287" i="8"/>
  <c r="A287" i="8"/>
  <c r="E286" i="8"/>
  <c r="D286" i="8"/>
  <c r="C286" i="8"/>
  <c r="B286" i="8"/>
  <c r="A286" i="8"/>
  <c r="E285" i="8"/>
  <c r="D285" i="8"/>
  <c r="C285" i="8"/>
  <c r="B285" i="8"/>
  <c r="A285" i="8"/>
  <c r="E284" i="8"/>
  <c r="D284" i="8"/>
  <c r="C284" i="8"/>
  <c r="B284" i="8"/>
  <c r="A284" i="8"/>
  <c r="E283" i="8"/>
  <c r="D283" i="8"/>
  <c r="C283" i="8"/>
  <c r="B283" i="8"/>
  <c r="A283" i="8"/>
  <c r="E282" i="8"/>
  <c r="D282" i="8"/>
  <c r="C282" i="8"/>
  <c r="B282" i="8"/>
  <c r="A282" i="8"/>
  <c r="E281" i="8"/>
  <c r="D281" i="8"/>
  <c r="C281" i="8"/>
  <c r="B281" i="8"/>
  <c r="A281" i="8"/>
  <c r="E280" i="8"/>
  <c r="D280" i="8"/>
  <c r="C280" i="8"/>
  <c r="B280" i="8"/>
  <c r="A280" i="8"/>
  <c r="E279" i="8"/>
  <c r="D279" i="8"/>
  <c r="C279" i="8"/>
  <c r="B279" i="8"/>
  <c r="A279" i="8"/>
  <c r="E278" i="8"/>
  <c r="D278" i="8"/>
  <c r="C278" i="8"/>
  <c r="B278" i="8"/>
  <c r="A278" i="8"/>
  <c r="E277" i="8"/>
  <c r="D277" i="8"/>
  <c r="C277" i="8"/>
  <c r="B277" i="8"/>
  <c r="A277" i="8"/>
  <c r="E276" i="8"/>
  <c r="D276" i="8"/>
  <c r="C276" i="8"/>
  <c r="B276" i="8"/>
  <c r="A276" i="8"/>
  <c r="E275" i="8"/>
  <c r="D275" i="8"/>
  <c r="C275" i="8"/>
  <c r="B275" i="8"/>
  <c r="A275" i="8"/>
  <c r="E274" i="8"/>
  <c r="D274" i="8"/>
  <c r="C274" i="8"/>
  <c r="B274" i="8"/>
  <c r="A274" i="8"/>
  <c r="E273" i="8"/>
  <c r="D273" i="8"/>
  <c r="C273" i="8"/>
  <c r="B273" i="8"/>
  <c r="A273" i="8"/>
  <c r="E272" i="8"/>
  <c r="D272" i="8"/>
  <c r="C272" i="8"/>
  <c r="B272" i="8"/>
  <c r="A272" i="8"/>
  <c r="E271" i="8"/>
  <c r="D271" i="8"/>
  <c r="C271" i="8"/>
  <c r="B271" i="8"/>
  <c r="A271" i="8"/>
  <c r="E270" i="8"/>
  <c r="D270" i="8"/>
  <c r="C270" i="8"/>
  <c r="B270" i="8"/>
  <c r="A270" i="8"/>
  <c r="E269" i="8"/>
  <c r="D269" i="8"/>
  <c r="C269" i="8"/>
  <c r="B269" i="8"/>
  <c r="A269" i="8"/>
  <c r="E268" i="8"/>
  <c r="D268" i="8"/>
  <c r="C268" i="8"/>
  <c r="B268" i="8"/>
  <c r="A268" i="8"/>
  <c r="E267" i="8"/>
  <c r="D267" i="8"/>
  <c r="C267" i="8"/>
  <c r="B267" i="8"/>
  <c r="A267" i="8"/>
  <c r="E266" i="8"/>
  <c r="D266" i="8"/>
  <c r="C266" i="8"/>
  <c r="B266" i="8"/>
  <c r="A266" i="8"/>
  <c r="E265" i="8"/>
  <c r="D265" i="8"/>
  <c r="C265" i="8"/>
  <c r="B265" i="8"/>
  <c r="A265" i="8"/>
  <c r="E264" i="8"/>
  <c r="D264" i="8"/>
  <c r="C264" i="8"/>
  <c r="B264" i="8"/>
  <c r="A264" i="8"/>
  <c r="E263" i="8"/>
  <c r="D263" i="8"/>
  <c r="C263" i="8"/>
  <c r="B263" i="8"/>
  <c r="A263" i="8"/>
  <c r="E262" i="8"/>
  <c r="D262" i="8"/>
  <c r="C262" i="8"/>
  <c r="B262" i="8"/>
  <c r="A262" i="8"/>
  <c r="E261" i="8"/>
  <c r="D261" i="8"/>
  <c r="C261" i="8"/>
  <c r="B261" i="8"/>
  <c r="A261" i="8"/>
  <c r="E260" i="8"/>
  <c r="D260" i="8"/>
  <c r="C260" i="8"/>
  <c r="B260" i="8"/>
  <c r="A260" i="8"/>
  <c r="E259" i="8"/>
  <c r="D259" i="8"/>
  <c r="C259" i="8"/>
  <c r="B259" i="8"/>
  <c r="A259" i="8"/>
  <c r="E258" i="8"/>
  <c r="D258" i="8"/>
  <c r="C258" i="8"/>
  <c r="B258" i="8"/>
  <c r="A258" i="8"/>
  <c r="E257" i="8"/>
  <c r="D257" i="8"/>
  <c r="C257" i="8"/>
  <c r="B257" i="8"/>
  <c r="A257" i="8"/>
  <c r="E256" i="8"/>
  <c r="D256" i="8"/>
  <c r="C256" i="8"/>
  <c r="B256" i="8"/>
  <c r="A256" i="8"/>
  <c r="E255" i="8"/>
  <c r="D255" i="8"/>
  <c r="C255" i="8"/>
  <c r="B255" i="8"/>
  <c r="A255" i="8"/>
  <c r="E254" i="8"/>
  <c r="D254" i="8"/>
  <c r="C254" i="8"/>
  <c r="B254" i="8"/>
  <c r="A254" i="8"/>
  <c r="E253" i="8"/>
  <c r="D253" i="8"/>
  <c r="C253" i="8"/>
  <c r="B253" i="8"/>
  <c r="A253" i="8"/>
  <c r="E252" i="8"/>
  <c r="D252" i="8"/>
  <c r="C252" i="8"/>
  <c r="B252" i="8"/>
  <c r="A252" i="8"/>
  <c r="E251" i="8"/>
  <c r="D251" i="8"/>
  <c r="C251" i="8"/>
  <c r="B251" i="8"/>
  <c r="A251" i="8"/>
  <c r="E250" i="8"/>
  <c r="D250" i="8"/>
  <c r="C250" i="8"/>
  <c r="B250" i="8"/>
  <c r="A250" i="8"/>
  <c r="E249" i="8"/>
  <c r="D249" i="8"/>
  <c r="C249" i="8"/>
  <c r="B249" i="8"/>
  <c r="A249" i="8"/>
  <c r="E248" i="8"/>
  <c r="D248" i="8"/>
  <c r="C248" i="8"/>
  <c r="B248" i="8"/>
  <c r="A248" i="8"/>
  <c r="E247" i="8"/>
  <c r="D247" i="8"/>
  <c r="C247" i="8"/>
  <c r="B247" i="8"/>
  <c r="A247" i="8"/>
  <c r="E246" i="8"/>
  <c r="D246" i="8"/>
  <c r="C246" i="8"/>
  <c r="B246" i="8"/>
  <c r="A246" i="8"/>
  <c r="E245" i="8"/>
  <c r="D245" i="8"/>
  <c r="C245" i="8"/>
  <c r="B245" i="8"/>
  <c r="A245" i="8"/>
  <c r="E244" i="8"/>
  <c r="D244" i="8"/>
  <c r="C244" i="8"/>
  <c r="B244" i="8"/>
  <c r="A244" i="8"/>
  <c r="E243" i="8"/>
  <c r="D243" i="8"/>
  <c r="C243" i="8"/>
  <c r="B243" i="8"/>
  <c r="A243" i="8"/>
  <c r="E242" i="8"/>
  <c r="D242" i="8"/>
  <c r="C242" i="8"/>
  <c r="B242" i="8"/>
  <c r="A242" i="8"/>
  <c r="E241" i="8"/>
  <c r="D241" i="8"/>
  <c r="C241" i="8"/>
  <c r="B241" i="8"/>
  <c r="A241" i="8"/>
  <c r="E240" i="8"/>
  <c r="D240" i="8"/>
  <c r="C240" i="8"/>
  <c r="B240" i="8"/>
  <c r="A240" i="8"/>
  <c r="E239" i="8"/>
  <c r="D239" i="8"/>
  <c r="C239" i="8"/>
  <c r="B239" i="8"/>
  <c r="A239" i="8"/>
  <c r="E238" i="8"/>
  <c r="D238" i="8"/>
  <c r="C238" i="8"/>
  <c r="B238" i="8"/>
  <c r="A238" i="8"/>
  <c r="E237" i="8"/>
  <c r="D237" i="8"/>
  <c r="C237" i="8"/>
  <c r="B237" i="8"/>
  <c r="A237" i="8"/>
  <c r="E236" i="8"/>
  <c r="D236" i="8"/>
  <c r="C236" i="8"/>
  <c r="B236" i="8"/>
  <c r="A236" i="8"/>
  <c r="E235" i="8"/>
  <c r="D235" i="8"/>
  <c r="C235" i="8"/>
  <c r="B235" i="8"/>
  <c r="A235" i="8"/>
  <c r="E234" i="8"/>
  <c r="D234" i="8"/>
  <c r="C234" i="8"/>
  <c r="B234" i="8"/>
  <c r="A234" i="8"/>
  <c r="E233" i="8"/>
  <c r="D233" i="8"/>
  <c r="C233" i="8"/>
  <c r="B233" i="8"/>
  <c r="A233" i="8"/>
  <c r="E232" i="8"/>
  <c r="D232" i="8"/>
  <c r="C232" i="8"/>
  <c r="B232" i="8"/>
  <c r="A232" i="8"/>
  <c r="E231" i="8"/>
  <c r="D231" i="8"/>
  <c r="C231" i="8"/>
  <c r="B231" i="8"/>
  <c r="A231" i="8"/>
  <c r="E230" i="8"/>
  <c r="D230" i="8"/>
  <c r="C230" i="8"/>
  <c r="B230" i="8"/>
  <c r="A230" i="8"/>
  <c r="E229" i="8"/>
  <c r="D229" i="8"/>
  <c r="C229" i="8"/>
  <c r="B229" i="8"/>
  <c r="A229" i="8"/>
  <c r="E228" i="8"/>
  <c r="D228" i="8"/>
  <c r="C228" i="8"/>
  <c r="B228" i="8"/>
  <c r="A228" i="8"/>
  <c r="G227" i="8"/>
  <c r="E227" i="8"/>
  <c r="D227" i="8"/>
  <c r="C227" i="8"/>
  <c r="B227" i="8"/>
  <c r="A227" i="8"/>
  <c r="E226" i="8"/>
  <c r="D226" i="8"/>
  <c r="C226" i="8"/>
  <c r="B226" i="8"/>
  <c r="A226" i="8"/>
  <c r="E225" i="8"/>
  <c r="D225" i="8"/>
  <c r="C225" i="8"/>
  <c r="B225" i="8"/>
  <c r="A225" i="8"/>
  <c r="G224" i="8"/>
  <c r="E224" i="8"/>
  <c r="D224" i="8"/>
  <c r="C224" i="8"/>
  <c r="B224" i="8"/>
  <c r="A224" i="8"/>
  <c r="E223" i="8"/>
  <c r="D223" i="8"/>
  <c r="C223" i="8"/>
  <c r="B223" i="8"/>
  <c r="A223" i="8"/>
  <c r="E222" i="8"/>
  <c r="D222" i="8"/>
  <c r="C222" i="8"/>
  <c r="B222" i="8"/>
  <c r="A222" i="8"/>
  <c r="E221" i="8"/>
  <c r="D221" i="8"/>
  <c r="C221" i="8"/>
  <c r="B221" i="8"/>
  <c r="A221" i="8"/>
  <c r="E220" i="8"/>
  <c r="D220" i="8"/>
  <c r="C220" i="8"/>
  <c r="B220" i="8"/>
  <c r="A220" i="8"/>
  <c r="E219" i="8"/>
  <c r="D219" i="8"/>
  <c r="C219" i="8"/>
  <c r="B219" i="8"/>
  <c r="A219" i="8"/>
  <c r="E218" i="8"/>
  <c r="D218" i="8"/>
  <c r="C218" i="8"/>
  <c r="B218" i="8"/>
  <c r="A218" i="8"/>
  <c r="E217" i="8"/>
  <c r="D217" i="8"/>
  <c r="C217" i="8"/>
  <c r="B217" i="8"/>
  <c r="A217" i="8"/>
  <c r="E216" i="8"/>
  <c r="D216" i="8"/>
  <c r="C216" i="8"/>
  <c r="B216" i="8"/>
  <c r="A216" i="8"/>
  <c r="E215" i="8"/>
  <c r="D215" i="8"/>
  <c r="C215" i="8"/>
  <c r="B215" i="8"/>
  <c r="A215" i="8"/>
  <c r="E214" i="8"/>
  <c r="D214" i="8"/>
  <c r="C214" i="8"/>
  <c r="B214" i="8"/>
  <c r="A214" i="8"/>
  <c r="E213" i="8"/>
  <c r="D213" i="8"/>
  <c r="C213" i="8"/>
  <c r="B213" i="8"/>
  <c r="A213" i="8"/>
  <c r="E212" i="8"/>
  <c r="D212" i="8"/>
  <c r="C212" i="8"/>
  <c r="B212" i="8"/>
  <c r="A212" i="8"/>
  <c r="E211" i="8"/>
  <c r="D211" i="8"/>
  <c r="C211" i="8"/>
  <c r="B211" i="8"/>
  <c r="A211" i="8"/>
  <c r="E210" i="8"/>
  <c r="D210" i="8"/>
  <c r="C210" i="8"/>
  <c r="B210" i="8"/>
  <c r="A210" i="8"/>
  <c r="E209" i="8"/>
  <c r="D209" i="8"/>
  <c r="C209" i="8"/>
  <c r="B209" i="8"/>
  <c r="A209" i="8"/>
  <c r="E208" i="8"/>
  <c r="D208" i="8"/>
  <c r="C208" i="8"/>
  <c r="B208" i="8"/>
  <c r="A208" i="8"/>
  <c r="E207" i="8"/>
  <c r="D207" i="8"/>
  <c r="C207" i="8"/>
  <c r="B207" i="8"/>
  <c r="A207" i="8"/>
  <c r="E206" i="8"/>
  <c r="D206" i="8"/>
  <c r="C206" i="8"/>
  <c r="B206" i="8"/>
  <c r="A206" i="8"/>
  <c r="E205" i="8"/>
  <c r="D205" i="8"/>
  <c r="C205" i="8"/>
  <c r="B205" i="8"/>
  <c r="A205" i="8"/>
  <c r="E204" i="8"/>
  <c r="D204" i="8"/>
  <c r="C204" i="8"/>
  <c r="B204" i="8"/>
  <c r="A204" i="8"/>
  <c r="E203" i="8"/>
  <c r="D203" i="8"/>
  <c r="C203" i="8"/>
  <c r="B203" i="8"/>
  <c r="A203" i="8"/>
  <c r="E202" i="8"/>
  <c r="D202" i="8"/>
  <c r="C202" i="8"/>
  <c r="B202" i="8"/>
  <c r="A202" i="8"/>
  <c r="E201" i="8"/>
  <c r="D201" i="8"/>
  <c r="C201" i="8"/>
  <c r="B201" i="8"/>
  <c r="A201" i="8"/>
  <c r="E200" i="8"/>
  <c r="D200" i="8"/>
  <c r="C200" i="8"/>
  <c r="B200" i="8"/>
  <c r="A200" i="8"/>
  <c r="E199" i="8"/>
  <c r="D199" i="8"/>
  <c r="C199" i="8"/>
  <c r="B199" i="8"/>
  <c r="A199" i="8"/>
  <c r="E198" i="8"/>
  <c r="D198" i="8"/>
  <c r="C198" i="8"/>
  <c r="B198" i="8"/>
  <c r="A198" i="8"/>
  <c r="E197" i="8"/>
  <c r="D197" i="8"/>
  <c r="C197" i="8"/>
  <c r="B197" i="8"/>
  <c r="A197" i="8"/>
  <c r="E196" i="8"/>
  <c r="D196" i="8"/>
  <c r="C196" i="8"/>
  <c r="B196" i="8"/>
  <c r="A196" i="8"/>
  <c r="E195" i="8"/>
  <c r="D195" i="8"/>
  <c r="C195" i="8"/>
  <c r="B195" i="8"/>
  <c r="A195" i="8"/>
  <c r="E194" i="8"/>
  <c r="D194" i="8"/>
  <c r="C194" i="8"/>
  <c r="B194" i="8"/>
  <c r="A194" i="8"/>
  <c r="E193" i="8"/>
  <c r="D193" i="8"/>
  <c r="C193" i="8"/>
  <c r="B193" i="8"/>
  <c r="A193" i="8"/>
  <c r="E192" i="8"/>
  <c r="D192" i="8"/>
  <c r="C192" i="8"/>
  <c r="B192" i="8"/>
  <c r="A192" i="8"/>
  <c r="E191" i="8"/>
  <c r="D191" i="8"/>
  <c r="C191" i="8"/>
  <c r="B191" i="8"/>
  <c r="A191" i="8"/>
  <c r="E190" i="8"/>
  <c r="D190" i="8"/>
  <c r="C190" i="8"/>
  <c r="B190" i="8"/>
  <c r="A190" i="8"/>
  <c r="E189" i="8"/>
  <c r="D189" i="8"/>
  <c r="C189" i="8"/>
  <c r="B189" i="8"/>
  <c r="A189" i="8"/>
  <c r="E188" i="8"/>
  <c r="D188" i="8"/>
  <c r="C188" i="8"/>
  <c r="B188" i="8"/>
  <c r="A188" i="8"/>
  <c r="E187" i="8"/>
  <c r="D187" i="8"/>
  <c r="C187" i="8"/>
  <c r="B187" i="8"/>
  <c r="A187" i="8"/>
  <c r="E186" i="8"/>
  <c r="D186" i="8"/>
  <c r="C186" i="8"/>
  <c r="B186" i="8"/>
  <c r="A186" i="8"/>
  <c r="E185" i="8"/>
  <c r="D185" i="8"/>
  <c r="C185" i="8"/>
  <c r="B185" i="8"/>
  <c r="A185" i="8"/>
  <c r="E184" i="8"/>
  <c r="D184" i="8"/>
  <c r="C184" i="8"/>
  <c r="B184" i="8"/>
  <c r="A184" i="8"/>
  <c r="E183" i="8"/>
  <c r="D183" i="8"/>
  <c r="C183" i="8"/>
  <c r="B183" i="8"/>
  <c r="A183" i="8"/>
  <c r="E182" i="8"/>
  <c r="D182" i="8"/>
  <c r="C182" i="8"/>
  <c r="B182" i="8"/>
  <c r="A182" i="8"/>
  <c r="E181" i="8"/>
  <c r="D181" i="8"/>
  <c r="C181" i="8"/>
  <c r="B181" i="8"/>
  <c r="A181" i="8"/>
  <c r="E180" i="8"/>
  <c r="D180" i="8"/>
  <c r="C180" i="8"/>
  <c r="B180" i="8"/>
  <c r="A180" i="8"/>
  <c r="E179" i="8"/>
  <c r="D179" i="8"/>
  <c r="C179" i="8"/>
  <c r="B179" i="8"/>
  <c r="A179" i="8"/>
  <c r="E178" i="8"/>
  <c r="D178" i="8"/>
  <c r="C178" i="8"/>
  <c r="B178" i="8"/>
  <c r="A178" i="8"/>
  <c r="E177" i="8"/>
  <c r="D177" i="8"/>
  <c r="C177" i="8"/>
  <c r="B177" i="8"/>
  <c r="A177" i="8"/>
  <c r="E176" i="8"/>
  <c r="D176" i="8"/>
  <c r="C176" i="8"/>
  <c r="B176" i="8"/>
  <c r="A176" i="8"/>
  <c r="E175" i="8"/>
  <c r="D175" i="8"/>
  <c r="C175" i="8"/>
  <c r="B175" i="8"/>
  <c r="A175" i="8"/>
  <c r="E174" i="8"/>
  <c r="D174" i="8"/>
  <c r="C174" i="8"/>
  <c r="B174" i="8"/>
  <c r="A174" i="8"/>
  <c r="E173" i="8"/>
  <c r="D173" i="8"/>
  <c r="C173" i="8"/>
  <c r="B173" i="8"/>
  <c r="A173" i="8"/>
  <c r="E172" i="8"/>
  <c r="D172" i="8"/>
  <c r="C172" i="8"/>
  <c r="B172" i="8"/>
  <c r="A172" i="8"/>
  <c r="E171" i="8"/>
  <c r="D171" i="8"/>
  <c r="C171" i="8"/>
  <c r="B171" i="8"/>
  <c r="A171" i="8"/>
  <c r="E170" i="8"/>
  <c r="D170" i="8"/>
  <c r="C170" i="8"/>
  <c r="B170" i="8"/>
  <c r="A170" i="8"/>
  <c r="E169" i="8"/>
  <c r="D169" i="8"/>
  <c r="C169" i="8"/>
  <c r="B169" i="8"/>
  <c r="A169" i="8"/>
  <c r="E168" i="8"/>
  <c r="D168" i="8"/>
  <c r="C168" i="8"/>
  <c r="B168" i="8"/>
  <c r="A168" i="8"/>
  <c r="E167" i="8"/>
  <c r="D167" i="8"/>
  <c r="C167" i="8"/>
  <c r="B167" i="8"/>
  <c r="A167" i="8"/>
  <c r="E166" i="8"/>
  <c r="D166" i="8"/>
  <c r="C166" i="8"/>
  <c r="B166" i="8"/>
  <c r="A166" i="8"/>
  <c r="E165" i="8"/>
  <c r="D165" i="8"/>
  <c r="C165" i="8"/>
  <c r="B165" i="8"/>
  <c r="A165" i="8"/>
  <c r="E164" i="8"/>
  <c r="D164" i="8"/>
  <c r="C164" i="8"/>
  <c r="B164" i="8"/>
  <c r="A164" i="8"/>
  <c r="E163" i="8"/>
  <c r="D163" i="8"/>
  <c r="C163" i="8"/>
  <c r="B163" i="8"/>
  <c r="A163" i="8"/>
  <c r="E162" i="8"/>
  <c r="D162" i="8"/>
  <c r="C162" i="8"/>
  <c r="B162" i="8"/>
  <c r="A162" i="8"/>
  <c r="E161" i="8"/>
  <c r="D161" i="8"/>
  <c r="C161" i="8"/>
  <c r="B161" i="8"/>
  <c r="A161" i="8"/>
  <c r="E160" i="8"/>
  <c r="D160" i="8"/>
  <c r="C160" i="8"/>
  <c r="B160" i="8"/>
  <c r="A160" i="8"/>
  <c r="E159" i="8"/>
  <c r="D159" i="8"/>
  <c r="C159" i="8"/>
  <c r="B159" i="8"/>
  <c r="A159" i="8"/>
  <c r="E158" i="8"/>
  <c r="D158" i="8"/>
  <c r="C158" i="8"/>
  <c r="B158" i="8"/>
  <c r="A158" i="8"/>
  <c r="E157" i="8"/>
  <c r="D157" i="8"/>
  <c r="C157" i="8"/>
  <c r="B157" i="8"/>
  <c r="A157" i="8"/>
  <c r="E156" i="8"/>
  <c r="D156" i="8"/>
  <c r="C156" i="8"/>
  <c r="B156" i="8"/>
  <c r="A156" i="8"/>
  <c r="E155" i="8"/>
  <c r="D155" i="8"/>
  <c r="C155" i="8"/>
  <c r="B155" i="8"/>
  <c r="A155" i="8"/>
  <c r="E154" i="8"/>
  <c r="D154" i="8"/>
  <c r="C154" i="8"/>
  <c r="B154" i="8"/>
  <c r="A154" i="8"/>
  <c r="E153" i="8"/>
  <c r="D153" i="8"/>
  <c r="C153" i="8"/>
  <c r="B153" i="8"/>
  <c r="A153" i="8"/>
  <c r="E152" i="8"/>
  <c r="D152" i="8"/>
  <c r="C152" i="8"/>
  <c r="B152" i="8"/>
  <c r="A152" i="8"/>
  <c r="E151" i="8"/>
  <c r="D151" i="8"/>
  <c r="C151" i="8"/>
  <c r="B151" i="8"/>
  <c r="A151" i="8"/>
  <c r="E150" i="8"/>
  <c r="D150" i="8"/>
  <c r="C150" i="8"/>
  <c r="B150" i="8"/>
  <c r="A150" i="8"/>
  <c r="E149" i="8"/>
  <c r="D149" i="8"/>
  <c r="C149" i="8"/>
  <c r="B149" i="8"/>
  <c r="A149" i="8"/>
  <c r="E148" i="8"/>
  <c r="D148" i="8"/>
  <c r="C148" i="8"/>
  <c r="B148" i="8"/>
  <c r="A148" i="8"/>
  <c r="E147" i="8"/>
  <c r="D147" i="8"/>
  <c r="C147" i="8"/>
  <c r="B147" i="8"/>
  <c r="A147" i="8"/>
  <c r="E146" i="8"/>
  <c r="D146" i="8"/>
  <c r="C146" i="8"/>
  <c r="B146" i="8"/>
  <c r="A146" i="8"/>
  <c r="E145" i="8"/>
  <c r="D145" i="8"/>
  <c r="C145" i="8"/>
  <c r="B145" i="8"/>
  <c r="A145" i="8"/>
  <c r="E144" i="8"/>
  <c r="D144" i="8"/>
  <c r="C144" i="8"/>
  <c r="B144" i="8"/>
  <c r="A144" i="8"/>
  <c r="E143" i="8"/>
  <c r="D143" i="8"/>
  <c r="C143" i="8"/>
  <c r="B143" i="8"/>
  <c r="A143" i="8"/>
  <c r="E142" i="8"/>
  <c r="D142" i="8"/>
  <c r="C142" i="8"/>
  <c r="B142" i="8"/>
  <c r="A142" i="8"/>
  <c r="E141" i="8"/>
  <c r="D141" i="8"/>
  <c r="C141" i="8"/>
  <c r="B141" i="8"/>
  <c r="A141" i="8"/>
  <c r="E140" i="8"/>
  <c r="D140" i="8"/>
  <c r="C140" i="8"/>
  <c r="B140" i="8"/>
  <c r="A140" i="8"/>
  <c r="E139" i="8"/>
  <c r="D139" i="8"/>
  <c r="C139" i="8"/>
  <c r="B139" i="8"/>
  <c r="A139" i="8"/>
  <c r="E138" i="8"/>
  <c r="D138" i="8"/>
  <c r="C138" i="8"/>
  <c r="B138" i="8"/>
  <c r="A138" i="8"/>
  <c r="E137" i="8"/>
  <c r="D137" i="8"/>
  <c r="C137" i="8"/>
  <c r="B137" i="8"/>
  <c r="A137" i="8"/>
  <c r="E136" i="8"/>
  <c r="D136" i="8"/>
  <c r="C136" i="8"/>
  <c r="B136" i="8"/>
  <c r="A136" i="8"/>
  <c r="E135" i="8"/>
  <c r="D135" i="8"/>
  <c r="C135" i="8"/>
  <c r="B135" i="8"/>
  <c r="A135" i="8"/>
  <c r="E134" i="8"/>
  <c r="D134" i="8"/>
  <c r="C134" i="8"/>
  <c r="B134" i="8"/>
  <c r="A134" i="8"/>
  <c r="E133" i="8"/>
  <c r="D133" i="8"/>
  <c r="C133" i="8"/>
  <c r="B133" i="8"/>
  <c r="A133" i="8"/>
  <c r="E132" i="8"/>
  <c r="D132" i="8"/>
  <c r="C132" i="8"/>
  <c r="B132" i="8"/>
  <c r="A132" i="8"/>
  <c r="E131" i="8"/>
  <c r="D131" i="8"/>
  <c r="C131" i="8"/>
  <c r="B131" i="8"/>
  <c r="A131" i="8"/>
  <c r="E130" i="8"/>
  <c r="D130" i="8"/>
  <c r="C130" i="8"/>
  <c r="B130" i="8"/>
  <c r="A130" i="8"/>
  <c r="E129" i="8"/>
  <c r="D129" i="8"/>
  <c r="C129" i="8"/>
  <c r="B129" i="8"/>
  <c r="A129" i="8"/>
  <c r="E128" i="8"/>
  <c r="D128" i="8"/>
  <c r="C128" i="8"/>
  <c r="B128" i="8"/>
  <c r="A128" i="8"/>
  <c r="E127" i="8"/>
  <c r="D127" i="8"/>
  <c r="C127" i="8"/>
  <c r="B127" i="8"/>
  <c r="A127" i="8"/>
  <c r="F126" i="8"/>
  <c r="E126" i="8"/>
  <c r="D126" i="8"/>
  <c r="C126" i="8"/>
  <c r="B126" i="8"/>
  <c r="A126" i="8"/>
  <c r="E125" i="8"/>
  <c r="D125" i="8"/>
  <c r="C125" i="8"/>
  <c r="B125" i="8"/>
  <c r="A125" i="8"/>
  <c r="E124" i="8"/>
  <c r="D124" i="8"/>
  <c r="C124" i="8"/>
  <c r="B124" i="8"/>
  <c r="A124" i="8"/>
  <c r="E123" i="8"/>
  <c r="D123" i="8"/>
  <c r="C123" i="8"/>
  <c r="B123" i="8"/>
  <c r="A123" i="8"/>
  <c r="E122" i="8"/>
  <c r="D122" i="8"/>
  <c r="C122" i="8"/>
  <c r="B122" i="8"/>
  <c r="A122" i="8"/>
  <c r="E121" i="8"/>
  <c r="D121" i="8"/>
  <c r="C121" i="8"/>
  <c r="B121" i="8"/>
  <c r="A121" i="8"/>
  <c r="E120" i="8"/>
  <c r="D120" i="8"/>
  <c r="C120" i="8"/>
  <c r="B120" i="8"/>
  <c r="A120" i="8"/>
  <c r="E119" i="8"/>
  <c r="D119" i="8"/>
  <c r="C119" i="8"/>
  <c r="B119" i="8"/>
  <c r="A119" i="8"/>
  <c r="E118" i="8"/>
  <c r="D118" i="8"/>
  <c r="C118" i="8"/>
  <c r="B118" i="8"/>
  <c r="A118" i="8"/>
  <c r="E117" i="8"/>
  <c r="D117" i="8"/>
  <c r="C117" i="8"/>
  <c r="B117" i="8"/>
  <c r="A117" i="8"/>
  <c r="E116" i="8"/>
  <c r="D116" i="8"/>
  <c r="C116" i="8"/>
  <c r="B116" i="8"/>
  <c r="A116" i="8"/>
  <c r="E115" i="8"/>
  <c r="D115" i="8"/>
  <c r="C115" i="8"/>
  <c r="B115" i="8"/>
  <c r="A115" i="8"/>
  <c r="E114" i="8"/>
  <c r="D114" i="8"/>
  <c r="C114" i="8"/>
  <c r="B114" i="8"/>
  <c r="A114" i="8"/>
  <c r="E113" i="8"/>
  <c r="D113" i="8"/>
  <c r="C113" i="8"/>
  <c r="B113" i="8"/>
  <c r="A113" i="8"/>
  <c r="E112" i="8"/>
  <c r="D112" i="8"/>
  <c r="C112" i="8"/>
  <c r="B112" i="8"/>
  <c r="A112" i="8"/>
  <c r="E111" i="8"/>
  <c r="D111" i="8"/>
  <c r="C111" i="8"/>
  <c r="B111" i="8"/>
  <c r="A111" i="8"/>
  <c r="E110" i="8"/>
  <c r="D110" i="8"/>
  <c r="C110" i="8"/>
  <c r="B110" i="8"/>
  <c r="A110" i="8"/>
  <c r="E109" i="8"/>
  <c r="D109" i="8"/>
  <c r="C109" i="8"/>
  <c r="B109" i="8"/>
  <c r="A109" i="8"/>
  <c r="E108" i="8"/>
  <c r="D108" i="8"/>
  <c r="C108" i="8"/>
  <c r="B108" i="8"/>
  <c r="A108" i="8"/>
  <c r="E107" i="8"/>
  <c r="D107" i="8"/>
  <c r="C107" i="8"/>
  <c r="B107" i="8"/>
  <c r="A107" i="8"/>
  <c r="E106" i="8"/>
  <c r="D106" i="8"/>
  <c r="C106" i="8"/>
  <c r="B106" i="8"/>
  <c r="A106" i="8"/>
  <c r="E105" i="8"/>
  <c r="D105" i="8"/>
  <c r="C105" i="8"/>
  <c r="B105" i="8"/>
  <c r="A105" i="8"/>
  <c r="E104" i="8"/>
  <c r="D104" i="8"/>
  <c r="C104" i="8"/>
  <c r="B104" i="8"/>
  <c r="A104" i="8"/>
  <c r="E103" i="8"/>
  <c r="D103" i="8"/>
  <c r="C103" i="8"/>
  <c r="B103" i="8"/>
  <c r="A103" i="8"/>
  <c r="E102" i="8"/>
  <c r="D102" i="8"/>
  <c r="C102" i="8"/>
  <c r="B102" i="8"/>
  <c r="A102" i="8"/>
  <c r="E101" i="8"/>
  <c r="D101" i="8"/>
  <c r="C101" i="8"/>
  <c r="B101" i="8"/>
  <c r="A101" i="8"/>
  <c r="E100" i="8"/>
  <c r="D100" i="8"/>
  <c r="C100" i="8"/>
  <c r="B100" i="8"/>
  <c r="A100" i="8"/>
  <c r="F99" i="8"/>
  <c r="E99" i="8"/>
  <c r="D99" i="8"/>
  <c r="C99" i="8"/>
  <c r="B99" i="8"/>
  <c r="A99" i="8"/>
  <c r="E98" i="8"/>
  <c r="D98" i="8"/>
  <c r="C98" i="8"/>
  <c r="B98" i="8"/>
  <c r="A98" i="8"/>
  <c r="E97" i="8"/>
  <c r="D97" i="8"/>
  <c r="C97" i="8"/>
  <c r="B97" i="8"/>
  <c r="A97" i="8"/>
  <c r="E96" i="8"/>
  <c r="D96" i="8"/>
  <c r="C96" i="8"/>
  <c r="B96" i="8"/>
  <c r="A96" i="8"/>
  <c r="E95" i="8"/>
  <c r="D95" i="8"/>
  <c r="C95" i="8"/>
  <c r="B95" i="8"/>
  <c r="A95" i="8"/>
  <c r="E94" i="8"/>
  <c r="D94" i="8"/>
  <c r="C94" i="8"/>
  <c r="B94" i="8"/>
  <c r="A94" i="8"/>
  <c r="E93" i="8"/>
  <c r="D93" i="8"/>
  <c r="C93" i="8"/>
  <c r="B93" i="8"/>
  <c r="A93" i="8"/>
  <c r="E92" i="8"/>
  <c r="D92" i="8"/>
  <c r="C92" i="8"/>
  <c r="B92" i="8"/>
  <c r="A92" i="8"/>
  <c r="E91" i="8"/>
  <c r="D91" i="8"/>
  <c r="C91" i="8"/>
  <c r="B91" i="8"/>
  <c r="A91" i="8"/>
  <c r="E90" i="8"/>
  <c r="D90" i="8"/>
  <c r="C90" i="8"/>
  <c r="B90" i="8"/>
  <c r="A90" i="8"/>
  <c r="E89" i="8"/>
  <c r="D89" i="8"/>
  <c r="C89" i="8"/>
  <c r="B89" i="8"/>
  <c r="A89" i="8"/>
  <c r="E88" i="8"/>
  <c r="D88" i="8"/>
  <c r="C88" i="8"/>
  <c r="B88" i="8"/>
  <c r="A88" i="8"/>
  <c r="E87" i="8"/>
  <c r="D87" i="8"/>
  <c r="C87" i="8"/>
  <c r="B87" i="8"/>
  <c r="A87" i="8"/>
  <c r="E86" i="8"/>
  <c r="D86" i="8"/>
  <c r="C86" i="8"/>
  <c r="B86" i="8"/>
  <c r="A86" i="8"/>
  <c r="E85" i="8"/>
  <c r="D85" i="8"/>
  <c r="C85" i="8"/>
  <c r="B85" i="8"/>
  <c r="A85" i="8"/>
  <c r="E84" i="8"/>
  <c r="D84" i="8"/>
  <c r="C84" i="8"/>
  <c r="B84" i="8"/>
  <c r="A84" i="8"/>
  <c r="E83" i="8"/>
  <c r="D83" i="8"/>
  <c r="C83" i="8"/>
  <c r="B83" i="8"/>
  <c r="A83" i="8"/>
  <c r="E82" i="8"/>
  <c r="D82" i="8"/>
  <c r="C82" i="8"/>
  <c r="B82" i="8"/>
  <c r="A82" i="8"/>
  <c r="E81" i="8"/>
  <c r="D81" i="8"/>
  <c r="C81" i="8"/>
  <c r="B81" i="8"/>
  <c r="A81" i="8"/>
  <c r="E80" i="8"/>
  <c r="D80" i="8"/>
  <c r="C80" i="8"/>
  <c r="B80" i="8"/>
  <c r="A80" i="8"/>
  <c r="E79" i="8"/>
  <c r="D79" i="8"/>
  <c r="C79" i="8"/>
  <c r="B79" i="8"/>
  <c r="A79" i="8"/>
  <c r="E78" i="8"/>
  <c r="D78" i="8"/>
  <c r="C78" i="8"/>
  <c r="B78" i="8"/>
  <c r="A78" i="8"/>
  <c r="E77" i="8"/>
  <c r="D77" i="8"/>
  <c r="C77" i="8"/>
  <c r="B77" i="8"/>
  <c r="A77" i="8"/>
  <c r="E76" i="8"/>
  <c r="D76" i="8"/>
  <c r="C76" i="8"/>
  <c r="B76" i="8"/>
  <c r="A76" i="8"/>
  <c r="E75" i="8"/>
  <c r="D75" i="8"/>
  <c r="C75" i="8"/>
  <c r="B75" i="8"/>
  <c r="A75" i="8"/>
  <c r="E74" i="8"/>
  <c r="D74" i="8"/>
  <c r="C74" i="8"/>
  <c r="B74" i="8"/>
  <c r="A74" i="8"/>
  <c r="E73" i="8"/>
  <c r="D73" i="8"/>
  <c r="C73" i="8"/>
  <c r="B73" i="8"/>
  <c r="A73" i="8"/>
  <c r="E72" i="8"/>
  <c r="D72" i="8"/>
  <c r="C72" i="8"/>
  <c r="B72" i="8"/>
  <c r="A72" i="8"/>
  <c r="E71" i="8"/>
  <c r="D71" i="8"/>
  <c r="C71" i="8"/>
  <c r="B71" i="8"/>
  <c r="A71" i="8"/>
  <c r="E70" i="8"/>
  <c r="D70" i="8"/>
  <c r="C70" i="8"/>
  <c r="B70" i="8"/>
  <c r="A70" i="8"/>
  <c r="E69" i="8"/>
  <c r="D69" i="8"/>
  <c r="C69" i="8"/>
  <c r="B69" i="8"/>
  <c r="A69" i="8"/>
  <c r="E68" i="8"/>
  <c r="D68" i="8"/>
  <c r="C68" i="8"/>
  <c r="B68" i="8"/>
  <c r="A68" i="8"/>
  <c r="E67" i="8"/>
  <c r="D67" i="8"/>
  <c r="C67" i="8"/>
  <c r="B67" i="8"/>
  <c r="A67" i="8"/>
  <c r="E66" i="8"/>
  <c r="D66" i="8"/>
  <c r="C66" i="8"/>
  <c r="B66" i="8"/>
  <c r="A66" i="8"/>
  <c r="E65" i="8"/>
  <c r="D65" i="8"/>
  <c r="C65" i="8"/>
  <c r="B65" i="8"/>
  <c r="A65" i="8"/>
  <c r="E64" i="8"/>
  <c r="D64" i="8"/>
  <c r="C64" i="8"/>
  <c r="B64" i="8"/>
  <c r="A64" i="8"/>
  <c r="E63" i="8"/>
  <c r="D63" i="8"/>
  <c r="C63" i="8"/>
  <c r="B63" i="8"/>
  <c r="A63" i="8"/>
  <c r="E62" i="8"/>
  <c r="D62" i="8"/>
  <c r="C62" i="8"/>
  <c r="B62" i="8"/>
  <c r="A62" i="8"/>
  <c r="E61" i="8"/>
  <c r="D61" i="8"/>
  <c r="C61" i="8"/>
  <c r="B61" i="8"/>
  <c r="A61" i="8"/>
  <c r="E60" i="8"/>
  <c r="D60" i="8"/>
  <c r="C60" i="8"/>
  <c r="B60" i="8"/>
  <c r="A60" i="8"/>
  <c r="E59" i="8"/>
  <c r="D59" i="8"/>
  <c r="C59" i="8"/>
  <c r="B59" i="8"/>
  <c r="A59" i="8"/>
  <c r="E58" i="8"/>
  <c r="D58" i="8"/>
  <c r="C58" i="8"/>
  <c r="B58" i="8"/>
  <c r="A58" i="8"/>
  <c r="E57" i="8"/>
  <c r="D57" i="8"/>
  <c r="C57" i="8"/>
  <c r="B57" i="8"/>
  <c r="A57" i="8"/>
  <c r="E56" i="8"/>
  <c r="D56" i="8"/>
  <c r="C56" i="8"/>
  <c r="B56" i="8"/>
  <c r="A56" i="8"/>
  <c r="E55" i="8"/>
  <c r="D55" i="8"/>
  <c r="C55" i="8"/>
  <c r="B55" i="8"/>
  <c r="A55" i="8"/>
  <c r="E54" i="8"/>
  <c r="D54" i="8"/>
  <c r="C54" i="8"/>
  <c r="B54" i="8"/>
  <c r="A54" i="8"/>
  <c r="E53" i="8"/>
  <c r="D53" i="8"/>
  <c r="C53" i="8"/>
  <c r="B53" i="8"/>
  <c r="A53" i="8"/>
  <c r="E52" i="8"/>
  <c r="D52" i="8"/>
  <c r="C52" i="8"/>
  <c r="B52" i="8"/>
  <c r="A52" i="8"/>
  <c r="E51" i="8"/>
  <c r="D51" i="8"/>
  <c r="C51" i="8"/>
  <c r="B51" i="8"/>
  <c r="A51" i="8"/>
  <c r="E50" i="8"/>
  <c r="D50" i="8"/>
  <c r="C50" i="8"/>
  <c r="B50" i="8"/>
  <c r="A50" i="8"/>
  <c r="E49" i="8"/>
  <c r="D49" i="8"/>
  <c r="C49" i="8"/>
  <c r="B49" i="8"/>
  <c r="A49" i="8"/>
  <c r="E48" i="8"/>
  <c r="D48" i="8"/>
  <c r="C48" i="8"/>
  <c r="B48" i="8"/>
  <c r="A48" i="8"/>
  <c r="E47" i="8"/>
  <c r="D47" i="8"/>
  <c r="C47" i="8"/>
  <c r="B47" i="8"/>
  <c r="A47" i="8"/>
  <c r="E46" i="8"/>
  <c r="D46" i="8"/>
  <c r="C46" i="8"/>
  <c r="B46" i="8"/>
  <c r="A46" i="8"/>
  <c r="E45" i="8"/>
  <c r="D45" i="8"/>
  <c r="C45" i="8"/>
  <c r="B45" i="8"/>
  <c r="A45" i="8"/>
  <c r="E44" i="8"/>
  <c r="D44" i="8"/>
  <c r="C44" i="8"/>
  <c r="B44" i="8"/>
  <c r="A44" i="8"/>
  <c r="E43" i="8"/>
  <c r="D43" i="8"/>
  <c r="C43" i="8"/>
  <c r="B43" i="8"/>
  <c r="A43" i="8"/>
  <c r="E42" i="8"/>
  <c r="D42" i="8"/>
  <c r="C42" i="8"/>
  <c r="B42" i="8"/>
  <c r="A42" i="8"/>
  <c r="E41" i="8"/>
  <c r="D41" i="8"/>
  <c r="C41" i="8"/>
  <c r="B41" i="8"/>
  <c r="A41" i="8"/>
  <c r="E40" i="8"/>
  <c r="D40" i="8"/>
  <c r="C40" i="8"/>
  <c r="B40" i="8"/>
  <c r="A40" i="8"/>
  <c r="E39" i="8"/>
  <c r="D39" i="8"/>
  <c r="C39" i="8"/>
  <c r="B39" i="8"/>
  <c r="A39" i="8"/>
  <c r="E38" i="8"/>
  <c r="D38" i="8"/>
  <c r="C38" i="8"/>
  <c r="B38" i="8"/>
  <c r="A38" i="8"/>
  <c r="E37" i="8"/>
  <c r="D37" i="8"/>
  <c r="C37" i="8"/>
  <c r="B37" i="8"/>
  <c r="A37" i="8"/>
  <c r="E36" i="8"/>
  <c r="D36" i="8"/>
  <c r="C36" i="8"/>
  <c r="B36" i="8"/>
  <c r="A36" i="8"/>
  <c r="E35" i="8"/>
  <c r="D35" i="8"/>
  <c r="C35" i="8"/>
  <c r="B35" i="8"/>
  <c r="A35" i="8"/>
  <c r="E34" i="8"/>
  <c r="D34" i="8"/>
  <c r="C34" i="8"/>
  <c r="B34" i="8"/>
  <c r="A34" i="8"/>
  <c r="E33" i="8"/>
  <c r="D33" i="8"/>
  <c r="C33" i="8"/>
  <c r="B33" i="8"/>
  <c r="A33" i="8"/>
  <c r="E32" i="8"/>
  <c r="D32" i="8"/>
  <c r="C32" i="8"/>
  <c r="B32" i="8"/>
  <c r="A32" i="8"/>
  <c r="E31" i="8"/>
  <c r="D31" i="8"/>
  <c r="C31" i="8"/>
  <c r="B31" i="8"/>
  <c r="A31" i="8"/>
  <c r="E30" i="8"/>
  <c r="D30" i="8"/>
  <c r="C30" i="8"/>
  <c r="B30" i="8"/>
  <c r="A30" i="8"/>
  <c r="E29" i="8"/>
  <c r="D29" i="8"/>
  <c r="C29" i="8"/>
  <c r="B29" i="8"/>
  <c r="A29" i="8"/>
  <c r="E28" i="8"/>
  <c r="D28" i="8"/>
  <c r="C28" i="8"/>
  <c r="B28" i="8"/>
  <c r="A28" i="8"/>
  <c r="E27" i="8"/>
  <c r="D27" i="8"/>
  <c r="C27" i="8"/>
  <c r="B27" i="8"/>
  <c r="A27" i="8"/>
  <c r="E26" i="8"/>
  <c r="D26" i="8"/>
  <c r="C26" i="8"/>
  <c r="B26" i="8"/>
  <c r="A26" i="8"/>
  <c r="E25" i="8"/>
  <c r="D25" i="8"/>
  <c r="C25" i="8"/>
  <c r="B25" i="8"/>
  <c r="A25" i="8"/>
  <c r="E24" i="8"/>
  <c r="D24" i="8"/>
  <c r="C24" i="8"/>
  <c r="B24" i="8"/>
  <c r="A24" i="8"/>
  <c r="E23" i="8"/>
  <c r="D23" i="8"/>
  <c r="C23" i="8"/>
  <c r="B23" i="8"/>
  <c r="A23" i="8"/>
  <c r="E22" i="8"/>
  <c r="D22" i="8"/>
  <c r="C22" i="8"/>
  <c r="B22" i="8"/>
  <c r="A22" i="8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E4" i="8"/>
  <c r="D4" i="8"/>
  <c r="C4" i="8"/>
  <c r="B4" i="8"/>
  <c r="A4" i="8"/>
  <c r="B34" i="7"/>
  <c r="B33" i="7"/>
  <c r="B29" i="7"/>
  <c r="B26" i="7"/>
  <c r="B25" i="7"/>
  <c r="B24" i="7"/>
  <c r="B23" i="7"/>
  <c r="B20" i="7"/>
  <c r="B19" i="7"/>
  <c r="B18" i="7"/>
  <c r="B17" i="7"/>
  <c r="B16" i="7"/>
  <c r="B15" i="7"/>
  <c r="B12" i="7"/>
  <c r="B11" i="7"/>
  <c r="B10" i="7"/>
  <c r="B9" i="7"/>
  <c r="B16" i="5"/>
  <c r="B15" i="5"/>
  <c r="B14" i="5"/>
  <c r="M1336" i="4"/>
  <c r="H571" i="8" s="1"/>
  <c r="K1336" i="4"/>
  <c r="J1336" i="4"/>
  <c r="I1336" i="4"/>
  <c r="L1335" i="4"/>
  <c r="J1335" i="4"/>
  <c r="K1335" i="4" s="1"/>
  <c r="I1335" i="4"/>
  <c r="J1334" i="4"/>
  <c r="K1334" i="4" s="1"/>
  <c r="I1334" i="4"/>
  <c r="L1333" i="4"/>
  <c r="J1333" i="4"/>
  <c r="K1333" i="4" s="1"/>
  <c r="I1333" i="4"/>
  <c r="K1332" i="4"/>
  <c r="J1332" i="4"/>
  <c r="I1332" i="4"/>
  <c r="J1331" i="4"/>
  <c r="K1331" i="4" s="1"/>
  <c r="I1331" i="4"/>
  <c r="K1330" i="4"/>
  <c r="J1330" i="4"/>
  <c r="I1330" i="4"/>
  <c r="K1329" i="4"/>
  <c r="J1329" i="4"/>
  <c r="I1329" i="4"/>
  <c r="M1328" i="4"/>
  <c r="H563" i="8" s="1"/>
  <c r="K1328" i="4"/>
  <c r="J1328" i="4"/>
  <c r="I1328" i="4"/>
  <c r="L1327" i="4"/>
  <c r="J1327" i="4"/>
  <c r="K1327" i="4" s="1"/>
  <c r="I1327" i="4"/>
  <c r="J1326" i="4"/>
  <c r="K1326" i="4" s="1"/>
  <c r="I1326" i="4"/>
  <c r="J1325" i="4"/>
  <c r="K1325" i="4" s="1"/>
  <c r="I1325" i="4"/>
  <c r="K1324" i="4"/>
  <c r="J1324" i="4"/>
  <c r="I1324" i="4"/>
  <c r="J1323" i="4"/>
  <c r="K1323" i="4" s="1"/>
  <c r="I1323" i="4"/>
  <c r="M1322" i="4"/>
  <c r="H557" i="8" s="1"/>
  <c r="K1322" i="4"/>
  <c r="J1322" i="4"/>
  <c r="I1322" i="4"/>
  <c r="J1321" i="4"/>
  <c r="K1321" i="4" s="1"/>
  <c r="I1321" i="4"/>
  <c r="M1320" i="4"/>
  <c r="H555" i="8" s="1"/>
  <c r="K1320" i="4"/>
  <c r="J1320" i="4"/>
  <c r="I1320" i="4"/>
  <c r="J1319" i="4"/>
  <c r="K1319" i="4" s="1"/>
  <c r="I1319" i="4"/>
  <c r="J1318" i="4"/>
  <c r="K1318" i="4" s="1"/>
  <c r="I1318" i="4"/>
  <c r="J1317" i="4"/>
  <c r="K1317" i="4" s="1"/>
  <c r="I1317" i="4"/>
  <c r="K1316" i="4"/>
  <c r="J1316" i="4"/>
  <c r="I1316" i="4"/>
  <c r="J1315" i="4"/>
  <c r="K1315" i="4" s="1"/>
  <c r="I1315" i="4"/>
  <c r="K1314" i="4"/>
  <c r="J1314" i="4"/>
  <c r="I1314" i="4"/>
  <c r="J1313" i="4"/>
  <c r="K1313" i="4" s="1"/>
  <c r="I1313" i="4"/>
  <c r="M1312" i="4"/>
  <c r="H983" i="8" s="1"/>
  <c r="K1312" i="4"/>
  <c r="J1312" i="4"/>
  <c r="I1312" i="4"/>
  <c r="M1311" i="4"/>
  <c r="H982" i="8" s="1"/>
  <c r="J1311" i="4"/>
  <c r="K1311" i="4" s="1"/>
  <c r="I1311" i="4"/>
  <c r="J1310" i="4"/>
  <c r="K1310" i="4" s="1"/>
  <c r="I1310" i="4"/>
  <c r="L1309" i="4"/>
  <c r="J1309" i="4"/>
  <c r="K1309" i="4" s="1"/>
  <c r="I1309" i="4"/>
  <c r="K1308" i="4"/>
  <c r="J1308" i="4"/>
  <c r="I1308" i="4"/>
  <c r="J1307" i="4"/>
  <c r="K1307" i="4" s="1"/>
  <c r="I1307" i="4"/>
  <c r="K1306" i="4"/>
  <c r="J1306" i="4"/>
  <c r="I1306" i="4"/>
  <c r="J1305" i="4"/>
  <c r="K1305" i="4" s="1"/>
  <c r="I1305" i="4"/>
  <c r="M1304" i="4"/>
  <c r="H549" i="8" s="1"/>
  <c r="K1304" i="4"/>
  <c r="J1304" i="4"/>
  <c r="I1304" i="4"/>
  <c r="J1303" i="4"/>
  <c r="K1303" i="4" s="1"/>
  <c r="I1303" i="4"/>
  <c r="J1302" i="4"/>
  <c r="K1302" i="4" s="1"/>
  <c r="I1302" i="4"/>
  <c r="L1301" i="4"/>
  <c r="J1301" i="4"/>
  <c r="K1301" i="4" s="1"/>
  <c r="I1301" i="4"/>
  <c r="K1300" i="4"/>
  <c r="J1300" i="4"/>
  <c r="I1300" i="4"/>
  <c r="J1299" i="4"/>
  <c r="K1299" i="4" s="1"/>
  <c r="I1299" i="4"/>
  <c r="K1298" i="4"/>
  <c r="J1298" i="4"/>
  <c r="I1298" i="4"/>
  <c r="J1297" i="4"/>
  <c r="K1297" i="4" s="1"/>
  <c r="I1297" i="4"/>
  <c r="M1296" i="4"/>
  <c r="H976" i="8" s="1"/>
  <c r="K1296" i="4"/>
  <c r="J1296" i="4"/>
  <c r="I1296" i="4"/>
  <c r="L1295" i="4"/>
  <c r="J1295" i="4"/>
  <c r="K1295" i="4" s="1"/>
  <c r="I1295" i="4"/>
  <c r="J1294" i="4"/>
  <c r="K1294" i="4" s="1"/>
  <c r="I1294" i="4"/>
  <c r="J1293" i="4"/>
  <c r="K1293" i="4" s="1"/>
  <c r="I1293" i="4"/>
  <c r="L1292" i="4"/>
  <c r="K1292" i="4"/>
  <c r="J1292" i="4"/>
  <c r="I1292" i="4"/>
  <c r="J1291" i="4"/>
  <c r="K1291" i="4" s="1"/>
  <c r="I1291" i="4"/>
  <c r="K1290" i="4"/>
  <c r="J1290" i="4"/>
  <c r="I1290" i="4"/>
  <c r="J1289" i="4"/>
  <c r="K1289" i="4" s="1"/>
  <c r="I1289" i="4"/>
  <c r="M1288" i="4"/>
  <c r="H968" i="8" s="1"/>
  <c r="K1288" i="4"/>
  <c r="J1288" i="4"/>
  <c r="I1288" i="4"/>
  <c r="J1287" i="4"/>
  <c r="K1287" i="4" s="1"/>
  <c r="I1287" i="4"/>
  <c r="J1286" i="4"/>
  <c r="K1286" i="4" s="1"/>
  <c r="I1286" i="4"/>
  <c r="J1285" i="4"/>
  <c r="K1285" i="4" s="1"/>
  <c r="I1285" i="4"/>
  <c r="K1284" i="4"/>
  <c r="J1284" i="4"/>
  <c r="I1284" i="4"/>
  <c r="J1283" i="4"/>
  <c r="K1283" i="4" s="1"/>
  <c r="I1283" i="4"/>
  <c r="K1282" i="4"/>
  <c r="J1282" i="4"/>
  <c r="I1282" i="4"/>
  <c r="J1281" i="4"/>
  <c r="K1281" i="4" s="1"/>
  <c r="I1281" i="4"/>
  <c r="M1280" i="4"/>
  <c r="H536" i="8" s="1"/>
  <c r="K1280" i="4"/>
  <c r="F536" i="8" s="1"/>
  <c r="J1280" i="4"/>
  <c r="I1280" i="4"/>
  <c r="M1279" i="4"/>
  <c r="H535" i="8" s="1"/>
  <c r="J1279" i="4"/>
  <c r="K1279" i="4" s="1"/>
  <c r="I1279" i="4"/>
  <c r="J1278" i="4"/>
  <c r="K1278" i="4" s="1"/>
  <c r="I1278" i="4"/>
  <c r="L1277" i="4"/>
  <c r="J1277" i="4"/>
  <c r="K1277" i="4" s="1"/>
  <c r="I1277" i="4"/>
  <c r="K1276" i="4"/>
  <c r="J1276" i="4"/>
  <c r="I1276" i="4"/>
  <c r="J1275" i="4"/>
  <c r="K1275" i="4" s="1"/>
  <c r="I1275" i="4"/>
  <c r="K1274" i="4"/>
  <c r="J1274" i="4"/>
  <c r="I1274" i="4"/>
  <c r="J1273" i="4"/>
  <c r="K1273" i="4" s="1"/>
  <c r="I1273" i="4"/>
  <c r="M1272" i="4"/>
  <c r="H528" i="8" s="1"/>
  <c r="K1272" i="4"/>
  <c r="J1272" i="4"/>
  <c r="I1272" i="4"/>
  <c r="J1271" i="4"/>
  <c r="K1271" i="4" s="1"/>
  <c r="I1271" i="4"/>
  <c r="J1270" i="4"/>
  <c r="K1270" i="4" s="1"/>
  <c r="I1270" i="4"/>
  <c r="L1269" i="4"/>
  <c r="J1269" i="4"/>
  <c r="K1269" i="4" s="1"/>
  <c r="I1269" i="4"/>
  <c r="K1268" i="4"/>
  <c r="J1268" i="4"/>
  <c r="I1268" i="4"/>
  <c r="J1267" i="4"/>
  <c r="K1267" i="4" s="1"/>
  <c r="I1267" i="4"/>
  <c r="K1266" i="4"/>
  <c r="J1266" i="4"/>
  <c r="I1266" i="4"/>
  <c r="J1265" i="4"/>
  <c r="K1265" i="4" s="1"/>
  <c r="I1265" i="4"/>
  <c r="M1264" i="4"/>
  <c r="H962" i="8" s="1"/>
  <c r="K1264" i="4"/>
  <c r="J1264" i="4"/>
  <c r="I1264" i="4"/>
  <c r="L1263" i="4"/>
  <c r="J1263" i="4"/>
  <c r="K1263" i="4" s="1"/>
  <c r="I1263" i="4"/>
  <c r="J1262" i="4"/>
  <c r="K1262" i="4" s="1"/>
  <c r="I1262" i="4"/>
  <c r="J1261" i="4"/>
  <c r="K1261" i="4" s="1"/>
  <c r="I1261" i="4"/>
  <c r="L1260" i="4"/>
  <c r="K1260" i="4"/>
  <c r="J1260" i="4"/>
  <c r="I1260" i="4"/>
  <c r="J1259" i="4"/>
  <c r="K1259" i="4" s="1"/>
  <c r="I1259" i="4"/>
  <c r="K1258" i="4"/>
  <c r="J1258" i="4"/>
  <c r="I1258" i="4"/>
  <c r="J1257" i="4"/>
  <c r="K1257" i="4" s="1"/>
  <c r="I1257" i="4"/>
  <c r="M1256" i="4"/>
  <c r="H954" i="8" s="1"/>
  <c r="K1256" i="4"/>
  <c r="J1256" i="4"/>
  <c r="I1256" i="4"/>
  <c r="J1255" i="4"/>
  <c r="K1255" i="4" s="1"/>
  <c r="I1255" i="4"/>
  <c r="J1254" i="4"/>
  <c r="K1254" i="4" s="1"/>
  <c r="I1254" i="4"/>
  <c r="J1253" i="4"/>
  <c r="K1253" i="4" s="1"/>
  <c r="I1253" i="4"/>
  <c r="K1252" i="4"/>
  <c r="J1252" i="4"/>
  <c r="I1252" i="4"/>
  <c r="J1251" i="4"/>
  <c r="K1251" i="4" s="1"/>
  <c r="I1251" i="4"/>
  <c r="K1250" i="4"/>
  <c r="J1250" i="4"/>
  <c r="I1250" i="4"/>
  <c r="J1249" i="4"/>
  <c r="K1249" i="4" s="1"/>
  <c r="I1249" i="4"/>
  <c r="M1248" i="4"/>
  <c r="H946" i="8" s="1"/>
  <c r="K1248" i="4"/>
  <c r="J1248" i="4"/>
  <c r="I1248" i="4"/>
  <c r="M1247" i="4"/>
  <c r="H945" i="8" s="1"/>
  <c r="J1247" i="4"/>
  <c r="K1247" i="4" s="1"/>
  <c r="I1247" i="4"/>
  <c r="J1246" i="4"/>
  <c r="K1246" i="4" s="1"/>
  <c r="I1246" i="4"/>
  <c r="L1245" i="4"/>
  <c r="J1245" i="4"/>
  <c r="K1245" i="4" s="1"/>
  <c r="I1245" i="4"/>
  <c r="K1244" i="4"/>
  <c r="J1244" i="4"/>
  <c r="I1244" i="4"/>
  <c r="J1243" i="4"/>
  <c r="K1243" i="4" s="1"/>
  <c r="I1243" i="4"/>
  <c r="K1242" i="4"/>
  <c r="J1242" i="4"/>
  <c r="I1242" i="4"/>
  <c r="J1241" i="4"/>
  <c r="K1241" i="4" s="1"/>
  <c r="I1241" i="4"/>
  <c r="M1240" i="4"/>
  <c r="H938" i="8" s="1"/>
  <c r="K1240" i="4"/>
  <c r="J1240" i="4"/>
  <c r="I1240" i="4"/>
  <c r="J1239" i="4"/>
  <c r="K1239" i="4" s="1"/>
  <c r="I1239" i="4"/>
  <c r="J1238" i="4"/>
  <c r="K1238" i="4" s="1"/>
  <c r="I1238" i="4"/>
  <c r="L1237" i="4"/>
  <c r="J1237" i="4"/>
  <c r="K1237" i="4" s="1"/>
  <c r="I1237" i="4"/>
  <c r="K1236" i="4"/>
  <c r="J1236" i="4"/>
  <c r="I1236" i="4"/>
  <c r="J1235" i="4"/>
  <c r="K1235" i="4" s="1"/>
  <c r="I1235" i="4"/>
  <c r="K1234" i="4"/>
  <c r="J1234" i="4"/>
  <c r="I1234" i="4"/>
  <c r="K1233" i="4"/>
  <c r="J1233" i="4"/>
  <c r="I1233" i="4"/>
  <c r="M1232" i="4"/>
  <c r="H930" i="8" s="1"/>
  <c r="K1232" i="4"/>
  <c r="J1232" i="4"/>
  <c r="I1232" i="4"/>
  <c r="L1231" i="4"/>
  <c r="J1231" i="4"/>
  <c r="K1231" i="4" s="1"/>
  <c r="I1231" i="4"/>
  <c r="J1230" i="4"/>
  <c r="K1230" i="4" s="1"/>
  <c r="I1230" i="4"/>
  <c r="J1229" i="4"/>
  <c r="K1229" i="4" s="1"/>
  <c r="I1229" i="4"/>
  <c r="L1228" i="4"/>
  <c r="K1228" i="4"/>
  <c r="J1228" i="4"/>
  <c r="I1228" i="4"/>
  <c r="J1227" i="4"/>
  <c r="K1227" i="4" s="1"/>
  <c r="I1227" i="4"/>
  <c r="K1226" i="4"/>
  <c r="J1226" i="4"/>
  <c r="I1226" i="4"/>
  <c r="J1225" i="4"/>
  <c r="K1225" i="4" s="1"/>
  <c r="I1225" i="4"/>
  <c r="M1224" i="4"/>
  <c r="H922" i="8" s="1"/>
  <c r="K1224" i="4"/>
  <c r="J1224" i="4"/>
  <c r="I1224" i="4"/>
  <c r="J1223" i="4"/>
  <c r="K1223" i="4" s="1"/>
  <c r="I1223" i="4"/>
  <c r="J1222" i="4"/>
  <c r="K1222" i="4" s="1"/>
  <c r="I1222" i="4"/>
  <c r="J1221" i="4"/>
  <c r="K1221" i="4" s="1"/>
  <c r="I1221" i="4"/>
  <c r="K1220" i="4"/>
  <c r="J1220" i="4"/>
  <c r="I1220" i="4"/>
  <c r="J1219" i="4"/>
  <c r="K1219" i="4" s="1"/>
  <c r="I1219" i="4"/>
  <c r="K1218" i="4"/>
  <c r="J1218" i="4"/>
  <c r="I1218" i="4"/>
  <c r="J1217" i="4"/>
  <c r="K1217" i="4" s="1"/>
  <c r="I1217" i="4"/>
  <c r="M1216" i="4"/>
  <c r="H524" i="8" s="1"/>
  <c r="K1216" i="4"/>
  <c r="J1216" i="4"/>
  <c r="I1216" i="4"/>
  <c r="M1215" i="4"/>
  <c r="H523" i="8" s="1"/>
  <c r="J1215" i="4"/>
  <c r="K1215" i="4" s="1"/>
  <c r="I1215" i="4"/>
  <c r="J1214" i="4"/>
  <c r="K1214" i="4" s="1"/>
  <c r="I1214" i="4"/>
  <c r="L1213" i="4"/>
  <c r="J1213" i="4"/>
  <c r="K1213" i="4" s="1"/>
  <c r="I1213" i="4"/>
  <c r="K1212" i="4"/>
  <c r="J1212" i="4"/>
  <c r="I1212" i="4"/>
  <c r="J1211" i="4"/>
  <c r="K1211" i="4" s="1"/>
  <c r="I1211" i="4"/>
  <c r="K1210" i="4"/>
  <c r="J1210" i="4"/>
  <c r="I1210" i="4"/>
  <c r="J1209" i="4"/>
  <c r="K1209" i="4" s="1"/>
  <c r="I1209" i="4"/>
  <c r="M1208" i="4"/>
  <c r="H516" i="8" s="1"/>
  <c r="K1208" i="4"/>
  <c r="J1208" i="4"/>
  <c r="I1208" i="4"/>
  <c r="J1207" i="4"/>
  <c r="K1207" i="4" s="1"/>
  <c r="I1207" i="4"/>
  <c r="J1206" i="4"/>
  <c r="K1206" i="4" s="1"/>
  <c r="I1206" i="4"/>
  <c r="L1205" i="4"/>
  <c r="J1205" i="4"/>
  <c r="K1205" i="4" s="1"/>
  <c r="I1205" i="4"/>
  <c r="K1204" i="4"/>
  <c r="J1204" i="4"/>
  <c r="I1204" i="4"/>
  <c r="J1203" i="4"/>
  <c r="K1203" i="4" s="1"/>
  <c r="I1203" i="4"/>
  <c r="K1202" i="4"/>
  <c r="J1202" i="4"/>
  <c r="I1202" i="4"/>
  <c r="K1201" i="4"/>
  <c r="J1201" i="4"/>
  <c r="I1201" i="4"/>
  <c r="M1200" i="4"/>
  <c r="H508" i="8" s="1"/>
  <c r="K1200" i="4"/>
  <c r="F508" i="8" s="1"/>
  <c r="J1200" i="4"/>
  <c r="I1200" i="4"/>
  <c r="L1199" i="4"/>
  <c r="J1199" i="4"/>
  <c r="K1199" i="4" s="1"/>
  <c r="I1199" i="4"/>
  <c r="J1198" i="4"/>
  <c r="K1198" i="4" s="1"/>
  <c r="I1198" i="4"/>
  <c r="J1197" i="4"/>
  <c r="K1197" i="4" s="1"/>
  <c r="I1197" i="4"/>
  <c r="L1196" i="4"/>
  <c r="K1196" i="4"/>
  <c r="J1196" i="4"/>
  <c r="I1196" i="4"/>
  <c r="J1195" i="4"/>
  <c r="K1195" i="4" s="1"/>
  <c r="I1195" i="4"/>
  <c r="K1194" i="4"/>
  <c r="J1194" i="4"/>
  <c r="I1194" i="4"/>
  <c r="J1193" i="4"/>
  <c r="K1193" i="4" s="1"/>
  <c r="I1193" i="4"/>
  <c r="M1192" i="4"/>
  <c r="H500" i="8" s="1"/>
  <c r="K1192" i="4"/>
  <c r="J1192" i="4"/>
  <c r="I1192" i="4"/>
  <c r="J1191" i="4"/>
  <c r="K1191" i="4" s="1"/>
  <c r="I1191" i="4"/>
  <c r="J1190" i="4"/>
  <c r="K1190" i="4" s="1"/>
  <c r="I1190" i="4"/>
  <c r="J1189" i="4"/>
  <c r="K1189" i="4" s="1"/>
  <c r="I1189" i="4"/>
  <c r="K1188" i="4"/>
  <c r="J1188" i="4"/>
  <c r="I1188" i="4"/>
  <c r="J1187" i="4"/>
  <c r="K1187" i="4" s="1"/>
  <c r="I1187" i="4"/>
  <c r="K1186" i="4"/>
  <c r="J1186" i="4"/>
  <c r="I1186" i="4"/>
  <c r="J1185" i="4"/>
  <c r="K1185" i="4" s="1"/>
  <c r="I1185" i="4"/>
  <c r="M1184" i="4"/>
  <c r="H492" i="8" s="1"/>
  <c r="K1184" i="4"/>
  <c r="J1184" i="4"/>
  <c r="I1184" i="4"/>
  <c r="M1183" i="4"/>
  <c r="H491" i="8" s="1"/>
  <c r="J1183" i="4"/>
  <c r="K1183" i="4" s="1"/>
  <c r="I1183" i="4"/>
  <c r="J1182" i="4"/>
  <c r="K1182" i="4" s="1"/>
  <c r="I1182" i="4"/>
  <c r="L1181" i="4"/>
  <c r="J1181" i="4"/>
  <c r="K1181" i="4" s="1"/>
  <c r="I1181" i="4"/>
  <c r="K1180" i="4"/>
  <c r="J1180" i="4"/>
  <c r="I1180" i="4"/>
  <c r="J1179" i="4"/>
  <c r="K1179" i="4" s="1"/>
  <c r="I1179" i="4"/>
  <c r="K1178" i="4"/>
  <c r="J1178" i="4"/>
  <c r="I1178" i="4"/>
  <c r="J1177" i="4"/>
  <c r="K1177" i="4" s="1"/>
  <c r="I1177" i="4"/>
  <c r="M1176" i="4"/>
  <c r="H484" i="8" s="1"/>
  <c r="K1176" i="4"/>
  <c r="F484" i="8" s="1"/>
  <c r="J1176" i="4"/>
  <c r="I1176" i="4"/>
  <c r="J1175" i="4"/>
  <c r="K1175" i="4" s="1"/>
  <c r="I1175" i="4"/>
  <c r="J1174" i="4"/>
  <c r="K1174" i="4" s="1"/>
  <c r="I1174" i="4"/>
  <c r="L1173" i="4"/>
  <c r="J1173" i="4"/>
  <c r="K1173" i="4" s="1"/>
  <c r="I1173" i="4"/>
  <c r="K1172" i="4"/>
  <c r="J1172" i="4"/>
  <c r="I1172" i="4"/>
  <c r="J1171" i="4"/>
  <c r="K1171" i="4" s="1"/>
  <c r="I1171" i="4"/>
  <c r="K1170" i="4"/>
  <c r="J1170" i="4"/>
  <c r="I1170" i="4"/>
  <c r="L1169" i="4"/>
  <c r="K1169" i="4"/>
  <c r="J1169" i="4"/>
  <c r="I1169" i="4"/>
  <c r="M1168" i="4"/>
  <c r="H919" i="8" s="1"/>
  <c r="K1168" i="4"/>
  <c r="J1168" i="4"/>
  <c r="I1168" i="4"/>
  <c r="M1167" i="4"/>
  <c r="H918" i="8" s="1"/>
  <c r="L1167" i="4"/>
  <c r="J1167" i="4"/>
  <c r="K1167" i="4" s="1"/>
  <c r="I1167" i="4"/>
  <c r="J1166" i="4"/>
  <c r="K1166" i="4" s="1"/>
  <c r="I1166" i="4"/>
  <c r="J1165" i="4"/>
  <c r="K1165" i="4" s="1"/>
  <c r="I1165" i="4"/>
  <c r="M1164" i="4"/>
  <c r="H915" i="8" s="1"/>
  <c r="L1164" i="4"/>
  <c r="K1164" i="4"/>
  <c r="J1164" i="4"/>
  <c r="I1164" i="4"/>
  <c r="J1163" i="4"/>
  <c r="K1163" i="4" s="1"/>
  <c r="I1163" i="4"/>
  <c r="M1162" i="4"/>
  <c r="H913" i="8" s="1"/>
  <c r="K1162" i="4"/>
  <c r="J1162" i="4"/>
  <c r="I1162" i="4"/>
  <c r="J1161" i="4"/>
  <c r="K1161" i="4" s="1"/>
  <c r="I1161" i="4"/>
  <c r="M1160" i="4"/>
  <c r="H911" i="8" s="1"/>
  <c r="K1160" i="4"/>
  <c r="J1160" i="4"/>
  <c r="I1160" i="4"/>
  <c r="J1159" i="4"/>
  <c r="K1159" i="4" s="1"/>
  <c r="I1159" i="4"/>
  <c r="K1158" i="4"/>
  <c r="J1158" i="4"/>
  <c r="I1158" i="4"/>
  <c r="J1157" i="4"/>
  <c r="K1157" i="4" s="1"/>
  <c r="I1157" i="4"/>
  <c r="L1156" i="4"/>
  <c r="K1156" i="4"/>
  <c r="J1156" i="4"/>
  <c r="I1156" i="4"/>
  <c r="J1155" i="4"/>
  <c r="K1155" i="4" s="1"/>
  <c r="I1155" i="4"/>
  <c r="K1154" i="4"/>
  <c r="J1154" i="4"/>
  <c r="I1154" i="4"/>
  <c r="K1153" i="4"/>
  <c r="J1153" i="4"/>
  <c r="I1153" i="4"/>
  <c r="M1152" i="4"/>
  <c r="H472" i="8" s="1"/>
  <c r="K1152" i="4"/>
  <c r="J1152" i="4"/>
  <c r="I1152" i="4"/>
  <c r="M1151" i="4"/>
  <c r="H471" i="8" s="1"/>
  <c r="L1151" i="4"/>
  <c r="J1151" i="4"/>
  <c r="K1151" i="4" s="1"/>
  <c r="I1151" i="4"/>
  <c r="J1150" i="4"/>
  <c r="K1150" i="4" s="1"/>
  <c r="I1150" i="4"/>
  <c r="L1149" i="4"/>
  <c r="J1149" i="4"/>
  <c r="K1149" i="4" s="1"/>
  <c r="I1149" i="4"/>
  <c r="K1148" i="4"/>
  <c r="J1148" i="4"/>
  <c r="I1148" i="4"/>
  <c r="J1147" i="4"/>
  <c r="K1147" i="4" s="1"/>
  <c r="I1147" i="4"/>
  <c r="M1146" i="4"/>
  <c r="H466" i="8" s="1"/>
  <c r="K1146" i="4"/>
  <c r="J1146" i="4"/>
  <c r="I1146" i="4"/>
  <c r="J1145" i="4"/>
  <c r="K1145" i="4" s="1"/>
  <c r="I1145" i="4"/>
  <c r="M1144" i="4"/>
  <c r="H464" i="8" s="1"/>
  <c r="K1144" i="4"/>
  <c r="J1144" i="4"/>
  <c r="I1144" i="4"/>
  <c r="J1143" i="4"/>
  <c r="K1143" i="4" s="1"/>
  <c r="I1143" i="4"/>
  <c r="K1142" i="4"/>
  <c r="J1142" i="4"/>
  <c r="I1142" i="4"/>
  <c r="J1141" i="4"/>
  <c r="K1141" i="4" s="1"/>
  <c r="I1141" i="4"/>
  <c r="K1140" i="4"/>
  <c r="J1140" i="4"/>
  <c r="I1140" i="4"/>
  <c r="J1139" i="4"/>
  <c r="K1139" i="4" s="1"/>
  <c r="I1139" i="4"/>
  <c r="M1138" i="4"/>
  <c r="H458" i="8" s="1"/>
  <c r="K1138" i="4"/>
  <c r="J1138" i="4"/>
  <c r="I1138" i="4"/>
  <c r="J1137" i="4"/>
  <c r="K1137" i="4" s="1"/>
  <c r="I1137" i="4"/>
  <c r="M1136" i="4"/>
  <c r="H456" i="8" s="1"/>
  <c r="K1136" i="4"/>
  <c r="J1136" i="4"/>
  <c r="I1136" i="4"/>
  <c r="J1135" i="4"/>
  <c r="K1135" i="4" s="1"/>
  <c r="I1135" i="4"/>
  <c r="K1134" i="4"/>
  <c r="J1134" i="4"/>
  <c r="I1134" i="4"/>
  <c r="L1133" i="4"/>
  <c r="J1133" i="4"/>
  <c r="K1133" i="4" s="1"/>
  <c r="I1133" i="4"/>
  <c r="K1132" i="4"/>
  <c r="G452" i="8" s="1"/>
  <c r="J1132" i="4"/>
  <c r="I1132" i="4"/>
  <c r="J1131" i="4"/>
  <c r="K1131" i="4" s="1"/>
  <c r="I1131" i="4"/>
  <c r="K1130" i="4"/>
  <c r="J1130" i="4"/>
  <c r="I1130" i="4"/>
  <c r="J1129" i="4"/>
  <c r="K1129" i="4" s="1"/>
  <c r="I1129" i="4"/>
  <c r="M1128" i="4"/>
  <c r="H449" i="8" s="1"/>
  <c r="K1128" i="4"/>
  <c r="J1128" i="4"/>
  <c r="I1128" i="4"/>
  <c r="M1127" i="4"/>
  <c r="H448" i="8" s="1"/>
  <c r="J1127" i="4"/>
  <c r="K1127" i="4" s="1"/>
  <c r="I1127" i="4"/>
  <c r="J1126" i="4"/>
  <c r="K1126" i="4" s="1"/>
  <c r="I1126" i="4"/>
  <c r="J1125" i="4"/>
  <c r="K1125" i="4" s="1"/>
  <c r="I1125" i="4"/>
  <c r="M1124" i="4"/>
  <c r="H445" i="8" s="1"/>
  <c r="K1124" i="4"/>
  <c r="J1124" i="4"/>
  <c r="I1124" i="4"/>
  <c r="J1123" i="4"/>
  <c r="K1123" i="4" s="1"/>
  <c r="I1123" i="4"/>
  <c r="K1122" i="4"/>
  <c r="J1122" i="4"/>
  <c r="I1122" i="4"/>
  <c r="J1121" i="4"/>
  <c r="K1121" i="4" s="1"/>
  <c r="I1121" i="4"/>
  <c r="M1120" i="4"/>
  <c r="H441" i="8" s="1"/>
  <c r="K1120" i="4"/>
  <c r="J1120" i="4"/>
  <c r="I1120" i="4"/>
  <c r="J1119" i="4"/>
  <c r="K1119" i="4" s="1"/>
  <c r="I1119" i="4"/>
  <c r="J1118" i="4"/>
  <c r="K1118" i="4" s="1"/>
  <c r="I1118" i="4"/>
  <c r="J1117" i="4"/>
  <c r="K1117" i="4" s="1"/>
  <c r="I1117" i="4"/>
  <c r="M1116" i="4"/>
  <c r="H437" i="8" s="1"/>
  <c r="L1116" i="4"/>
  <c r="K1116" i="4"/>
  <c r="J1116" i="4"/>
  <c r="I1116" i="4"/>
  <c r="J1115" i="4"/>
  <c r="K1115" i="4" s="1"/>
  <c r="I1115" i="4"/>
  <c r="K1114" i="4"/>
  <c r="J1114" i="4"/>
  <c r="I1114" i="4"/>
  <c r="L1113" i="4"/>
  <c r="J1113" i="4"/>
  <c r="K1113" i="4" s="1"/>
  <c r="I1113" i="4"/>
  <c r="M1112" i="4"/>
  <c r="H433" i="8" s="1"/>
  <c r="K1112" i="4"/>
  <c r="J1112" i="4"/>
  <c r="I1112" i="4"/>
  <c r="M1111" i="4"/>
  <c r="H432" i="8" s="1"/>
  <c r="J1111" i="4"/>
  <c r="K1111" i="4" s="1"/>
  <c r="I1111" i="4"/>
  <c r="J1110" i="4"/>
  <c r="K1110" i="4" s="1"/>
  <c r="I1110" i="4"/>
  <c r="J1109" i="4"/>
  <c r="K1109" i="4" s="1"/>
  <c r="I1109" i="4"/>
  <c r="K1108" i="4"/>
  <c r="J1108" i="4"/>
  <c r="I1108" i="4"/>
  <c r="J1107" i="4"/>
  <c r="K1107" i="4" s="1"/>
  <c r="I1107" i="4"/>
  <c r="K1106" i="4"/>
  <c r="J1106" i="4"/>
  <c r="I1106" i="4"/>
  <c r="K1105" i="4"/>
  <c r="J1105" i="4"/>
  <c r="I1105" i="4"/>
  <c r="M1104" i="4"/>
  <c r="H906" i="8" s="1"/>
  <c r="K1104" i="4"/>
  <c r="J1104" i="4"/>
  <c r="I1104" i="4"/>
  <c r="M1103" i="4"/>
  <c r="H905" i="8" s="1"/>
  <c r="L1103" i="4"/>
  <c r="J1103" i="4"/>
  <c r="K1103" i="4" s="1"/>
  <c r="I1103" i="4"/>
  <c r="J1102" i="4"/>
  <c r="K1102" i="4" s="1"/>
  <c r="I1102" i="4"/>
  <c r="J1101" i="4"/>
  <c r="K1101" i="4" s="1"/>
  <c r="I1101" i="4"/>
  <c r="M1100" i="4"/>
  <c r="H902" i="8" s="1"/>
  <c r="L1100" i="4"/>
  <c r="K1100" i="4"/>
  <c r="J1100" i="4"/>
  <c r="I1100" i="4"/>
  <c r="J1099" i="4"/>
  <c r="K1099" i="4" s="1"/>
  <c r="I1099" i="4"/>
  <c r="M1098" i="4"/>
  <c r="H900" i="8" s="1"/>
  <c r="K1098" i="4"/>
  <c r="J1098" i="4"/>
  <c r="I1098" i="4"/>
  <c r="J1097" i="4"/>
  <c r="K1097" i="4" s="1"/>
  <c r="I1097" i="4"/>
  <c r="M1096" i="4"/>
  <c r="H427" i="8" s="1"/>
  <c r="K1096" i="4"/>
  <c r="F427" i="8" s="1"/>
  <c r="J1096" i="4"/>
  <c r="I1096" i="4"/>
  <c r="J1095" i="4"/>
  <c r="K1095" i="4" s="1"/>
  <c r="I1095" i="4"/>
  <c r="K1094" i="4"/>
  <c r="J1094" i="4"/>
  <c r="I1094" i="4"/>
  <c r="J1093" i="4"/>
  <c r="K1093" i="4" s="1"/>
  <c r="I1093" i="4"/>
  <c r="K1092" i="4"/>
  <c r="J1092" i="4"/>
  <c r="I1092" i="4"/>
  <c r="J1091" i="4"/>
  <c r="K1091" i="4" s="1"/>
  <c r="I1091" i="4"/>
  <c r="K1090" i="4"/>
  <c r="J1090" i="4"/>
  <c r="I1090" i="4"/>
  <c r="K1089" i="4"/>
  <c r="J1089" i="4"/>
  <c r="I1089" i="4"/>
  <c r="M1088" i="4"/>
  <c r="H419" i="8" s="1"/>
  <c r="K1088" i="4"/>
  <c r="F419" i="8" s="1"/>
  <c r="J1088" i="4"/>
  <c r="I1088" i="4"/>
  <c r="M1087" i="4"/>
  <c r="H418" i="8" s="1"/>
  <c r="L1087" i="4"/>
  <c r="J1087" i="4"/>
  <c r="K1087" i="4" s="1"/>
  <c r="I1087" i="4"/>
  <c r="J1086" i="4"/>
  <c r="K1086" i="4" s="1"/>
  <c r="I1086" i="4"/>
  <c r="L1085" i="4"/>
  <c r="J1085" i="4"/>
  <c r="K1085" i="4" s="1"/>
  <c r="I1085" i="4"/>
  <c r="K1084" i="4"/>
  <c r="J1084" i="4"/>
  <c r="I1084" i="4"/>
  <c r="J1083" i="4"/>
  <c r="K1083" i="4" s="1"/>
  <c r="I1083" i="4"/>
  <c r="M1082" i="4"/>
  <c r="H413" i="8" s="1"/>
  <c r="K1082" i="4"/>
  <c r="J1082" i="4"/>
  <c r="I1082" i="4"/>
  <c r="K1081" i="4"/>
  <c r="J1081" i="4"/>
  <c r="I1081" i="4"/>
  <c r="M1080" i="4"/>
  <c r="H411" i="8" s="1"/>
  <c r="K1080" i="4"/>
  <c r="J1080" i="4"/>
  <c r="I1080" i="4"/>
  <c r="L1079" i="4"/>
  <c r="J1079" i="4"/>
  <c r="K1079" i="4" s="1"/>
  <c r="I1079" i="4"/>
  <c r="J1078" i="4"/>
  <c r="K1078" i="4" s="1"/>
  <c r="I1078" i="4"/>
  <c r="J1077" i="4"/>
  <c r="K1077" i="4" s="1"/>
  <c r="I1077" i="4"/>
  <c r="M1076" i="4"/>
  <c r="H407" i="8" s="1"/>
  <c r="L1076" i="4"/>
  <c r="K1076" i="4"/>
  <c r="J1076" i="4"/>
  <c r="I1076" i="4"/>
  <c r="J1075" i="4"/>
  <c r="K1075" i="4" s="1"/>
  <c r="I1075" i="4"/>
  <c r="K1074" i="4"/>
  <c r="J1074" i="4"/>
  <c r="I1074" i="4"/>
  <c r="J1073" i="4"/>
  <c r="K1073" i="4" s="1"/>
  <c r="I1073" i="4"/>
  <c r="K1072" i="4"/>
  <c r="J1072" i="4"/>
  <c r="I1072" i="4"/>
  <c r="J1071" i="4"/>
  <c r="K1071" i="4" s="1"/>
  <c r="I1071" i="4"/>
  <c r="K1070" i="4"/>
  <c r="J1070" i="4"/>
  <c r="I1070" i="4"/>
  <c r="J1069" i="4"/>
  <c r="K1069" i="4" s="1"/>
  <c r="I1069" i="4"/>
  <c r="M1068" i="4"/>
  <c r="H399" i="8" s="1"/>
  <c r="K1068" i="4"/>
  <c r="J1068" i="4"/>
  <c r="I1068" i="4"/>
  <c r="J1067" i="4"/>
  <c r="K1067" i="4" s="1"/>
  <c r="I1067" i="4"/>
  <c r="M1066" i="4"/>
  <c r="H397" i="8" s="1"/>
  <c r="K1066" i="4"/>
  <c r="J1066" i="4"/>
  <c r="I1066" i="4"/>
  <c r="J1065" i="4"/>
  <c r="K1065" i="4" s="1"/>
  <c r="I1065" i="4"/>
  <c r="M1064" i="4"/>
  <c r="H395" i="8" s="1"/>
  <c r="K1064" i="4"/>
  <c r="J1064" i="4"/>
  <c r="I1064" i="4"/>
  <c r="J1063" i="4"/>
  <c r="K1063" i="4" s="1"/>
  <c r="I1063" i="4"/>
  <c r="M1062" i="4"/>
  <c r="H393" i="8" s="1"/>
  <c r="J1062" i="4"/>
  <c r="K1062" i="4" s="1"/>
  <c r="I1062" i="4"/>
  <c r="J1061" i="4"/>
  <c r="K1061" i="4" s="1"/>
  <c r="I1061" i="4"/>
  <c r="M1060" i="4"/>
  <c r="H391" i="8" s="1"/>
  <c r="L1060" i="4"/>
  <c r="K1060" i="4"/>
  <c r="J1060" i="4"/>
  <c r="I1060" i="4"/>
  <c r="J1059" i="4"/>
  <c r="K1059" i="4" s="1"/>
  <c r="I1059" i="4"/>
  <c r="K1058" i="4"/>
  <c r="J1058" i="4"/>
  <c r="I1058" i="4"/>
  <c r="J1057" i="4"/>
  <c r="K1057" i="4" s="1"/>
  <c r="I1057" i="4"/>
  <c r="M1056" i="4"/>
  <c r="H387" i="8" s="1"/>
  <c r="K1056" i="4"/>
  <c r="J1056" i="4"/>
  <c r="I1056" i="4"/>
  <c r="J1055" i="4"/>
  <c r="K1055" i="4" s="1"/>
  <c r="I1055" i="4"/>
  <c r="M1054" i="4"/>
  <c r="H385" i="8" s="1"/>
  <c r="K1054" i="4"/>
  <c r="J1054" i="4"/>
  <c r="I1054" i="4"/>
  <c r="J1053" i="4"/>
  <c r="K1053" i="4" s="1"/>
  <c r="I1053" i="4"/>
  <c r="L1052" i="4"/>
  <c r="K1052" i="4"/>
  <c r="J1052" i="4"/>
  <c r="I1052" i="4"/>
  <c r="J1051" i="4"/>
  <c r="K1051" i="4" s="1"/>
  <c r="I1051" i="4"/>
  <c r="K1050" i="4"/>
  <c r="J1050" i="4"/>
  <c r="I1050" i="4"/>
  <c r="J1049" i="4"/>
  <c r="K1049" i="4" s="1"/>
  <c r="I1049" i="4"/>
  <c r="K1048" i="4"/>
  <c r="J1048" i="4"/>
  <c r="I1048" i="4"/>
  <c r="M1047" i="4"/>
  <c r="H378" i="8" s="1"/>
  <c r="J1047" i="4"/>
  <c r="K1047" i="4" s="1"/>
  <c r="I1047" i="4"/>
  <c r="K1046" i="4"/>
  <c r="J1046" i="4"/>
  <c r="I1046" i="4"/>
  <c r="L1045" i="4"/>
  <c r="J1045" i="4"/>
  <c r="K1045" i="4" s="1"/>
  <c r="I1045" i="4"/>
  <c r="K1044" i="4"/>
  <c r="J1044" i="4"/>
  <c r="I1044" i="4"/>
  <c r="L1043" i="4"/>
  <c r="J1043" i="4"/>
  <c r="K1043" i="4" s="1"/>
  <c r="I1043" i="4"/>
  <c r="K1042" i="4"/>
  <c r="J1042" i="4"/>
  <c r="I1042" i="4"/>
  <c r="J1041" i="4"/>
  <c r="K1041" i="4" s="1"/>
  <c r="I1041" i="4"/>
  <c r="K1040" i="4"/>
  <c r="J1040" i="4"/>
  <c r="I1040" i="4"/>
  <c r="M1039" i="4"/>
  <c r="H370" i="8" s="1"/>
  <c r="J1039" i="4"/>
  <c r="K1039" i="4" s="1"/>
  <c r="I1039" i="4"/>
  <c r="M1038" i="4"/>
  <c r="H369" i="8" s="1"/>
  <c r="K1038" i="4"/>
  <c r="J1038" i="4"/>
  <c r="I1038" i="4"/>
  <c r="J1037" i="4"/>
  <c r="K1037" i="4" s="1"/>
  <c r="I1037" i="4"/>
  <c r="J1036" i="4"/>
  <c r="K1036" i="4" s="1"/>
  <c r="I1036" i="4"/>
  <c r="J1035" i="4"/>
  <c r="K1035" i="4" s="1"/>
  <c r="I1035" i="4"/>
  <c r="M1034" i="4"/>
  <c r="H365" i="8" s="1"/>
  <c r="L1034" i="4"/>
  <c r="K1034" i="4"/>
  <c r="J1034" i="4"/>
  <c r="I1034" i="4"/>
  <c r="J1033" i="4"/>
  <c r="K1033" i="4" s="1"/>
  <c r="I1033" i="4"/>
  <c r="M1032" i="4"/>
  <c r="H363" i="8" s="1"/>
  <c r="K1032" i="4"/>
  <c r="J1032" i="4"/>
  <c r="I1032" i="4"/>
  <c r="J1031" i="4"/>
  <c r="K1031" i="4" s="1"/>
  <c r="I1031" i="4"/>
  <c r="K1030" i="4"/>
  <c r="J1030" i="4"/>
  <c r="I1030" i="4"/>
  <c r="J1029" i="4"/>
  <c r="K1029" i="4" s="1"/>
  <c r="I1029" i="4"/>
  <c r="L1028" i="4"/>
  <c r="J1028" i="4"/>
  <c r="K1028" i="4" s="1"/>
  <c r="I1028" i="4"/>
  <c r="J1027" i="4"/>
  <c r="K1027" i="4" s="1"/>
  <c r="I1027" i="4"/>
  <c r="M1026" i="4"/>
  <c r="H357" i="8" s="1"/>
  <c r="L1026" i="4"/>
  <c r="K1026" i="4"/>
  <c r="J1026" i="4"/>
  <c r="I1026" i="4"/>
  <c r="K1025" i="4"/>
  <c r="J1025" i="4"/>
  <c r="I1025" i="4"/>
  <c r="J1024" i="4"/>
  <c r="K1024" i="4" s="1"/>
  <c r="I1024" i="4"/>
  <c r="L1023" i="4"/>
  <c r="K1023" i="4"/>
  <c r="J1023" i="4"/>
  <c r="I1023" i="4"/>
  <c r="J1022" i="4"/>
  <c r="K1022" i="4" s="1"/>
  <c r="I1022" i="4"/>
  <c r="J1021" i="4"/>
  <c r="K1021" i="4" s="1"/>
  <c r="I1021" i="4"/>
  <c r="J1020" i="4"/>
  <c r="K1020" i="4" s="1"/>
  <c r="I1020" i="4"/>
  <c r="K1019" i="4"/>
  <c r="J1019" i="4"/>
  <c r="I1019" i="4"/>
  <c r="J1018" i="4"/>
  <c r="K1018" i="4" s="1"/>
  <c r="I1018" i="4"/>
  <c r="J1017" i="4"/>
  <c r="K1017" i="4" s="1"/>
  <c r="I1017" i="4"/>
  <c r="J1016" i="4"/>
  <c r="K1016" i="4" s="1"/>
  <c r="I1016" i="4"/>
  <c r="J1015" i="4"/>
  <c r="K1015" i="4" s="1"/>
  <c r="I1015" i="4"/>
  <c r="L1014" i="4"/>
  <c r="J1014" i="4"/>
  <c r="K1014" i="4" s="1"/>
  <c r="I1014" i="4"/>
  <c r="K1013" i="4"/>
  <c r="J1013" i="4"/>
  <c r="I1013" i="4"/>
  <c r="J1012" i="4"/>
  <c r="K1012" i="4" s="1"/>
  <c r="I1012" i="4"/>
  <c r="M1011" i="4"/>
  <c r="H342" i="8" s="1"/>
  <c r="K1011" i="4"/>
  <c r="J1011" i="4"/>
  <c r="I1011" i="4"/>
  <c r="K1010" i="4"/>
  <c r="J1010" i="4"/>
  <c r="I1010" i="4"/>
  <c r="M1009" i="4"/>
  <c r="H899" i="8" s="1"/>
  <c r="J1009" i="4"/>
  <c r="K1009" i="4" s="1"/>
  <c r="I1009" i="4"/>
  <c r="J1008" i="4"/>
  <c r="K1008" i="4" s="1"/>
  <c r="I1008" i="4"/>
  <c r="J1007" i="4"/>
  <c r="K1007" i="4" s="1"/>
  <c r="I1007" i="4"/>
  <c r="L1006" i="4"/>
  <c r="J1006" i="4"/>
  <c r="K1006" i="4" s="1"/>
  <c r="I1006" i="4"/>
  <c r="K1005" i="4"/>
  <c r="J1005" i="4"/>
  <c r="I1005" i="4"/>
  <c r="J1004" i="4"/>
  <c r="K1004" i="4" s="1"/>
  <c r="I1004" i="4"/>
  <c r="M1003" i="4"/>
  <c r="H893" i="8" s="1"/>
  <c r="K1003" i="4"/>
  <c r="J1003" i="4"/>
  <c r="I1003" i="4"/>
  <c r="K1002" i="4"/>
  <c r="J1002" i="4"/>
  <c r="I1002" i="4"/>
  <c r="M1001" i="4"/>
  <c r="H891" i="8" s="1"/>
  <c r="J1001" i="4"/>
  <c r="K1001" i="4" s="1"/>
  <c r="I1001" i="4"/>
  <c r="J1000" i="4"/>
  <c r="K1000" i="4" s="1"/>
  <c r="I1000" i="4"/>
  <c r="J999" i="4"/>
  <c r="K999" i="4" s="1"/>
  <c r="I999" i="4"/>
  <c r="L998" i="4"/>
  <c r="J998" i="4"/>
  <c r="K998" i="4" s="1"/>
  <c r="I998" i="4"/>
  <c r="K997" i="4"/>
  <c r="J997" i="4"/>
  <c r="I997" i="4"/>
  <c r="J996" i="4"/>
  <c r="K996" i="4" s="1"/>
  <c r="I996" i="4"/>
  <c r="K995" i="4"/>
  <c r="J995" i="4"/>
  <c r="I995" i="4"/>
  <c r="J994" i="4"/>
  <c r="K994" i="4" s="1"/>
  <c r="I994" i="4"/>
  <c r="M993" i="4"/>
  <c r="H338" i="8" s="1"/>
  <c r="J993" i="4"/>
  <c r="K993" i="4" s="1"/>
  <c r="I993" i="4"/>
  <c r="M992" i="4"/>
  <c r="H337" i="8" s="1"/>
  <c r="L992" i="4"/>
  <c r="J992" i="4"/>
  <c r="K992" i="4" s="1"/>
  <c r="I992" i="4"/>
  <c r="J991" i="4"/>
  <c r="K991" i="4" s="1"/>
  <c r="I991" i="4"/>
  <c r="J990" i="4"/>
  <c r="K990" i="4" s="1"/>
  <c r="I990" i="4"/>
  <c r="L989" i="4"/>
  <c r="K989" i="4"/>
  <c r="J989" i="4"/>
  <c r="I989" i="4"/>
  <c r="J988" i="4"/>
  <c r="K988" i="4" s="1"/>
  <c r="I988" i="4"/>
  <c r="K987" i="4"/>
  <c r="J987" i="4"/>
  <c r="I987" i="4"/>
  <c r="K986" i="4"/>
  <c r="J986" i="4"/>
  <c r="I986" i="4"/>
  <c r="J985" i="4"/>
  <c r="K985" i="4" s="1"/>
  <c r="I985" i="4"/>
  <c r="M984" i="4"/>
  <c r="H329" i="8" s="1"/>
  <c r="J984" i="4"/>
  <c r="K984" i="4" s="1"/>
  <c r="I984" i="4"/>
  <c r="J983" i="4"/>
  <c r="K983" i="4" s="1"/>
  <c r="I983" i="4"/>
  <c r="J982" i="4"/>
  <c r="K982" i="4" s="1"/>
  <c r="I982" i="4"/>
  <c r="K981" i="4"/>
  <c r="J981" i="4"/>
  <c r="I981" i="4"/>
  <c r="J980" i="4"/>
  <c r="K980" i="4" s="1"/>
  <c r="I980" i="4"/>
  <c r="K979" i="4"/>
  <c r="J979" i="4"/>
  <c r="I979" i="4"/>
  <c r="K978" i="4"/>
  <c r="G323" i="8" s="1"/>
  <c r="J978" i="4"/>
  <c r="I978" i="4"/>
  <c r="J977" i="4"/>
  <c r="K977" i="4" s="1"/>
  <c r="I977" i="4"/>
  <c r="M976" i="4"/>
  <c r="H321" i="8" s="1"/>
  <c r="L976" i="4"/>
  <c r="J976" i="4"/>
  <c r="K976" i="4" s="1"/>
  <c r="I976" i="4"/>
  <c r="J975" i="4"/>
  <c r="K975" i="4" s="1"/>
  <c r="I975" i="4"/>
  <c r="L974" i="4"/>
  <c r="J974" i="4"/>
  <c r="K974" i="4" s="1"/>
  <c r="I974" i="4"/>
  <c r="L973" i="4"/>
  <c r="K973" i="4"/>
  <c r="J973" i="4"/>
  <c r="I973" i="4"/>
  <c r="J972" i="4"/>
  <c r="K972" i="4" s="1"/>
  <c r="I972" i="4"/>
  <c r="M971" i="4"/>
  <c r="H884" i="8" s="1"/>
  <c r="K971" i="4"/>
  <c r="J971" i="4"/>
  <c r="I971" i="4"/>
  <c r="K970" i="4"/>
  <c r="J970" i="4"/>
  <c r="I970" i="4"/>
  <c r="M969" i="4"/>
  <c r="H882" i="8" s="1"/>
  <c r="J969" i="4"/>
  <c r="K969" i="4" s="1"/>
  <c r="I969" i="4"/>
  <c r="M968" i="4"/>
  <c r="H881" i="8" s="1"/>
  <c r="L968" i="4"/>
  <c r="J968" i="4"/>
  <c r="K968" i="4" s="1"/>
  <c r="I968" i="4"/>
  <c r="J967" i="4"/>
  <c r="K967" i="4" s="1"/>
  <c r="I967" i="4"/>
  <c r="L966" i="4"/>
  <c r="J966" i="4"/>
  <c r="K966" i="4" s="1"/>
  <c r="I966" i="4"/>
  <c r="L965" i="4"/>
  <c r="K965" i="4"/>
  <c r="J965" i="4"/>
  <c r="I965" i="4"/>
  <c r="J964" i="4"/>
  <c r="K964" i="4" s="1"/>
  <c r="I964" i="4"/>
  <c r="K963" i="4"/>
  <c r="J963" i="4"/>
  <c r="I963" i="4"/>
  <c r="J962" i="4"/>
  <c r="K962" i="4" s="1"/>
  <c r="I962" i="4"/>
  <c r="M961" i="4"/>
  <c r="H315" i="8" s="1"/>
  <c r="J961" i="4"/>
  <c r="K961" i="4" s="1"/>
  <c r="I961" i="4"/>
  <c r="M960" i="4"/>
  <c r="H314" i="8" s="1"/>
  <c r="L960" i="4"/>
  <c r="J960" i="4"/>
  <c r="K960" i="4" s="1"/>
  <c r="I960" i="4"/>
  <c r="J959" i="4"/>
  <c r="K959" i="4" s="1"/>
  <c r="I959" i="4"/>
  <c r="J958" i="4"/>
  <c r="K958" i="4" s="1"/>
  <c r="I958" i="4"/>
  <c r="L957" i="4"/>
  <c r="K957" i="4"/>
  <c r="J957" i="4"/>
  <c r="I957" i="4"/>
  <c r="J956" i="4"/>
  <c r="K956" i="4" s="1"/>
  <c r="I956" i="4"/>
  <c r="M955" i="4"/>
  <c r="H875" i="8" s="1"/>
  <c r="K955" i="4"/>
  <c r="J955" i="4"/>
  <c r="I955" i="4"/>
  <c r="J954" i="4"/>
  <c r="K954" i="4" s="1"/>
  <c r="I954" i="4"/>
  <c r="J953" i="4"/>
  <c r="K953" i="4" s="1"/>
  <c r="I953" i="4"/>
  <c r="J952" i="4"/>
  <c r="K952" i="4" s="1"/>
  <c r="I952" i="4"/>
  <c r="J951" i="4"/>
  <c r="K951" i="4" s="1"/>
  <c r="I951" i="4"/>
  <c r="L950" i="4"/>
  <c r="J950" i="4"/>
  <c r="K950" i="4" s="1"/>
  <c r="I950" i="4"/>
  <c r="K949" i="4"/>
  <c r="J949" i="4"/>
  <c r="I949" i="4"/>
  <c r="J948" i="4"/>
  <c r="K948" i="4" s="1"/>
  <c r="I948" i="4"/>
  <c r="M947" i="4"/>
  <c r="H867" i="8" s="1"/>
  <c r="K947" i="4"/>
  <c r="J947" i="4"/>
  <c r="I947" i="4"/>
  <c r="K946" i="4"/>
  <c r="J946" i="4"/>
  <c r="I946" i="4"/>
  <c r="M945" i="4"/>
  <c r="H865" i="8" s="1"/>
  <c r="J945" i="4"/>
  <c r="K945" i="4" s="1"/>
  <c r="I945" i="4"/>
  <c r="J944" i="4"/>
  <c r="K944" i="4" s="1"/>
  <c r="I944" i="4"/>
  <c r="J943" i="4"/>
  <c r="K943" i="4" s="1"/>
  <c r="I943" i="4"/>
  <c r="L942" i="4"/>
  <c r="J942" i="4"/>
  <c r="K942" i="4" s="1"/>
  <c r="I942" i="4"/>
  <c r="K941" i="4"/>
  <c r="J941" i="4"/>
  <c r="I941" i="4"/>
  <c r="J940" i="4"/>
  <c r="K940" i="4" s="1"/>
  <c r="I940" i="4"/>
  <c r="M939" i="4"/>
  <c r="H859" i="8" s="1"/>
  <c r="K939" i="4"/>
  <c r="J939" i="4"/>
  <c r="I939" i="4"/>
  <c r="K938" i="4"/>
  <c r="J938" i="4"/>
  <c r="I938" i="4"/>
  <c r="M937" i="4"/>
  <c r="H857" i="8" s="1"/>
  <c r="J937" i="4"/>
  <c r="K937" i="4" s="1"/>
  <c r="I937" i="4"/>
  <c r="L936" i="4"/>
  <c r="J936" i="4"/>
  <c r="K936" i="4" s="1"/>
  <c r="I936" i="4"/>
  <c r="J935" i="4"/>
  <c r="K935" i="4" s="1"/>
  <c r="I935" i="4"/>
  <c r="L934" i="4"/>
  <c r="J934" i="4"/>
  <c r="K934" i="4" s="1"/>
  <c r="I934" i="4"/>
  <c r="L933" i="4"/>
  <c r="K933" i="4"/>
  <c r="J933" i="4"/>
  <c r="I933" i="4"/>
  <c r="J932" i="4"/>
  <c r="K932" i="4" s="1"/>
  <c r="I932" i="4"/>
  <c r="K931" i="4"/>
  <c r="J931" i="4"/>
  <c r="I931" i="4"/>
  <c r="J930" i="4"/>
  <c r="K930" i="4" s="1"/>
  <c r="I930" i="4"/>
  <c r="M929" i="4"/>
  <c r="H1260" i="8" s="1"/>
  <c r="J929" i="4"/>
  <c r="K929" i="4" s="1"/>
  <c r="I929" i="4"/>
  <c r="M928" i="4"/>
  <c r="H1259" i="8" s="1"/>
  <c r="L928" i="4"/>
  <c r="J928" i="4"/>
  <c r="K928" i="4" s="1"/>
  <c r="I928" i="4"/>
  <c r="J927" i="4"/>
  <c r="K927" i="4" s="1"/>
  <c r="I927" i="4"/>
  <c r="J926" i="4"/>
  <c r="K926" i="4" s="1"/>
  <c r="I926" i="4"/>
  <c r="L925" i="4"/>
  <c r="K925" i="4"/>
  <c r="J925" i="4"/>
  <c r="I925" i="4"/>
  <c r="J924" i="4"/>
  <c r="K924" i="4" s="1"/>
  <c r="I924" i="4"/>
  <c r="K923" i="4"/>
  <c r="J923" i="4"/>
  <c r="I923" i="4"/>
  <c r="K922" i="4"/>
  <c r="J922" i="4"/>
  <c r="I922" i="4"/>
  <c r="J921" i="4"/>
  <c r="K921" i="4" s="1"/>
  <c r="I921" i="4"/>
  <c r="M920" i="4"/>
  <c r="H1251" i="8" s="1"/>
  <c r="J920" i="4"/>
  <c r="K920" i="4" s="1"/>
  <c r="I920" i="4"/>
  <c r="J919" i="4"/>
  <c r="K919" i="4" s="1"/>
  <c r="I919" i="4"/>
  <c r="J918" i="4"/>
  <c r="K918" i="4" s="1"/>
  <c r="I918" i="4"/>
  <c r="L917" i="4"/>
  <c r="K917" i="4"/>
  <c r="J917" i="4"/>
  <c r="I917" i="4"/>
  <c r="J916" i="4"/>
  <c r="K916" i="4" s="1"/>
  <c r="I916" i="4"/>
  <c r="K915" i="4"/>
  <c r="J915" i="4"/>
  <c r="I915" i="4"/>
  <c r="K914" i="4"/>
  <c r="J914" i="4"/>
  <c r="I914" i="4"/>
  <c r="J913" i="4"/>
  <c r="K913" i="4" s="1"/>
  <c r="I913" i="4"/>
  <c r="M912" i="4"/>
  <c r="H1243" i="8" s="1"/>
  <c r="L912" i="4"/>
  <c r="J912" i="4"/>
  <c r="K912" i="4" s="1"/>
  <c r="I912" i="4"/>
  <c r="J911" i="4"/>
  <c r="K911" i="4" s="1"/>
  <c r="I911" i="4"/>
  <c r="L910" i="4"/>
  <c r="J910" i="4"/>
  <c r="K910" i="4" s="1"/>
  <c r="I910" i="4"/>
  <c r="L909" i="4"/>
  <c r="K909" i="4"/>
  <c r="J909" i="4"/>
  <c r="I909" i="4"/>
  <c r="J908" i="4"/>
  <c r="K908" i="4" s="1"/>
  <c r="I908" i="4"/>
  <c r="K907" i="4"/>
  <c r="J907" i="4"/>
  <c r="I907" i="4"/>
  <c r="K906" i="4"/>
  <c r="J906" i="4"/>
  <c r="I906" i="4"/>
  <c r="M905" i="4"/>
  <c r="H1236" i="8" s="1"/>
  <c r="J905" i="4"/>
  <c r="K905" i="4" s="1"/>
  <c r="I905" i="4"/>
  <c r="M904" i="4"/>
  <c r="H1235" i="8" s="1"/>
  <c r="L904" i="4"/>
  <c r="J904" i="4"/>
  <c r="K904" i="4" s="1"/>
  <c r="I904" i="4"/>
  <c r="J903" i="4"/>
  <c r="K903" i="4" s="1"/>
  <c r="I903" i="4"/>
  <c r="J902" i="4"/>
  <c r="K902" i="4" s="1"/>
  <c r="I902" i="4"/>
  <c r="K901" i="4"/>
  <c r="J901" i="4"/>
  <c r="I901" i="4"/>
  <c r="J900" i="4"/>
  <c r="K900" i="4" s="1"/>
  <c r="I900" i="4"/>
  <c r="M899" i="4"/>
  <c r="H1230" i="8" s="1"/>
  <c r="K899" i="4"/>
  <c r="J899" i="4"/>
  <c r="I899" i="4"/>
  <c r="J898" i="4"/>
  <c r="K898" i="4" s="1"/>
  <c r="I898" i="4"/>
  <c r="M897" i="4"/>
  <c r="H1228" i="8" s="1"/>
  <c r="J897" i="4"/>
  <c r="K897" i="4" s="1"/>
  <c r="I897" i="4"/>
  <c r="J896" i="4"/>
  <c r="K896" i="4" s="1"/>
  <c r="I896" i="4"/>
  <c r="K895" i="4"/>
  <c r="J895" i="4"/>
  <c r="I895" i="4"/>
  <c r="J894" i="4"/>
  <c r="K894" i="4" s="1"/>
  <c r="I894" i="4"/>
  <c r="L893" i="4"/>
  <c r="K893" i="4"/>
  <c r="J893" i="4"/>
  <c r="I893" i="4"/>
  <c r="J892" i="4"/>
  <c r="K892" i="4" s="1"/>
  <c r="I892" i="4"/>
  <c r="M891" i="4"/>
  <c r="H1222" i="8" s="1"/>
  <c r="K891" i="4"/>
  <c r="J891" i="4"/>
  <c r="I891" i="4"/>
  <c r="L890" i="4"/>
  <c r="K890" i="4"/>
  <c r="J890" i="4"/>
  <c r="I890" i="4"/>
  <c r="M889" i="4"/>
  <c r="H1220" i="8" s="1"/>
  <c r="J889" i="4"/>
  <c r="K889" i="4" s="1"/>
  <c r="I889" i="4"/>
  <c r="M888" i="4"/>
  <c r="H1219" i="8" s="1"/>
  <c r="L888" i="4"/>
  <c r="J888" i="4"/>
  <c r="K888" i="4" s="1"/>
  <c r="I888" i="4"/>
  <c r="J887" i="4"/>
  <c r="K887" i="4" s="1"/>
  <c r="I887" i="4"/>
  <c r="J886" i="4"/>
  <c r="K886" i="4" s="1"/>
  <c r="I886" i="4"/>
  <c r="K885" i="4"/>
  <c r="J885" i="4"/>
  <c r="I885" i="4"/>
  <c r="J884" i="4"/>
  <c r="K884" i="4" s="1"/>
  <c r="I884" i="4"/>
  <c r="M883" i="4"/>
  <c r="H307" i="8" s="1"/>
  <c r="K883" i="4"/>
  <c r="J883" i="4"/>
  <c r="I883" i="4"/>
  <c r="L882" i="4"/>
  <c r="J882" i="4"/>
  <c r="K882" i="4" s="1"/>
  <c r="I882" i="4"/>
  <c r="M881" i="4"/>
  <c r="H305" i="8" s="1"/>
  <c r="J881" i="4"/>
  <c r="K881" i="4" s="1"/>
  <c r="I881" i="4"/>
  <c r="L880" i="4"/>
  <c r="J880" i="4"/>
  <c r="K880" i="4" s="1"/>
  <c r="I880" i="4"/>
  <c r="L879" i="4"/>
  <c r="K879" i="4"/>
  <c r="J879" i="4"/>
  <c r="I879" i="4"/>
  <c r="J878" i="4"/>
  <c r="K878" i="4" s="1"/>
  <c r="I878" i="4"/>
  <c r="M877" i="4"/>
  <c r="H301" i="8" s="1"/>
  <c r="L877" i="4"/>
  <c r="K877" i="4"/>
  <c r="J877" i="4"/>
  <c r="I877" i="4"/>
  <c r="J876" i="4"/>
  <c r="K876" i="4" s="1"/>
  <c r="I876" i="4"/>
  <c r="M875" i="4"/>
  <c r="H299" i="8" s="1"/>
  <c r="L875" i="4"/>
  <c r="K875" i="4"/>
  <c r="J875" i="4"/>
  <c r="I875" i="4"/>
  <c r="K874" i="4"/>
  <c r="J874" i="4"/>
  <c r="I874" i="4"/>
  <c r="M873" i="4"/>
  <c r="H297" i="8" s="1"/>
  <c r="J873" i="4"/>
  <c r="K873" i="4" s="1"/>
  <c r="I873" i="4"/>
  <c r="K872" i="4"/>
  <c r="J872" i="4"/>
  <c r="I872" i="4"/>
  <c r="J871" i="4"/>
  <c r="K871" i="4" s="1"/>
  <c r="I871" i="4"/>
  <c r="J870" i="4"/>
  <c r="K870" i="4" s="1"/>
  <c r="I870" i="4"/>
  <c r="J869" i="4"/>
  <c r="K869" i="4" s="1"/>
  <c r="I869" i="4"/>
  <c r="K868" i="4"/>
  <c r="J868" i="4"/>
  <c r="I868" i="4"/>
  <c r="K867" i="4"/>
  <c r="J867" i="4"/>
  <c r="I867" i="4"/>
  <c r="M866" i="4"/>
  <c r="H290" i="8" s="1"/>
  <c r="L866" i="4"/>
  <c r="K866" i="4"/>
  <c r="J866" i="4"/>
  <c r="I866" i="4"/>
  <c r="J865" i="4"/>
  <c r="K865" i="4" s="1"/>
  <c r="I865" i="4"/>
  <c r="M864" i="4"/>
  <c r="H288" i="8" s="1"/>
  <c r="L864" i="4"/>
  <c r="K864" i="4"/>
  <c r="J864" i="4"/>
  <c r="I864" i="4"/>
  <c r="K863" i="4"/>
  <c r="J863" i="4"/>
  <c r="I863" i="4"/>
  <c r="M862" i="4"/>
  <c r="H286" i="8" s="1"/>
  <c r="L862" i="4"/>
  <c r="J862" i="4"/>
  <c r="K862" i="4" s="1"/>
  <c r="I862" i="4"/>
  <c r="K861" i="4"/>
  <c r="J861" i="4"/>
  <c r="I861" i="4"/>
  <c r="K860" i="4"/>
  <c r="J860" i="4"/>
  <c r="I860" i="4"/>
  <c r="L859" i="4"/>
  <c r="K859" i="4"/>
  <c r="J859" i="4"/>
  <c r="I859" i="4"/>
  <c r="J858" i="4"/>
  <c r="K858" i="4" s="1"/>
  <c r="I858" i="4"/>
  <c r="J857" i="4"/>
  <c r="K857" i="4" s="1"/>
  <c r="I857" i="4"/>
  <c r="J856" i="4"/>
  <c r="K856" i="4" s="1"/>
  <c r="I856" i="4"/>
  <c r="J855" i="4"/>
  <c r="K855" i="4" s="1"/>
  <c r="I855" i="4"/>
  <c r="J854" i="4"/>
  <c r="K854" i="4" s="1"/>
  <c r="I854" i="4"/>
  <c r="L853" i="4"/>
  <c r="K853" i="4"/>
  <c r="J853" i="4"/>
  <c r="I853" i="4"/>
  <c r="J852" i="4"/>
  <c r="K852" i="4" s="1"/>
  <c r="I852" i="4"/>
  <c r="K851" i="4"/>
  <c r="J851" i="4"/>
  <c r="I851" i="4"/>
  <c r="K850" i="4"/>
  <c r="J850" i="4"/>
  <c r="I850" i="4"/>
  <c r="M849" i="4"/>
  <c r="H273" i="8" s="1"/>
  <c r="J849" i="4"/>
  <c r="K849" i="4" s="1"/>
  <c r="I849" i="4"/>
  <c r="J848" i="4"/>
  <c r="K848" i="4" s="1"/>
  <c r="I848" i="4"/>
  <c r="L847" i="4"/>
  <c r="K847" i="4"/>
  <c r="J847" i="4"/>
  <c r="I847" i="4"/>
  <c r="L846" i="4"/>
  <c r="J846" i="4"/>
  <c r="K846" i="4" s="1"/>
  <c r="I846" i="4"/>
  <c r="M845" i="4"/>
  <c r="H269" i="8" s="1"/>
  <c r="L845" i="4"/>
  <c r="K845" i="4"/>
  <c r="J845" i="4"/>
  <c r="I845" i="4"/>
  <c r="K844" i="4"/>
  <c r="J844" i="4"/>
  <c r="I844" i="4"/>
  <c r="M843" i="4"/>
  <c r="H267" i="8" s="1"/>
  <c r="L843" i="4"/>
  <c r="K843" i="4"/>
  <c r="J843" i="4"/>
  <c r="I843" i="4"/>
  <c r="J842" i="4"/>
  <c r="K842" i="4" s="1"/>
  <c r="I842" i="4"/>
  <c r="M841" i="4"/>
  <c r="H265" i="8" s="1"/>
  <c r="J841" i="4"/>
  <c r="K841" i="4" s="1"/>
  <c r="I841" i="4"/>
  <c r="J840" i="4"/>
  <c r="K840" i="4" s="1"/>
  <c r="I840" i="4"/>
  <c r="J839" i="4"/>
  <c r="K839" i="4" s="1"/>
  <c r="I839" i="4"/>
  <c r="L838" i="4"/>
  <c r="J838" i="4"/>
  <c r="K838" i="4" s="1"/>
  <c r="I838" i="4"/>
  <c r="J837" i="4"/>
  <c r="K837" i="4" s="1"/>
  <c r="I837" i="4"/>
  <c r="K836" i="4"/>
  <c r="J836" i="4"/>
  <c r="I836" i="4"/>
  <c r="K835" i="4"/>
  <c r="J835" i="4"/>
  <c r="I835" i="4"/>
  <c r="M834" i="4"/>
  <c r="H258" i="8" s="1"/>
  <c r="L834" i="4"/>
  <c r="K834" i="4"/>
  <c r="J834" i="4"/>
  <c r="I834" i="4"/>
  <c r="J833" i="4"/>
  <c r="K833" i="4" s="1"/>
  <c r="I833" i="4"/>
  <c r="M832" i="4"/>
  <c r="H256" i="8" s="1"/>
  <c r="L832" i="4"/>
  <c r="K832" i="4"/>
  <c r="J832" i="4"/>
  <c r="I832" i="4"/>
  <c r="J831" i="4"/>
  <c r="K831" i="4" s="1"/>
  <c r="I831" i="4"/>
  <c r="M830" i="4"/>
  <c r="H254" i="8" s="1"/>
  <c r="L830" i="4"/>
  <c r="J830" i="4"/>
  <c r="K830" i="4" s="1"/>
  <c r="I830" i="4"/>
  <c r="J829" i="4"/>
  <c r="K829" i="4" s="1"/>
  <c r="I829" i="4"/>
  <c r="K828" i="4"/>
  <c r="J828" i="4"/>
  <c r="I828" i="4"/>
  <c r="L827" i="4"/>
  <c r="K827" i="4"/>
  <c r="J827" i="4"/>
  <c r="I827" i="4"/>
  <c r="J826" i="4"/>
  <c r="K826" i="4" s="1"/>
  <c r="I826" i="4"/>
  <c r="M825" i="4"/>
  <c r="H251" i="8" s="1"/>
  <c r="J825" i="4"/>
  <c r="K825" i="4" s="1"/>
  <c r="I825" i="4"/>
  <c r="J824" i="4"/>
  <c r="K824" i="4" s="1"/>
  <c r="I824" i="4"/>
  <c r="J823" i="4"/>
  <c r="K823" i="4" s="1"/>
  <c r="I823" i="4"/>
  <c r="J822" i="4"/>
  <c r="K822" i="4" s="1"/>
  <c r="I822" i="4"/>
  <c r="K821" i="4"/>
  <c r="J821" i="4"/>
  <c r="I821" i="4"/>
  <c r="J820" i="4"/>
  <c r="K820" i="4" s="1"/>
  <c r="I820" i="4"/>
  <c r="M819" i="4"/>
  <c r="H245" i="8" s="1"/>
  <c r="L819" i="4"/>
  <c r="K819" i="4"/>
  <c r="J819" i="4"/>
  <c r="I819" i="4"/>
  <c r="J818" i="4"/>
  <c r="K818" i="4" s="1"/>
  <c r="I818" i="4"/>
  <c r="M817" i="4"/>
  <c r="H243" i="8" s="1"/>
  <c r="J817" i="4"/>
  <c r="K817" i="4" s="1"/>
  <c r="I817" i="4"/>
  <c r="K816" i="4"/>
  <c r="J816" i="4"/>
  <c r="I816" i="4"/>
  <c r="L815" i="4"/>
  <c r="K815" i="4"/>
  <c r="J815" i="4"/>
  <c r="I815" i="4"/>
  <c r="J814" i="4"/>
  <c r="K814" i="4" s="1"/>
  <c r="I814" i="4"/>
  <c r="M813" i="4"/>
  <c r="H239" i="8" s="1"/>
  <c r="L813" i="4"/>
  <c r="K813" i="4"/>
  <c r="J813" i="4"/>
  <c r="I813" i="4"/>
  <c r="J812" i="4"/>
  <c r="K812" i="4" s="1"/>
  <c r="I812" i="4"/>
  <c r="M811" i="4"/>
  <c r="H237" i="8" s="1"/>
  <c r="L811" i="4"/>
  <c r="K811" i="4"/>
  <c r="J811" i="4"/>
  <c r="I811" i="4"/>
  <c r="J810" i="4"/>
  <c r="K810" i="4" s="1"/>
  <c r="I810" i="4"/>
  <c r="M809" i="4"/>
  <c r="H235" i="8" s="1"/>
  <c r="J809" i="4"/>
  <c r="K809" i="4" s="1"/>
  <c r="I809" i="4"/>
  <c r="J808" i="4"/>
  <c r="K808" i="4" s="1"/>
  <c r="I808" i="4"/>
  <c r="J807" i="4"/>
  <c r="K807" i="4" s="1"/>
  <c r="I807" i="4"/>
  <c r="J806" i="4"/>
  <c r="K806" i="4" s="1"/>
  <c r="I806" i="4"/>
  <c r="J805" i="4"/>
  <c r="K805" i="4" s="1"/>
  <c r="I805" i="4"/>
  <c r="J804" i="4"/>
  <c r="K804" i="4" s="1"/>
  <c r="I804" i="4"/>
  <c r="K803" i="4"/>
  <c r="J803" i="4"/>
  <c r="I803" i="4"/>
  <c r="M802" i="4"/>
  <c r="H844" i="8" s="1"/>
  <c r="L802" i="4"/>
  <c r="K802" i="4"/>
  <c r="J802" i="4"/>
  <c r="I802" i="4"/>
  <c r="J801" i="4"/>
  <c r="K801" i="4" s="1"/>
  <c r="I801" i="4"/>
  <c r="M800" i="4"/>
  <c r="H842" i="8" s="1"/>
  <c r="L800" i="4"/>
  <c r="K800" i="4"/>
  <c r="J800" i="4"/>
  <c r="I800" i="4"/>
  <c r="K799" i="4"/>
  <c r="J799" i="4"/>
  <c r="I799" i="4"/>
  <c r="M798" i="4"/>
  <c r="H840" i="8" s="1"/>
  <c r="L798" i="4"/>
  <c r="J798" i="4"/>
  <c r="K798" i="4" s="1"/>
  <c r="I798" i="4"/>
  <c r="L797" i="4"/>
  <c r="K797" i="4"/>
  <c r="J797" i="4"/>
  <c r="I797" i="4"/>
  <c r="K796" i="4"/>
  <c r="J796" i="4"/>
  <c r="I796" i="4"/>
  <c r="K795" i="4"/>
  <c r="J795" i="4"/>
  <c r="I795" i="4"/>
  <c r="J794" i="4"/>
  <c r="K794" i="4" s="1"/>
  <c r="I794" i="4"/>
  <c r="M793" i="4"/>
  <c r="H835" i="8" s="1"/>
  <c r="J793" i="4"/>
  <c r="K793" i="4" s="1"/>
  <c r="I793" i="4"/>
  <c r="J792" i="4"/>
  <c r="K792" i="4" s="1"/>
  <c r="I792" i="4"/>
  <c r="L791" i="4"/>
  <c r="K791" i="4"/>
  <c r="J791" i="4"/>
  <c r="I791" i="4"/>
  <c r="J790" i="4"/>
  <c r="K790" i="4" s="1"/>
  <c r="I790" i="4"/>
  <c r="M789" i="4"/>
  <c r="H831" i="8" s="1"/>
  <c r="L789" i="4"/>
  <c r="K789" i="4"/>
  <c r="J789" i="4"/>
  <c r="I789" i="4"/>
  <c r="K788" i="4"/>
  <c r="J788" i="4"/>
  <c r="I788" i="4"/>
  <c r="M787" i="4"/>
  <c r="H232" i="8" s="1"/>
  <c r="L787" i="4"/>
  <c r="K787" i="4"/>
  <c r="J787" i="4"/>
  <c r="I787" i="4"/>
  <c r="M786" i="4"/>
  <c r="H231" i="8" s="1"/>
  <c r="K786" i="4"/>
  <c r="J786" i="4"/>
  <c r="I786" i="4"/>
  <c r="J785" i="4"/>
  <c r="K785" i="4" s="1"/>
  <c r="I785" i="4"/>
  <c r="M784" i="4"/>
  <c r="H229" i="8" s="1"/>
  <c r="L784" i="4"/>
  <c r="K784" i="4"/>
  <c r="J784" i="4"/>
  <c r="I784" i="4"/>
  <c r="J783" i="4"/>
  <c r="K783" i="4" s="1"/>
  <c r="I783" i="4"/>
  <c r="M782" i="4"/>
  <c r="H227" i="8" s="1"/>
  <c r="L782" i="4"/>
  <c r="J782" i="4"/>
  <c r="K782" i="4" s="1"/>
  <c r="F227" i="8" s="1"/>
  <c r="I782" i="4"/>
  <c r="J781" i="4"/>
  <c r="K781" i="4" s="1"/>
  <c r="I781" i="4"/>
  <c r="L780" i="4"/>
  <c r="K780" i="4"/>
  <c r="J780" i="4"/>
  <c r="I780" i="4"/>
  <c r="K779" i="4"/>
  <c r="F224" i="8" s="1"/>
  <c r="J779" i="4"/>
  <c r="I779" i="4"/>
  <c r="J778" i="4"/>
  <c r="K778" i="4" s="1"/>
  <c r="I778" i="4"/>
  <c r="M777" i="4"/>
  <c r="H222" i="8" s="1"/>
  <c r="K777" i="4"/>
  <c r="J777" i="4"/>
  <c r="I777" i="4"/>
  <c r="J776" i="4"/>
  <c r="K776" i="4" s="1"/>
  <c r="I776" i="4"/>
  <c r="M775" i="4"/>
  <c r="H220" i="8" s="1"/>
  <c r="L775" i="4"/>
  <c r="K775" i="4"/>
  <c r="J775" i="4"/>
  <c r="I775" i="4"/>
  <c r="L774" i="4"/>
  <c r="J774" i="4"/>
  <c r="K774" i="4" s="1"/>
  <c r="I774" i="4"/>
  <c r="J773" i="4"/>
  <c r="K773" i="4" s="1"/>
  <c r="I773" i="4"/>
  <c r="K772" i="4"/>
  <c r="J772" i="4"/>
  <c r="I772" i="4"/>
  <c r="K771" i="4"/>
  <c r="F216" i="8" s="1"/>
  <c r="J771" i="4"/>
  <c r="I771" i="4"/>
  <c r="M770" i="4"/>
  <c r="H215" i="8" s="1"/>
  <c r="L770" i="4"/>
  <c r="K770" i="4"/>
  <c r="J770" i="4"/>
  <c r="I770" i="4"/>
  <c r="K769" i="4"/>
  <c r="J769" i="4"/>
  <c r="I769" i="4"/>
  <c r="M768" i="4"/>
  <c r="H213" i="8" s="1"/>
  <c r="L768" i="4"/>
  <c r="K768" i="4"/>
  <c r="J768" i="4"/>
  <c r="I768" i="4"/>
  <c r="M767" i="4"/>
  <c r="H212" i="8" s="1"/>
  <c r="K767" i="4"/>
  <c r="J767" i="4"/>
  <c r="I767" i="4"/>
  <c r="J766" i="4"/>
  <c r="K766" i="4" s="1"/>
  <c r="I766" i="4"/>
  <c r="M765" i="4"/>
  <c r="H210" i="8" s="1"/>
  <c r="L765" i="4"/>
  <c r="K765" i="4"/>
  <c r="J765" i="4"/>
  <c r="I765" i="4"/>
  <c r="J764" i="4"/>
  <c r="K764" i="4" s="1"/>
  <c r="I764" i="4"/>
  <c r="M763" i="4"/>
  <c r="H208" i="8" s="1"/>
  <c r="L763" i="4"/>
  <c r="K763" i="4"/>
  <c r="J763" i="4"/>
  <c r="I763" i="4"/>
  <c r="J762" i="4"/>
  <c r="K762" i="4" s="1"/>
  <c r="I762" i="4"/>
  <c r="M761" i="4"/>
  <c r="H206" i="8" s="1"/>
  <c r="K761" i="4"/>
  <c r="J761" i="4"/>
  <c r="I761" i="4"/>
  <c r="K760" i="4"/>
  <c r="J760" i="4"/>
  <c r="I760" i="4"/>
  <c r="J759" i="4"/>
  <c r="K759" i="4" s="1"/>
  <c r="I759" i="4"/>
  <c r="M758" i="4"/>
  <c r="H203" i="8" s="1"/>
  <c r="L758" i="4"/>
  <c r="J758" i="4"/>
  <c r="K758" i="4" s="1"/>
  <c r="I758" i="4"/>
  <c r="J757" i="4"/>
  <c r="K757" i="4" s="1"/>
  <c r="I757" i="4"/>
  <c r="L756" i="4"/>
  <c r="K756" i="4"/>
  <c r="J756" i="4"/>
  <c r="I756" i="4"/>
  <c r="L755" i="4"/>
  <c r="K755" i="4"/>
  <c r="J755" i="4"/>
  <c r="I755" i="4"/>
  <c r="J754" i="4"/>
  <c r="K754" i="4" s="1"/>
  <c r="I754" i="4"/>
  <c r="J753" i="4"/>
  <c r="K753" i="4" s="1"/>
  <c r="I753" i="4"/>
  <c r="J752" i="4"/>
  <c r="K752" i="4" s="1"/>
  <c r="I752" i="4"/>
  <c r="M751" i="4"/>
  <c r="H196" i="8" s="1"/>
  <c r="L751" i="4"/>
  <c r="K751" i="4"/>
  <c r="J751" i="4"/>
  <c r="I751" i="4"/>
  <c r="J750" i="4"/>
  <c r="K750" i="4" s="1"/>
  <c r="I750" i="4"/>
  <c r="M749" i="4"/>
  <c r="H194" i="8" s="1"/>
  <c r="L749" i="4"/>
  <c r="K749" i="4"/>
  <c r="J749" i="4"/>
  <c r="I749" i="4"/>
  <c r="J748" i="4"/>
  <c r="K748" i="4" s="1"/>
  <c r="I748" i="4"/>
  <c r="M747" i="4"/>
  <c r="H192" i="8" s="1"/>
  <c r="L747" i="4"/>
  <c r="K747" i="4"/>
  <c r="J747" i="4"/>
  <c r="I747" i="4"/>
  <c r="M746" i="4"/>
  <c r="H191" i="8" s="1"/>
  <c r="L746" i="4"/>
  <c r="K746" i="4"/>
  <c r="J746" i="4"/>
  <c r="I746" i="4"/>
  <c r="J745" i="4"/>
  <c r="K745" i="4" s="1"/>
  <c r="I745" i="4"/>
  <c r="M744" i="4"/>
  <c r="H189" i="8" s="1"/>
  <c r="L744" i="4"/>
  <c r="K744" i="4"/>
  <c r="J744" i="4"/>
  <c r="I744" i="4"/>
  <c r="J743" i="4"/>
  <c r="K743" i="4" s="1"/>
  <c r="I743" i="4"/>
  <c r="J742" i="4"/>
  <c r="K742" i="4" s="1"/>
  <c r="I742" i="4"/>
  <c r="L741" i="4"/>
  <c r="K741" i="4"/>
  <c r="M741" i="4" s="1"/>
  <c r="H186" i="8" s="1"/>
  <c r="J741" i="4"/>
  <c r="I741" i="4"/>
  <c r="J740" i="4"/>
  <c r="K740" i="4" s="1"/>
  <c r="I740" i="4"/>
  <c r="M739" i="4"/>
  <c r="H184" i="8" s="1"/>
  <c r="L739" i="4"/>
  <c r="K739" i="4"/>
  <c r="J739" i="4"/>
  <c r="I739" i="4"/>
  <c r="L738" i="4"/>
  <c r="K738" i="4"/>
  <c r="J738" i="4"/>
  <c r="I738" i="4"/>
  <c r="J737" i="4"/>
  <c r="K737" i="4" s="1"/>
  <c r="I737" i="4"/>
  <c r="M736" i="4"/>
  <c r="H181" i="8" s="1"/>
  <c r="L736" i="4"/>
  <c r="K736" i="4"/>
  <c r="J736" i="4"/>
  <c r="I736" i="4"/>
  <c r="L735" i="4"/>
  <c r="K735" i="4"/>
  <c r="J735" i="4"/>
  <c r="I735" i="4"/>
  <c r="J734" i="4"/>
  <c r="K734" i="4" s="1"/>
  <c r="I734" i="4"/>
  <c r="M733" i="4"/>
  <c r="H178" i="8" s="1"/>
  <c r="K733" i="4"/>
  <c r="J733" i="4"/>
  <c r="I733" i="4"/>
  <c r="K732" i="4"/>
  <c r="J732" i="4"/>
  <c r="I732" i="4"/>
  <c r="M731" i="4"/>
  <c r="H176" i="8" s="1"/>
  <c r="L731" i="4"/>
  <c r="K731" i="4"/>
  <c r="J731" i="4"/>
  <c r="I731" i="4"/>
  <c r="J730" i="4"/>
  <c r="K730" i="4" s="1"/>
  <c r="I730" i="4"/>
  <c r="J729" i="4"/>
  <c r="K729" i="4" s="1"/>
  <c r="I729" i="4"/>
  <c r="M728" i="4"/>
  <c r="H173" i="8" s="1"/>
  <c r="L728" i="4"/>
  <c r="K728" i="4"/>
  <c r="J728" i="4"/>
  <c r="I728" i="4"/>
  <c r="K727" i="4"/>
  <c r="J727" i="4"/>
  <c r="I727" i="4"/>
  <c r="J726" i="4"/>
  <c r="K726" i="4" s="1"/>
  <c r="I726" i="4"/>
  <c r="M725" i="4"/>
  <c r="H170" i="8" s="1"/>
  <c r="L725" i="4"/>
  <c r="K725" i="4"/>
  <c r="J725" i="4"/>
  <c r="I725" i="4"/>
  <c r="J724" i="4"/>
  <c r="K724" i="4" s="1"/>
  <c r="I724" i="4"/>
  <c r="M723" i="4"/>
  <c r="H168" i="8" s="1"/>
  <c r="L723" i="4"/>
  <c r="K723" i="4"/>
  <c r="J723" i="4"/>
  <c r="I723" i="4"/>
  <c r="J722" i="4"/>
  <c r="K722" i="4" s="1"/>
  <c r="I722" i="4"/>
  <c r="J721" i="4"/>
  <c r="K721" i="4" s="1"/>
  <c r="I721" i="4"/>
  <c r="M720" i="4"/>
  <c r="H165" i="8" s="1"/>
  <c r="L720" i="4"/>
  <c r="K720" i="4"/>
  <c r="J720" i="4"/>
  <c r="I720" i="4"/>
  <c r="L719" i="4"/>
  <c r="J719" i="4"/>
  <c r="K719" i="4" s="1"/>
  <c r="I719" i="4"/>
  <c r="J718" i="4"/>
  <c r="K718" i="4" s="1"/>
  <c r="I718" i="4"/>
  <c r="L717" i="4"/>
  <c r="K717" i="4"/>
  <c r="J717" i="4"/>
  <c r="I717" i="4"/>
  <c r="K716" i="4"/>
  <c r="J716" i="4"/>
  <c r="I716" i="4"/>
  <c r="M715" i="4"/>
  <c r="H160" i="8" s="1"/>
  <c r="L715" i="4"/>
  <c r="K715" i="4"/>
  <c r="J715" i="4"/>
  <c r="I715" i="4"/>
  <c r="K714" i="4"/>
  <c r="J714" i="4"/>
  <c r="I714" i="4"/>
  <c r="J713" i="4"/>
  <c r="K713" i="4" s="1"/>
  <c r="I713" i="4"/>
  <c r="M712" i="4"/>
  <c r="H157" i="8" s="1"/>
  <c r="L712" i="4"/>
  <c r="K712" i="4"/>
  <c r="J712" i="4"/>
  <c r="I712" i="4"/>
  <c r="K711" i="4"/>
  <c r="J711" i="4"/>
  <c r="I711" i="4"/>
  <c r="J710" i="4"/>
  <c r="K710" i="4" s="1"/>
  <c r="I710" i="4"/>
  <c r="K709" i="4"/>
  <c r="J709" i="4"/>
  <c r="I709" i="4"/>
  <c r="K708" i="4"/>
  <c r="J708" i="4"/>
  <c r="I708" i="4"/>
  <c r="M707" i="4"/>
  <c r="H152" i="8" s="1"/>
  <c r="L707" i="4"/>
  <c r="K707" i="4"/>
  <c r="J707" i="4"/>
  <c r="I707" i="4"/>
  <c r="J706" i="4"/>
  <c r="K706" i="4" s="1"/>
  <c r="I706" i="4"/>
  <c r="J705" i="4"/>
  <c r="K705" i="4" s="1"/>
  <c r="I705" i="4"/>
  <c r="M704" i="4"/>
  <c r="H149" i="8" s="1"/>
  <c r="L704" i="4"/>
  <c r="K704" i="4"/>
  <c r="J704" i="4"/>
  <c r="I704" i="4"/>
  <c r="J703" i="4"/>
  <c r="K703" i="4" s="1"/>
  <c r="I703" i="4"/>
  <c r="J702" i="4"/>
  <c r="K702" i="4" s="1"/>
  <c r="I702" i="4"/>
  <c r="L701" i="4"/>
  <c r="K701" i="4"/>
  <c r="J701" i="4"/>
  <c r="I701" i="4"/>
  <c r="J700" i="4"/>
  <c r="K700" i="4" s="1"/>
  <c r="I700" i="4"/>
  <c r="M699" i="4"/>
  <c r="H144" i="8" s="1"/>
  <c r="L699" i="4"/>
  <c r="K699" i="4"/>
  <c r="J699" i="4"/>
  <c r="I699" i="4"/>
  <c r="L698" i="4"/>
  <c r="K698" i="4"/>
  <c r="M698" i="4" s="1"/>
  <c r="H143" i="8" s="1"/>
  <c r="J698" i="4"/>
  <c r="I698" i="4"/>
  <c r="J697" i="4"/>
  <c r="K697" i="4" s="1"/>
  <c r="I697" i="4"/>
  <c r="M696" i="4"/>
  <c r="H141" i="8" s="1"/>
  <c r="L696" i="4"/>
  <c r="K696" i="4"/>
  <c r="J696" i="4"/>
  <c r="I696" i="4"/>
  <c r="J695" i="4"/>
  <c r="K695" i="4" s="1"/>
  <c r="I695" i="4"/>
  <c r="J694" i="4"/>
  <c r="K694" i="4" s="1"/>
  <c r="I694" i="4"/>
  <c r="K693" i="4"/>
  <c r="J693" i="4"/>
  <c r="I693" i="4"/>
  <c r="K692" i="4"/>
  <c r="J692" i="4"/>
  <c r="I692" i="4"/>
  <c r="M691" i="4"/>
  <c r="H830" i="8" s="1"/>
  <c r="L691" i="4"/>
  <c r="K691" i="4"/>
  <c r="J691" i="4"/>
  <c r="I691" i="4"/>
  <c r="M690" i="4"/>
  <c r="H829" i="8" s="1"/>
  <c r="K690" i="4"/>
  <c r="J690" i="4"/>
  <c r="I690" i="4"/>
  <c r="J689" i="4"/>
  <c r="K689" i="4" s="1"/>
  <c r="I689" i="4"/>
  <c r="M688" i="4"/>
  <c r="H827" i="8" s="1"/>
  <c r="L688" i="4"/>
  <c r="K688" i="4"/>
  <c r="J688" i="4"/>
  <c r="I688" i="4"/>
  <c r="K687" i="4"/>
  <c r="J687" i="4"/>
  <c r="I687" i="4"/>
  <c r="J686" i="4"/>
  <c r="K686" i="4" s="1"/>
  <c r="I686" i="4"/>
  <c r="M685" i="4"/>
  <c r="H824" i="8" s="1"/>
  <c r="L685" i="4"/>
  <c r="K685" i="4"/>
  <c r="J685" i="4"/>
  <c r="I685" i="4"/>
  <c r="K684" i="4"/>
  <c r="J684" i="4"/>
  <c r="I684" i="4"/>
  <c r="M683" i="4"/>
  <c r="H822" i="8" s="1"/>
  <c r="L683" i="4"/>
  <c r="K683" i="4"/>
  <c r="J683" i="4"/>
  <c r="I683" i="4"/>
  <c r="J682" i="4"/>
  <c r="K682" i="4" s="1"/>
  <c r="I682" i="4"/>
  <c r="J681" i="4"/>
  <c r="K681" i="4" s="1"/>
  <c r="I681" i="4"/>
  <c r="M680" i="4"/>
  <c r="H134" i="8" s="1"/>
  <c r="L680" i="4"/>
  <c r="K680" i="4"/>
  <c r="J680" i="4"/>
  <c r="I680" i="4"/>
  <c r="J679" i="4"/>
  <c r="K679" i="4" s="1"/>
  <c r="I679" i="4"/>
  <c r="J678" i="4"/>
  <c r="K678" i="4" s="1"/>
  <c r="I678" i="4"/>
  <c r="L677" i="4"/>
  <c r="K677" i="4"/>
  <c r="G131" i="8" s="1"/>
  <c r="J677" i="4"/>
  <c r="I677" i="4"/>
  <c r="J676" i="4"/>
  <c r="K676" i="4" s="1"/>
  <c r="I676" i="4"/>
  <c r="M675" i="4"/>
  <c r="H820" i="8" s="1"/>
  <c r="L675" i="4"/>
  <c r="K675" i="4"/>
  <c r="J675" i="4"/>
  <c r="I675" i="4"/>
  <c r="L674" i="4"/>
  <c r="K674" i="4"/>
  <c r="J674" i="4"/>
  <c r="I674" i="4"/>
  <c r="J673" i="4"/>
  <c r="K673" i="4" s="1"/>
  <c r="I673" i="4"/>
  <c r="M672" i="4"/>
  <c r="H817" i="8" s="1"/>
  <c r="L672" i="4"/>
  <c r="K672" i="4"/>
  <c r="J672" i="4"/>
  <c r="I672" i="4"/>
  <c r="L671" i="4"/>
  <c r="K671" i="4"/>
  <c r="J671" i="4"/>
  <c r="I671" i="4"/>
  <c r="J670" i="4"/>
  <c r="K670" i="4" s="1"/>
  <c r="I670" i="4"/>
  <c r="M669" i="4"/>
  <c r="H814" i="8" s="1"/>
  <c r="K669" i="4"/>
  <c r="J669" i="4"/>
  <c r="I669" i="4"/>
  <c r="K668" i="4"/>
  <c r="J668" i="4"/>
  <c r="I668" i="4"/>
  <c r="M667" i="4"/>
  <c r="H129" i="8" s="1"/>
  <c r="L667" i="4"/>
  <c r="K667" i="4"/>
  <c r="J667" i="4"/>
  <c r="I667" i="4"/>
  <c r="J666" i="4"/>
  <c r="K666" i="4" s="1"/>
  <c r="I666" i="4"/>
  <c r="J665" i="4"/>
  <c r="K665" i="4" s="1"/>
  <c r="I665" i="4"/>
  <c r="M664" i="4"/>
  <c r="H126" i="8" s="1"/>
  <c r="L664" i="4"/>
  <c r="K664" i="4"/>
  <c r="G126" i="8" s="1"/>
  <c r="J664" i="4"/>
  <c r="I664" i="4"/>
  <c r="K663" i="4"/>
  <c r="J663" i="4"/>
  <c r="I663" i="4"/>
  <c r="J662" i="4"/>
  <c r="K662" i="4" s="1"/>
  <c r="I662" i="4"/>
  <c r="M661" i="4"/>
  <c r="H123" i="8" s="1"/>
  <c r="L661" i="4"/>
  <c r="K661" i="4"/>
  <c r="J661" i="4"/>
  <c r="I661" i="4"/>
  <c r="J660" i="4"/>
  <c r="K660" i="4" s="1"/>
  <c r="I660" i="4"/>
  <c r="M659" i="4"/>
  <c r="H1214" i="8" s="1"/>
  <c r="L659" i="4"/>
  <c r="K659" i="4"/>
  <c r="J659" i="4"/>
  <c r="I659" i="4"/>
  <c r="J658" i="4"/>
  <c r="K658" i="4" s="1"/>
  <c r="I658" i="4"/>
  <c r="J657" i="4"/>
  <c r="K657" i="4" s="1"/>
  <c r="I657" i="4"/>
  <c r="M656" i="4"/>
  <c r="H1211" i="8" s="1"/>
  <c r="L656" i="4"/>
  <c r="K656" i="4"/>
  <c r="J656" i="4"/>
  <c r="I656" i="4"/>
  <c r="L655" i="4"/>
  <c r="J655" i="4"/>
  <c r="K655" i="4" s="1"/>
  <c r="I655" i="4"/>
  <c r="J654" i="4"/>
  <c r="K654" i="4" s="1"/>
  <c r="I654" i="4"/>
  <c r="L653" i="4"/>
  <c r="K653" i="4"/>
  <c r="J653" i="4"/>
  <c r="I653" i="4"/>
  <c r="K652" i="4"/>
  <c r="J652" i="4"/>
  <c r="I652" i="4"/>
  <c r="M651" i="4"/>
  <c r="H1206" i="8" s="1"/>
  <c r="L651" i="4"/>
  <c r="K651" i="4"/>
  <c r="J651" i="4"/>
  <c r="I651" i="4"/>
  <c r="K650" i="4"/>
  <c r="J650" i="4"/>
  <c r="I650" i="4"/>
  <c r="J649" i="4"/>
  <c r="K649" i="4" s="1"/>
  <c r="I649" i="4"/>
  <c r="M648" i="4"/>
  <c r="H1203" i="8" s="1"/>
  <c r="L648" i="4"/>
  <c r="K648" i="4"/>
  <c r="J648" i="4"/>
  <c r="I648" i="4"/>
  <c r="K647" i="4"/>
  <c r="J647" i="4"/>
  <c r="I647" i="4"/>
  <c r="J646" i="4"/>
  <c r="K646" i="4" s="1"/>
  <c r="I646" i="4"/>
  <c r="K645" i="4"/>
  <c r="J645" i="4"/>
  <c r="I645" i="4"/>
  <c r="K644" i="4"/>
  <c r="J644" i="4"/>
  <c r="I644" i="4"/>
  <c r="M643" i="4"/>
  <c r="H1198" i="8" s="1"/>
  <c r="L643" i="4"/>
  <c r="K643" i="4"/>
  <c r="J643" i="4"/>
  <c r="I643" i="4"/>
  <c r="J642" i="4"/>
  <c r="K642" i="4" s="1"/>
  <c r="I642" i="4"/>
  <c r="J641" i="4"/>
  <c r="K641" i="4" s="1"/>
  <c r="I641" i="4"/>
  <c r="M640" i="4"/>
  <c r="H1195" i="8" s="1"/>
  <c r="L640" i="4"/>
  <c r="K640" i="4"/>
  <c r="J640" i="4"/>
  <c r="I640" i="4"/>
  <c r="J639" i="4"/>
  <c r="K639" i="4" s="1"/>
  <c r="I639" i="4"/>
  <c r="J638" i="4"/>
  <c r="K638" i="4" s="1"/>
  <c r="I638" i="4"/>
  <c r="L637" i="4"/>
  <c r="K637" i="4"/>
  <c r="J637" i="4"/>
  <c r="I637" i="4"/>
  <c r="J636" i="4"/>
  <c r="K636" i="4" s="1"/>
  <c r="I636" i="4"/>
  <c r="M635" i="4"/>
  <c r="H1190" i="8" s="1"/>
  <c r="L635" i="4"/>
  <c r="K635" i="4"/>
  <c r="J635" i="4"/>
  <c r="I635" i="4"/>
  <c r="L634" i="4"/>
  <c r="K634" i="4"/>
  <c r="M634" i="4" s="1"/>
  <c r="H1189" i="8" s="1"/>
  <c r="J634" i="4"/>
  <c r="I634" i="4"/>
  <c r="J633" i="4"/>
  <c r="K633" i="4" s="1"/>
  <c r="I633" i="4"/>
  <c r="M632" i="4"/>
  <c r="H1187" i="8" s="1"/>
  <c r="L632" i="4"/>
  <c r="K632" i="4"/>
  <c r="J632" i="4"/>
  <c r="I632" i="4"/>
  <c r="J631" i="4"/>
  <c r="K631" i="4" s="1"/>
  <c r="I631" i="4"/>
  <c r="J630" i="4"/>
  <c r="K630" i="4" s="1"/>
  <c r="I630" i="4"/>
  <c r="K629" i="4"/>
  <c r="J629" i="4"/>
  <c r="I629" i="4"/>
  <c r="K628" i="4"/>
  <c r="J628" i="4"/>
  <c r="I628" i="4"/>
  <c r="M627" i="4"/>
  <c r="H1182" i="8" s="1"/>
  <c r="L627" i="4"/>
  <c r="K627" i="4"/>
  <c r="J627" i="4"/>
  <c r="I627" i="4"/>
  <c r="M626" i="4"/>
  <c r="H1181" i="8" s="1"/>
  <c r="K626" i="4"/>
  <c r="J626" i="4"/>
  <c r="I626" i="4"/>
  <c r="J625" i="4"/>
  <c r="K625" i="4" s="1"/>
  <c r="I625" i="4"/>
  <c r="M624" i="4"/>
  <c r="H1179" i="8" s="1"/>
  <c r="L624" i="4"/>
  <c r="K624" i="4"/>
  <c r="J624" i="4"/>
  <c r="I624" i="4"/>
  <c r="K623" i="4"/>
  <c r="J623" i="4"/>
  <c r="I623" i="4"/>
  <c r="J622" i="4"/>
  <c r="K622" i="4" s="1"/>
  <c r="I622" i="4"/>
  <c r="M621" i="4"/>
  <c r="H1176" i="8" s="1"/>
  <c r="L621" i="4"/>
  <c r="K621" i="4"/>
  <c r="J621" i="4"/>
  <c r="I621" i="4"/>
  <c r="K620" i="4"/>
  <c r="J620" i="4"/>
  <c r="I620" i="4"/>
  <c r="M619" i="4"/>
  <c r="H1174" i="8" s="1"/>
  <c r="L619" i="4"/>
  <c r="K619" i="4"/>
  <c r="J619" i="4"/>
  <c r="I619" i="4"/>
  <c r="J618" i="4"/>
  <c r="K618" i="4" s="1"/>
  <c r="I618" i="4"/>
  <c r="J617" i="4"/>
  <c r="K617" i="4" s="1"/>
  <c r="I617" i="4"/>
  <c r="K616" i="4"/>
  <c r="J616" i="4"/>
  <c r="I616" i="4"/>
  <c r="J615" i="4"/>
  <c r="K615" i="4" s="1"/>
  <c r="I615" i="4"/>
  <c r="J614" i="4"/>
  <c r="K614" i="4" s="1"/>
  <c r="I614" i="4"/>
  <c r="J613" i="4"/>
  <c r="K613" i="4" s="1"/>
  <c r="M613" i="4" s="1"/>
  <c r="H1169" i="8" s="1"/>
  <c r="I613" i="4"/>
  <c r="K612" i="4"/>
  <c r="J612" i="4"/>
  <c r="I612" i="4"/>
  <c r="M611" i="4"/>
  <c r="H1167" i="8" s="1"/>
  <c r="L611" i="4"/>
  <c r="K611" i="4"/>
  <c r="J611" i="4"/>
  <c r="I611" i="4"/>
  <c r="M610" i="4"/>
  <c r="H1166" i="8" s="1"/>
  <c r="L610" i="4"/>
  <c r="J610" i="4"/>
  <c r="K610" i="4" s="1"/>
  <c r="I610" i="4"/>
  <c r="J609" i="4"/>
  <c r="K609" i="4" s="1"/>
  <c r="I609" i="4"/>
  <c r="L608" i="4"/>
  <c r="K608" i="4"/>
  <c r="J608" i="4"/>
  <c r="I608" i="4"/>
  <c r="J607" i="4"/>
  <c r="K607" i="4" s="1"/>
  <c r="I607" i="4"/>
  <c r="J606" i="4"/>
  <c r="K606" i="4" s="1"/>
  <c r="I606" i="4"/>
  <c r="J605" i="4"/>
  <c r="K605" i="4" s="1"/>
  <c r="I605" i="4"/>
  <c r="J604" i="4"/>
  <c r="K604" i="4" s="1"/>
  <c r="I604" i="4"/>
  <c r="M603" i="4"/>
  <c r="H1159" i="8" s="1"/>
  <c r="L603" i="4"/>
  <c r="K603" i="4"/>
  <c r="J603" i="4"/>
  <c r="I603" i="4"/>
  <c r="L602" i="4"/>
  <c r="J602" i="4"/>
  <c r="K602" i="4" s="1"/>
  <c r="I602" i="4"/>
  <c r="J601" i="4"/>
  <c r="K601" i="4" s="1"/>
  <c r="I601" i="4"/>
  <c r="L600" i="4"/>
  <c r="K600" i="4"/>
  <c r="J600" i="4"/>
  <c r="I600" i="4"/>
  <c r="J599" i="4"/>
  <c r="K599" i="4" s="1"/>
  <c r="I599" i="4"/>
  <c r="M598" i="4"/>
  <c r="H1156" i="8" s="1"/>
  <c r="J598" i="4"/>
  <c r="K598" i="4" s="1"/>
  <c r="I598" i="4"/>
  <c r="M597" i="4"/>
  <c r="H1155" i="8" s="1"/>
  <c r="J597" i="4"/>
  <c r="K597" i="4" s="1"/>
  <c r="I597" i="4"/>
  <c r="J596" i="4"/>
  <c r="K596" i="4" s="1"/>
  <c r="I596" i="4"/>
  <c r="M595" i="4"/>
  <c r="H1153" i="8" s="1"/>
  <c r="L595" i="4"/>
  <c r="K595" i="4"/>
  <c r="J595" i="4"/>
  <c r="I595" i="4"/>
  <c r="J594" i="4"/>
  <c r="K594" i="4" s="1"/>
  <c r="L594" i="4" s="1"/>
  <c r="I594" i="4"/>
  <c r="J593" i="4"/>
  <c r="K593" i="4" s="1"/>
  <c r="I593" i="4"/>
  <c r="K592" i="4"/>
  <c r="J592" i="4"/>
  <c r="I592" i="4"/>
  <c r="J591" i="4"/>
  <c r="K591" i="4" s="1"/>
  <c r="I591" i="4"/>
  <c r="M590" i="4"/>
  <c r="H810" i="8" s="1"/>
  <c r="J590" i="4"/>
  <c r="K590" i="4" s="1"/>
  <c r="I590" i="4"/>
  <c r="M589" i="4"/>
  <c r="H809" i="8" s="1"/>
  <c r="J589" i="4"/>
  <c r="K589" i="4" s="1"/>
  <c r="I589" i="4"/>
  <c r="K588" i="4"/>
  <c r="J588" i="4"/>
  <c r="I588" i="4"/>
  <c r="M587" i="4"/>
  <c r="H807" i="8" s="1"/>
  <c r="L587" i="4"/>
  <c r="K587" i="4"/>
  <c r="J587" i="4"/>
  <c r="I587" i="4"/>
  <c r="J586" i="4"/>
  <c r="K586" i="4" s="1"/>
  <c r="I586" i="4"/>
  <c r="J585" i="4"/>
  <c r="K585" i="4" s="1"/>
  <c r="I585" i="4"/>
  <c r="K584" i="4"/>
  <c r="J584" i="4"/>
  <c r="I584" i="4"/>
  <c r="J583" i="4"/>
  <c r="K583" i="4" s="1"/>
  <c r="I583" i="4"/>
  <c r="J582" i="4"/>
  <c r="K582" i="4" s="1"/>
  <c r="I582" i="4"/>
  <c r="J581" i="4"/>
  <c r="K581" i="4" s="1"/>
  <c r="M581" i="4" s="1"/>
  <c r="H801" i="8" s="1"/>
  <c r="I581" i="4"/>
  <c r="K580" i="4"/>
  <c r="J580" i="4"/>
  <c r="I580" i="4"/>
  <c r="M579" i="4"/>
  <c r="H799" i="8" s="1"/>
  <c r="L579" i="4"/>
  <c r="K579" i="4"/>
  <c r="J579" i="4"/>
  <c r="I579" i="4"/>
  <c r="M578" i="4"/>
  <c r="H798" i="8" s="1"/>
  <c r="L578" i="4"/>
  <c r="J578" i="4"/>
  <c r="K578" i="4" s="1"/>
  <c r="I578" i="4"/>
  <c r="J577" i="4"/>
  <c r="K577" i="4" s="1"/>
  <c r="I577" i="4"/>
  <c r="L576" i="4"/>
  <c r="K576" i="4"/>
  <c r="J576" i="4"/>
  <c r="I576" i="4"/>
  <c r="J575" i="4"/>
  <c r="K575" i="4" s="1"/>
  <c r="I575" i="4"/>
  <c r="J574" i="4"/>
  <c r="K574" i="4" s="1"/>
  <c r="I574" i="4"/>
  <c r="J573" i="4"/>
  <c r="K573" i="4" s="1"/>
  <c r="I573" i="4"/>
  <c r="J572" i="4"/>
  <c r="K572" i="4" s="1"/>
  <c r="I572" i="4"/>
  <c r="M571" i="4"/>
  <c r="H791" i="8" s="1"/>
  <c r="L571" i="4"/>
  <c r="K571" i="4"/>
  <c r="J571" i="4"/>
  <c r="I571" i="4"/>
  <c r="L570" i="4"/>
  <c r="J570" i="4"/>
  <c r="K570" i="4" s="1"/>
  <c r="I570" i="4"/>
  <c r="J569" i="4"/>
  <c r="K569" i="4" s="1"/>
  <c r="I569" i="4"/>
  <c r="L568" i="4"/>
  <c r="K568" i="4"/>
  <c r="J568" i="4"/>
  <c r="I568" i="4"/>
  <c r="J567" i="4"/>
  <c r="K567" i="4" s="1"/>
  <c r="I567" i="4"/>
  <c r="M566" i="4"/>
  <c r="H786" i="8" s="1"/>
  <c r="J566" i="4"/>
  <c r="K566" i="4" s="1"/>
  <c r="I566" i="4"/>
  <c r="M565" i="4"/>
  <c r="H785" i="8" s="1"/>
  <c r="J565" i="4"/>
  <c r="K565" i="4" s="1"/>
  <c r="I565" i="4"/>
  <c r="J564" i="4"/>
  <c r="K564" i="4" s="1"/>
  <c r="I564" i="4"/>
  <c r="M563" i="4"/>
  <c r="H783" i="8" s="1"/>
  <c r="L563" i="4"/>
  <c r="K563" i="4"/>
  <c r="J563" i="4"/>
  <c r="I563" i="4"/>
  <c r="J562" i="4"/>
  <c r="K562" i="4" s="1"/>
  <c r="M562" i="4" s="1"/>
  <c r="H782" i="8" s="1"/>
  <c r="I562" i="4"/>
  <c r="J561" i="4"/>
  <c r="K561" i="4" s="1"/>
  <c r="I561" i="4"/>
  <c r="K560" i="4"/>
  <c r="J560" i="4"/>
  <c r="I560" i="4"/>
  <c r="J559" i="4"/>
  <c r="K559" i="4" s="1"/>
  <c r="I559" i="4"/>
  <c r="M558" i="4"/>
  <c r="H778" i="8" s="1"/>
  <c r="J558" i="4"/>
  <c r="K558" i="4" s="1"/>
  <c r="I558" i="4"/>
  <c r="M557" i="4"/>
  <c r="H777" i="8" s="1"/>
  <c r="J557" i="4"/>
  <c r="K557" i="4" s="1"/>
  <c r="I557" i="4"/>
  <c r="K556" i="4"/>
  <c r="J556" i="4"/>
  <c r="I556" i="4"/>
  <c r="M555" i="4"/>
  <c r="H775" i="8" s="1"/>
  <c r="L555" i="4"/>
  <c r="K555" i="4"/>
  <c r="J555" i="4"/>
  <c r="I555" i="4"/>
  <c r="J554" i="4"/>
  <c r="K554" i="4" s="1"/>
  <c r="I554" i="4"/>
  <c r="J553" i="4"/>
  <c r="K553" i="4" s="1"/>
  <c r="I553" i="4"/>
  <c r="K552" i="4"/>
  <c r="J552" i="4"/>
  <c r="I552" i="4"/>
  <c r="J551" i="4"/>
  <c r="K551" i="4" s="1"/>
  <c r="I551" i="4"/>
  <c r="J550" i="4"/>
  <c r="K550" i="4" s="1"/>
  <c r="I550" i="4"/>
  <c r="J549" i="4"/>
  <c r="K549" i="4" s="1"/>
  <c r="M549" i="4" s="1"/>
  <c r="H118" i="8" s="1"/>
  <c r="I549" i="4"/>
  <c r="K548" i="4"/>
  <c r="J548" i="4"/>
  <c r="I548" i="4"/>
  <c r="M547" i="4"/>
  <c r="H116" i="8" s="1"/>
  <c r="L547" i="4"/>
  <c r="K547" i="4"/>
  <c r="J547" i="4"/>
  <c r="I547" i="4"/>
  <c r="M546" i="4"/>
  <c r="H115" i="8" s="1"/>
  <c r="L546" i="4"/>
  <c r="J546" i="4"/>
  <c r="K546" i="4" s="1"/>
  <c r="I546" i="4"/>
  <c r="J545" i="4"/>
  <c r="K545" i="4" s="1"/>
  <c r="I545" i="4"/>
  <c r="L544" i="4"/>
  <c r="K544" i="4"/>
  <c r="J544" i="4"/>
  <c r="I544" i="4"/>
  <c r="J543" i="4"/>
  <c r="K543" i="4" s="1"/>
  <c r="I543" i="4"/>
  <c r="J542" i="4"/>
  <c r="K542" i="4" s="1"/>
  <c r="I542" i="4"/>
  <c r="J541" i="4"/>
  <c r="K541" i="4" s="1"/>
  <c r="M541" i="4" s="1"/>
  <c r="H110" i="8" s="1"/>
  <c r="I541" i="4"/>
  <c r="J540" i="4"/>
  <c r="K540" i="4" s="1"/>
  <c r="I540" i="4"/>
  <c r="M539" i="4"/>
  <c r="H108" i="8" s="1"/>
  <c r="L539" i="4"/>
  <c r="K539" i="4"/>
  <c r="J539" i="4"/>
  <c r="I539" i="4"/>
  <c r="L538" i="4"/>
  <c r="J538" i="4"/>
  <c r="K538" i="4" s="1"/>
  <c r="I538" i="4"/>
  <c r="J537" i="4"/>
  <c r="K537" i="4" s="1"/>
  <c r="I537" i="4"/>
  <c r="L536" i="4"/>
  <c r="K536" i="4"/>
  <c r="J536" i="4"/>
  <c r="I536" i="4"/>
  <c r="K535" i="4"/>
  <c r="J535" i="4"/>
  <c r="I535" i="4"/>
  <c r="M534" i="4"/>
  <c r="H103" i="8" s="1"/>
  <c r="J534" i="4"/>
  <c r="K534" i="4" s="1"/>
  <c r="I534" i="4"/>
  <c r="K533" i="4"/>
  <c r="J533" i="4"/>
  <c r="I533" i="4"/>
  <c r="J532" i="4"/>
  <c r="K532" i="4" s="1"/>
  <c r="L532" i="4" s="1"/>
  <c r="I532" i="4"/>
  <c r="M531" i="4"/>
  <c r="H100" i="8" s="1"/>
  <c r="L531" i="4"/>
  <c r="K531" i="4"/>
  <c r="J531" i="4"/>
  <c r="I531" i="4"/>
  <c r="L530" i="4"/>
  <c r="K530" i="4"/>
  <c r="G99" i="8" s="1"/>
  <c r="J530" i="4"/>
  <c r="I530" i="4"/>
  <c r="J529" i="4"/>
  <c r="K529" i="4" s="1"/>
  <c r="I529" i="4"/>
  <c r="L528" i="4"/>
  <c r="K528" i="4"/>
  <c r="M528" i="4" s="1"/>
  <c r="H97" i="8" s="1"/>
  <c r="J528" i="4"/>
  <c r="I528" i="4"/>
  <c r="K527" i="4"/>
  <c r="L527" i="4" s="1"/>
  <c r="J527" i="4"/>
  <c r="I527" i="4"/>
  <c r="M526" i="4"/>
  <c r="H95" i="8" s="1"/>
  <c r="J526" i="4"/>
  <c r="K526" i="4" s="1"/>
  <c r="I526" i="4"/>
  <c r="L525" i="4"/>
  <c r="K525" i="4"/>
  <c r="J525" i="4"/>
  <c r="I525" i="4"/>
  <c r="J524" i="4"/>
  <c r="K524" i="4" s="1"/>
  <c r="I524" i="4"/>
  <c r="M523" i="4"/>
  <c r="H771" i="8" s="1"/>
  <c r="L523" i="4"/>
  <c r="K523" i="4"/>
  <c r="J523" i="4"/>
  <c r="I523" i="4"/>
  <c r="J522" i="4"/>
  <c r="K522" i="4" s="1"/>
  <c r="I522" i="4"/>
  <c r="J521" i="4"/>
  <c r="K521" i="4" s="1"/>
  <c r="I521" i="4"/>
  <c r="L520" i="4"/>
  <c r="K520" i="4"/>
  <c r="J520" i="4"/>
  <c r="I520" i="4"/>
  <c r="L519" i="4"/>
  <c r="K519" i="4"/>
  <c r="M519" i="4" s="1"/>
  <c r="H1148" i="8" s="1"/>
  <c r="J519" i="4"/>
  <c r="I519" i="4"/>
  <c r="J518" i="4"/>
  <c r="K518" i="4" s="1"/>
  <c r="I518" i="4"/>
  <c r="L517" i="4"/>
  <c r="K517" i="4"/>
  <c r="M517" i="4" s="1"/>
  <c r="H1146" i="8" s="1"/>
  <c r="J517" i="4"/>
  <c r="I517" i="4"/>
  <c r="K516" i="4"/>
  <c r="J516" i="4"/>
  <c r="I516" i="4"/>
  <c r="M515" i="4"/>
  <c r="H1144" i="8" s="1"/>
  <c r="L515" i="4"/>
  <c r="K515" i="4"/>
  <c r="J515" i="4"/>
  <c r="I515" i="4"/>
  <c r="J514" i="4"/>
  <c r="K514" i="4" s="1"/>
  <c r="I514" i="4"/>
  <c r="J513" i="4"/>
  <c r="K513" i="4" s="1"/>
  <c r="I513" i="4"/>
  <c r="M512" i="4"/>
  <c r="H1141" i="8" s="1"/>
  <c r="L512" i="4"/>
  <c r="K512" i="4"/>
  <c r="J512" i="4"/>
  <c r="I512" i="4"/>
  <c r="J511" i="4"/>
  <c r="K511" i="4" s="1"/>
  <c r="I511" i="4"/>
  <c r="J510" i="4"/>
  <c r="K510" i="4" s="1"/>
  <c r="I510" i="4"/>
  <c r="J509" i="4"/>
  <c r="K509" i="4" s="1"/>
  <c r="I509" i="4"/>
  <c r="K508" i="4"/>
  <c r="J508" i="4"/>
  <c r="I508" i="4"/>
  <c r="M507" i="4"/>
  <c r="H767" i="8" s="1"/>
  <c r="L507" i="4"/>
  <c r="K507" i="4"/>
  <c r="J507" i="4"/>
  <c r="I507" i="4"/>
  <c r="J506" i="4"/>
  <c r="K506" i="4" s="1"/>
  <c r="I506" i="4"/>
  <c r="J505" i="4"/>
  <c r="K505" i="4" s="1"/>
  <c r="I505" i="4"/>
  <c r="M504" i="4"/>
  <c r="H764" i="8" s="1"/>
  <c r="L504" i="4"/>
  <c r="K504" i="4"/>
  <c r="J504" i="4"/>
  <c r="I504" i="4"/>
  <c r="L503" i="4"/>
  <c r="J503" i="4"/>
  <c r="K503" i="4" s="1"/>
  <c r="M503" i="4" s="1"/>
  <c r="H763" i="8" s="1"/>
  <c r="I503" i="4"/>
  <c r="J502" i="4"/>
  <c r="K502" i="4" s="1"/>
  <c r="I502" i="4"/>
  <c r="M501" i="4"/>
  <c r="H761" i="8" s="1"/>
  <c r="L501" i="4"/>
  <c r="J501" i="4"/>
  <c r="K501" i="4" s="1"/>
  <c r="I501" i="4"/>
  <c r="K500" i="4"/>
  <c r="J500" i="4"/>
  <c r="I500" i="4"/>
  <c r="M499" i="4"/>
  <c r="H759" i="8" s="1"/>
  <c r="L499" i="4"/>
  <c r="K499" i="4"/>
  <c r="J499" i="4"/>
  <c r="I499" i="4"/>
  <c r="K498" i="4"/>
  <c r="J498" i="4"/>
  <c r="I498" i="4"/>
  <c r="K497" i="4"/>
  <c r="J497" i="4"/>
  <c r="I497" i="4"/>
  <c r="K496" i="4"/>
  <c r="J496" i="4"/>
  <c r="I496" i="4"/>
  <c r="J495" i="4"/>
  <c r="K495" i="4" s="1"/>
  <c r="I495" i="4"/>
  <c r="J494" i="4"/>
  <c r="K494" i="4" s="1"/>
  <c r="M494" i="4" s="1"/>
  <c r="H754" i="8" s="1"/>
  <c r="I494" i="4"/>
  <c r="M493" i="4"/>
  <c r="H753" i="8" s="1"/>
  <c r="J493" i="4"/>
  <c r="K493" i="4" s="1"/>
  <c r="I493" i="4"/>
  <c r="L492" i="4"/>
  <c r="K492" i="4"/>
  <c r="J492" i="4"/>
  <c r="I492" i="4"/>
  <c r="M491" i="4"/>
  <c r="H751" i="8" s="1"/>
  <c r="L491" i="4"/>
  <c r="K491" i="4"/>
  <c r="J491" i="4"/>
  <c r="I491" i="4"/>
  <c r="K490" i="4"/>
  <c r="J490" i="4"/>
  <c r="I490" i="4"/>
  <c r="K489" i="4"/>
  <c r="J489" i="4"/>
  <c r="I489" i="4"/>
  <c r="M488" i="4"/>
  <c r="H748" i="8" s="1"/>
  <c r="K488" i="4"/>
  <c r="J488" i="4"/>
  <c r="I488" i="4"/>
  <c r="J487" i="4"/>
  <c r="K487" i="4" s="1"/>
  <c r="I487" i="4"/>
  <c r="M486" i="4"/>
  <c r="H746" i="8" s="1"/>
  <c r="J486" i="4"/>
  <c r="K486" i="4" s="1"/>
  <c r="I486" i="4"/>
  <c r="J485" i="4"/>
  <c r="K485" i="4" s="1"/>
  <c r="I485" i="4"/>
  <c r="L484" i="4"/>
  <c r="K484" i="4"/>
  <c r="J484" i="4"/>
  <c r="I484" i="4"/>
  <c r="M483" i="4"/>
  <c r="H1135" i="8" s="1"/>
  <c r="L483" i="4"/>
  <c r="K483" i="4"/>
  <c r="J483" i="4"/>
  <c r="I483" i="4"/>
  <c r="K482" i="4"/>
  <c r="J482" i="4"/>
  <c r="I482" i="4"/>
  <c r="K481" i="4"/>
  <c r="J481" i="4"/>
  <c r="I481" i="4"/>
  <c r="K480" i="4"/>
  <c r="J480" i="4"/>
  <c r="I480" i="4"/>
  <c r="K479" i="4"/>
  <c r="J479" i="4"/>
  <c r="I479" i="4"/>
  <c r="M478" i="4"/>
  <c r="H742" i="8" s="1"/>
  <c r="J478" i="4"/>
  <c r="K478" i="4" s="1"/>
  <c r="I478" i="4"/>
  <c r="M477" i="4"/>
  <c r="H741" i="8" s="1"/>
  <c r="K477" i="4"/>
  <c r="J477" i="4"/>
  <c r="I477" i="4"/>
  <c r="J476" i="4"/>
  <c r="K476" i="4" s="1"/>
  <c r="I476" i="4"/>
  <c r="M475" i="4"/>
  <c r="H739" i="8" s="1"/>
  <c r="L475" i="4"/>
  <c r="K475" i="4"/>
  <c r="J475" i="4"/>
  <c r="I475" i="4"/>
  <c r="K474" i="4"/>
  <c r="J474" i="4"/>
  <c r="I474" i="4"/>
  <c r="K473" i="4"/>
  <c r="J473" i="4"/>
  <c r="I473" i="4"/>
  <c r="L472" i="4"/>
  <c r="K472" i="4"/>
  <c r="J472" i="4"/>
  <c r="I472" i="4"/>
  <c r="K471" i="4"/>
  <c r="J471" i="4"/>
  <c r="I471" i="4"/>
  <c r="M470" i="4"/>
  <c r="H734" i="8" s="1"/>
  <c r="J470" i="4"/>
  <c r="K470" i="4" s="1"/>
  <c r="I470" i="4"/>
  <c r="K469" i="4"/>
  <c r="J469" i="4"/>
  <c r="I469" i="4"/>
  <c r="L468" i="4"/>
  <c r="J468" i="4"/>
  <c r="K468" i="4" s="1"/>
  <c r="I468" i="4"/>
  <c r="M467" i="4"/>
  <c r="H731" i="8" s="1"/>
  <c r="L467" i="4"/>
  <c r="K467" i="4"/>
  <c r="J467" i="4"/>
  <c r="I467" i="4"/>
  <c r="L466" i="4"/>
  <c r="K466" i="4"/>
  <c r="M466" i="4" s="1"/>
  <c r="H730" i="8" s="1"/>
  <c r="J466" i="4"/>
  <c r="I466" i="4"/>
  <c r="J465" i="4"/>
  <c r="K465" i="4" s="1"/>
  <c r="I465" i="4"/>
  <c r="L464" i="4"/>
  <c r="K464" i="4"/>
  <c r="M464" i="4" s="1"/>
  <c r="H728" i="8" s="1"/>
  <c r="J464" i="4"/>
  <c r="I464" i="4"/>
  <c r="K463" i="4"/>
  <c r="J463" i="4"/>
  <c r="I463" i="4"/>
  <c r="M462" i="4"/>
  <c r="H726" i="8" s="1"/>
  <c r="J462" i="4"/>
  <c r="K462" i="4" s="1"/>
  <c r="I462" i="4"/>
  <c r="L461" i="4"/>
  <c r="K461" i="4"/>
  <c r="J461" i="4"/>
  <c r="I461" i="4"/>
  <c r="J460" i="4"/>
  <c r="K460" i="4" s="1"/>
  <c r="I460" i="4"/>
  <c r="M459" i="4"/>
  <c r="H723" i="8" s="1"/>
  <c r="L459" i="4"/>
  <c r="K459" i="4"/>
  <c r="J459" i="4"/>
  <c r="I459" i="4"/>
  <c r="J458" i="4"/>
  <c r="K458" i="4" s="1"/>
  <c r="I458" i="4"/>
  <c r="J457" i="4"/>
  <c r="K457" i="4" s="1"/>
  <c r="I457" i="4"/>
  <c r="L456" i="4"/>
  <c r="K456" i="4"/>
  <c r="J456" i="4"/>
  <c r="I456" i="4"/>
  <c r="L455" i="4"/>
  <c r="K455" i="4"/>
  <c r="M455" i="4" s="1"/>
  <c r="H719" i="8" s="1"/>
  <c r="J455" i="4"/>
  <c r="I455" i="4"/>
  <c r="J454" i="4"/>
  <c r="K454" i="4" s="1"/>
  <c r="I454" i="4"/>
  <c r="L453" i="4"/>
  <c r="K453" i="4"/>
  <c r="M453" i="4" s="1"/>
  <c r="H717" i="8" s="1"/>
  <c r="J453" i="4"/>
  <c r="I453" i="4"/>
  <c r="K452" i="4"/>
  <c r="J452" i="4"/>
  <c r="I452" i="4"/>
  <c r="M451" i="4"/>
  <c r="H715" i="8" s="1"/>
  <c r="L451" i="4"/>
  <c r="K451" i="4"/>
  <c r="J451" i="4"/>
  <c r="I451" i="4"/>
  <c r="J450" i="4"/>
  <c r="K450" i="4" s="1"/>
  <c r="L450" i="4" s="1"/>
  <c r="I450" i="4"/>
  <c r="J449" i="4"/>
  <c r="K449" i="4" s="1"/>
  <c r="I449" i="4"/>
  <c r="M448" i="4"/>
  <c r="H712" i="8" s="1"/>
  <c r="L448" i="4"/>
  <c r="K448" i="4"/>
  <c r="J448" i="4"/>
  <c r="I448" i="4"/>
  <c r="J447" i="4"/>
  <c r="K447" i="4" s="1"/>
  <c r="I447" i="4"/>
  <c r="J446" i="4"/>
  <c r="K446" i="4" s="1"/>
  <c r="I446" i="4"/>
  <c r="J445" i="4"/>
  <c r="K445" i="4" s="1"/>
  <c r="I445" i="4"/>
  <c r="K444" i="4"/>
  <c r="J444" i="4"/>
  <c r="I444" i="4"/>
  <c r="M443" i="4"/>
  <c r="H93" i="8" s="1"/>
  <c r="L443" i="4"/>
  <c r="K443" i="4"/>
  <c r="J443" i="4"/>
  <c r="I443" i="4"/>
  <c r="J442" i="4"/>
  <c r="K442" i="4" s="1"/>
  <c r="M442" i="4" s="1"/>
  <c r="H92" i="8" s="1"/>
  <c r="I442" i="4"/>
  <c r="J441" i="4"/>
  <c r="K441" i="4" s="1"/>
  <c r="I441" i="4"/>
  <c r="M440" i="4"/>
  <c r="H90" i="8" s="1"/>
  <c r="L440" i="4"/>
  <c r="K440" i="4"/>
  <c r="J440" i="4"/>
  <c r="I440" i="4"/>
  <c r="L439" i="4"/>
  <c r="J439" i="4"/>
  <c r="K439" i="4" s="1"/>
  <c r="I439" i="4"/>
  <c r="J438" i="4"/>
  <c r="K438" i="4" s="1"/>
  <c r="I438" i="4"/>
  <c r="M437" i="4"/>
  <c r="H87" i="8" s="1"/>
  <c r="L437" i="4"/>
  <c r="J437" i="4"/>
  <c r="K437" i="4" s="1"/>
  <c r="I437" i="4"/>
  <c r="K436" i="4"/>
  <c r="J436" i="4"/>
  <c r="I436" i="4"/>
  <c r="M435" i="4"/>
  <c r="H85" i="8" s="1"/>
  <c r="L435" i="4"/>
  <c r="K435" i="4"/>
  <c r="J435" i="4"/>
  <c r="I435" i="4"/>
  <c r="J434" i="4"/>
  <c r="K434" i="4" s="1"/>
  <c r="I434" i="4"/>
  <c r="K433" i="4"/>
  <c r="J433" i="4"/>
  <c r="I433" i="4"/>
  <c r="K432" i="4"/>
  <c r="J432" i="4"/>
  <c r="I432" i="4"/>
  <c r="J431" i="4"/>
  <c r="K431" i="4" s="1"/>
  <c r="I431" i="4"/>
  <c r="M430" i="4"/>
  <c r="H1132" i="8" s="1"/>
  <c r="J430" i="4"/>
  <c r="K430" i="4" s="1"/>
  <c r="I430" i="4"/>
  <c r="M429" i="4"/>
  <c r="H1131" i="8" s="1"/>
  <c r="J429" i="4"/>
  <c r="K429" i="4" s="1"/>
  <c r="I429" i="4"/>
  <c r="L428" i="4"/>
  <c r="K428" i="4"/>
  <c r="J428" i="4"/>
  <c r="I428" i="4"/>
  <c r="M427" i="4"/>
  <c r="H1129" i="8" s="1"/>
  <c r="L427" i="4"/>
  <c r="K427" i="4"/>
  <c r="J427" i="4"/>
  <c r="I427" i="4"/>
  <c r="K426" i="4"/>
  <c r="M426" i="4" s="1"/>
  <c r="H1128" i="8" s="1"/>
  <c r="J426" i="4"/>
  <c r="I426" i="4"/>
  <c r="K425" i="4"/>
  <c r="J425" i="4"/>
  <c r="I425" i="4"/>
  <c r="M424" i="4"/>
  <c r="H1126" i="8" s="1"/>
  <c r="K424" i="4"/>
  <c r="J424" i="4"/>
  <c r="I424" i="4"/>
  <c r="J423" i="4"/>
  <c r="K423" i="4" s="1"/>
  <c r="I423" i="4"/>
  <c r="M422" i="4"/>
  <c r="H1124" i="8" s="1"/>
  <c r="J422" i="4"/>
  <c r="K422" i="4" s="1"/>
  <c r="I422" i="4"/>
  <c r="K421" i="4"/>
  <c r="J421" i="4"/>
  <c r="I421" i="4"/>
  <c r="L420" i="4"/>
  <c r="K420" i="4"/>
  <c r="J420" i="4"/>
  <c r="I420" i="4"/>
  <c r="M419" i="4"/>
  <c r="H1121" i="8" s="1"/>
  <c r="L419" i="4"/>
  <c r="K419" i="4"/>
  <c r="J419" i="4"/>
  <c r="I419" i="4"/>
  <c r="K418" i="4"/>
  <c r="J418" i="4"/>
  <c r="I418" i="4"/>
  <c r="K417" i="4"/>
  <c r="J417" i="4"/>
  <c r="I417" i="4"/>
  <c r="K416" i="4"/>
  <c r="J416" i="4"/>
  <c r="I416" i="4"/>
  <c r="K415" i="4"/>
  <c r="J415" i="4"/>
  <c r="I415" i="4"/>
  <c r="M414" i="4"/>
  <c r="H1116" i="8" s="1"/>
  <c r="J414" i="4"/>
  <c r="K414" i="4" s="1"/>
  <c r="I414" i="4"/>
  <c r="K413" i="4"/>
  <c r="J413" i="4"/>
  <c r="I413" i="4"/>
  <c r="J412" i="4"/>
  <c r="K412" i="4" s="1"/>
  <c r="I412" i="4"/>
  <c r="L411" i="4"/>
  <c r="K411" i="4"/>
  <c r="M411" i="4" s="1"/>
  <c r="H1113" i="8" s="1"/>
  <c r="J411" i="4"/>
  <c r="I411" i="4"/>
  <c r="L410" i="4"/>
  <c r="K410" i="4"/>
  <c r="J410" i="4"/>
  <c r="I410" i="4"/>
  <c r="J409" i="4"/>
  <c r="K409" i="4" s="1"/>
  <c r="I409" i="4"/>
  <c r="J408" i="4"/>
  <c r="K408" i="4" s="1"/>
  <c r="M408" i="4" s="1"/>
  <c r="H1110" i="8" s="1"/>
  <c r="I408" i="4"/>
  <c r="J407" i="4"/>
  <c r="K407" i="4" s="1"/>
  <c r="I407" i="4"/>
  <c r="L406" i="4"/>
  <c r="J406" i="4"/>
  <c r="K406" i="4" s="1"/>
  <c r="M406" i="4" s="1"/>
  <c r="H1108" i="8" s="1"/>
  <c r="I406" i="4"/>
  <c r="J405" i="4"/>
  <c r="K405" i="4" s="1"/>
  <c r="I405" i="4"/>
  <c r="L404" i="4"/>
  <c r="K404" i="4"/>
  <c r="J404" i="4"/>
  <c r="I404" i="4"/>
  <c r="K403" i="4"/>
  <c r="J403" i="4"/>
  <c r="I403" i="4"/>
  <c r="K402" i="4"/>
  <c r="J402" i="4"/>
  <c r="I402" i="4"/>
  <c r="M401" i="4"/>
  <c r="H1103" i="8" s="1"/>
  <c r="J401" i="4"/>
  <c r="K401" i="4" s="1"/>
  <c r="I401" i="4"/>
  <c r="J400" i="4"/>
  <c r="K400" i="4" s="1"/>
  <c r="I400" i="4"/>
  <c r="L399" i="4"/>
  <c r="K399" i="4"/>
  <c r="M399" i="4" s="1"/>
  <c r="H1101" i="8" s="1"/>
  <c r="J399" i="4"/>
  <c r="I399" i="4"/>
  <c r="J398" i="4"/>
  <c r="K398" i="4" s="1"/>
  <c r="I398" i="4"/>
  <c r="J397" i="4"/>
  <c r="K397" i="4" s="1"/>
  <c r="M397" i="4" s="1"/>
  <c r="H1099" i="8" s="1"/>
  <c r="I397" i="4"/>
  <c r="K396" i="4"/>
  <c r="J396" i="4"/>
  <c r="I396" i="4"/>
  <c r="K395" i="4"/>
  <c r="J395" i="4"/>
  <c r="I395" i="4"/>
  <c r="M394" i="4"/>
  <c r="H1096" i="8" s="1"/>
  <c r="K394" i="4"/>
  <c r="J394" i="4"/>
  <c r="I394" i="4"/>
  <c r="J393" i="4"/>
  <c r="K393" i="4" s="1"/>
  <c r="I393" i="4"/>
  <c r="L392" i="4"/>
  <c r="K392" i="4"/>
  <c r="M392" i="4" s="1"/>
  <c r="H1094" i="8" s="1"/>
  <c r="J392" i="4"/>
  <c r="I392" i="4"/>
  <c r="L391" i="4"/>
  <c r="K391" i="4"/>
  <c r="J391" i="4"/>
  <c r="I391" i="4"/>
  <c r="J390" i="4"/>
  <c r="K390" i="4" s="1"/>
  <c r="I390" i="4"/>
  <c r="J389" i="4"/>
  <c r="K389" i="4" s="1"/>
  <c r="I389" i="4"/>
  <c r="K388" i="4"/>
  <c r="J388" i="4"/>
  <c r="I388" i="4"/>
  <c r="M387" i="4"/>
  <c r="H1089" i="8" s="1"/>
  <c r="K387" i="4"/>
  <c r="J387" i="4"/>
  <c r="I387" i="4"/>
  <c r="J386" i="4"/>
  <c r="K386" i="4" s="1"/>
  <c r="I386" i="4"/>
  <c r="M385" i="4"/>
  <c r="H1087" i="8" s="1"/>
  <c r="K385" i="4"/>
  <c r="J385" i="4"/>
  <c r="I385" i="4"/>
  <c r="L384" i="4"/>
  <c r="K384" i="4"/>
  <c r="J384" i="4"/>
  <c r="I384" i="4"/>
  <c r="K383" i="4"/>
  <c r="J383" i="4"/>
  <c r="I383" i="4"/>
  <c r="J382" i="4"/>
  <c r="K382" i="4" s="1"/>
  <c r="I382" i="4"/>
  <c r="J381" i="4"/>
  <c r="K381" i="4" s="1"/>
  <c r="I381" i="4"/>
  <c r="K380" i="4"/>
  <c r="J380" i="4"/>
  <c r="I380" i="4"/>
  <c r="K379" i="4"/>
  <c r="J379" i="4"/>
  <c r="I379" i="4"/>
  <c r="J378" i="4"/>
  <c r="K378" i="4" s="1"/>
  <c r="M378" i="4" s="1"/>
  <c r="H1080" i="8" s="1"/>
  <c r="I378" i="4"/>
  <c r="M377" i="4"/>
  <c r="H1079" i="8" s="1"/>
  <c r="K377" i="4"/>
  <c r="J377" i="4"/>
  <c r="I377" i="4"/>
  <c r="K376" i="4"/>
  <c r="J376" i="4"/>
  <c r="I376" i="4"/>
  <c r="K375" i="4"/>
  <c r="M375" i="4" s="1"/>
  <c r="H1077" i="8" s="1"/>
  <c r="J375" i="4"/>
  <c r="I375" i="4"/>
  <c r="J374" i="4"/>
  <c r="K374" i="4" s="1"/>
  <c r="I374" i="4"/>
  <c r="L373" i="4"/>
  <c r="K373" i="4"/>
  <c r="M373" i="4" s="1"/>
  <c r="H1075" i="8" s="1"/>
  <c r="J373" i="4"/>
  <c r="I373" i="4"/>
  <c r="K372" i="4"/>
  <c r="J372" i="4"/>
  <c r="I372" i="4"/>
  <c r="M371" i="4"/>
  <c r="H1073" i="8" s="1"/>
  <c r="L371" i="4"/>
  <c r="K371" i="4"/>
  <c r="J371" i="4"/>
  <c r="I371" i="4"/>
  <c r="M370" i="4"/>
  <c r="H1072" i="8" s="1"/>
  <c r="J370" i="4"/>
  <c r="K370" i="4" s="1"/>
  <c r="I370" i="4"/>
  <c r="K369" i="4"/>
  <c r="J369" i="4"/>
  <c r="I369" i="4"/>
  <c r="M368" i="4"/>
  <c r="H1070" i="8" s="1"/>
  <c r="K368" i="4"/>
  <c r="J368" i="4"/>
  <c r="I368" i="4"/>
  <c r="J367" i="4"/>
  <c r="K367" i="4" s="1"/>
  <c r="I367" i="4"/>
  <c r="M366" i="4"/>
  <c r="H1068" i="8" s="1"/>
  <c r="L366" i="4"/>
  <c r="J366" i="4"/>
  <c r="K366" i="4" s="1"/>
  <c r="I366" i="4"/>
  <c r="L365" i="4"/>
  <c r="K365" i="4"/>
  <c r="J365" i="4"/>
  <c r="I365" i="4"/>
  <c r="J364" i="4"/>
  <c r="K364" i="4" s="1"/>
  <c r="I364" i="4"/>
  <c r="M363" i="4"/>
  <c r="H705" i="8" s="1"/>
  <c r="L363" i="4"/>
  <c r="K363" i="4"/>
  <c r="J363" i="4"/>
  <c r="I363" i="4"/>
  <c r="J362" i="4"/>
  <c r="K362" i="4" s="1"/>
  <c r="I362" i="4"/>
  <c r="K361" i="4"/>
  <c r="J361" i="4"/>
  <c r="I361" i="4"/>
  <c r="K360" i="4"/>
  <c r="J360" i="4"/>
  <c r="I360" i="4"/>
  <c r="M359" i="4"/>
  <c r="H701" i="8" s="1"/>
  <c r="J359" i="4"/>
  <c r="K359" i="4" s="1"/>
  <c r="I359" i="4"/>
  <c r="M358" i="4"/>
  <c r="H700" i="8" s="1"/>
  <c r="L358" i="4"/>
  <c r="J358" i="4"/>
  <c r="K358" i="4" s="1"/>
  <c r="I358" i="4"/>
  <c r="K357" i="4"/>
  <c r="J357" i="4"/>
  <c r="I357" i="4"/>
  <c r="L356" i="4"/>
  <c r="J356" i="4"/>
  <c r="K356" i="4" s="1"/>
  <c r="I356" i="4"/>
  <c r="L355" i="4"/>
  <c r="K355" i="4"/>
  <c r="J355" i="4"/>
  <c r="I355" i="4"/>
  <c r="L354" i="4"/>
  <c r="K354" i="4"/>
  <c r="M354" i="4" s="1"/>
  <c r="H696" i="8" s="1"/>
  <c r="J354" i="4"/>
  <c r="I354" i="4"/>
  <c r="K353" i="4"/>
  <c r="J353" i="4"/>
  <c r="I353" i="4"/>
  <c r="M352" i="4"/>
  <c r="H694" i="8" s="1"/>
  <c r="J352" i="4"/>
  <c r="K352" i="4" s="1"/>
  <c r="I352" i="4"/>
  <c r="M351" i="4"/>
  <c r="H693" i="8" s="1"/>
  <c r="J351" i="4"/>
  <c r="K351" i="4" s="1"/>
  <c r="I351" i="4"/>
  <c r="L350" i="4"/>
  <c r="J350" i="4"/>
  <c r="K350" i="4" s="1"/>
  <c r="I350" i="4"/>
  <c r="M349" i="4"/>
  <c r="H1067" i="8" s="1"/>
  <c r="K349" i="4"/>
  <c r="J349" i="4"/>
  <c r="I349" i="4"/>
  <c r="J348" i="4"/>
  <c r="K348" i="4" s="1"/>
  <c r="I348" i="4"/>
  <c r="L347" i="4"/>
  <c r="K347" i="4"/>
  <c r="M347" i="4" s="1"/>
  <c r="H1065" i="8" s="1"/>
  <c r="J347" i="4"/>
  <c r="I347" i="4"/>
  <c r="K346" i="4"/>
  <c r="J346" i="4"/>
  <c r="I346" i="4"/>
  <c r="J345" i="4"/>
  <c r="K345" i="4" s="1"/>
  <c r="I345" i="4"/>
  <c r="M344" i="4"/>
  <c r="H1062" i="8" s="1"/>
  <c r="L344" i="4"/>
  <c r="J344" i="4"/>
  <c r="K344" i="4" s="1"/>
  <c r="I344" i="4"/>
  <c r="J343" i="4"/>
  <c r="K343" i="4" s="1"/>
  <c r="I343" i="4"/>
  <c r="L342" i="4"/>
  <c r="J342" i="4"/>
  <c r="K342" i="4" s="1"/>
  <c r="M342" i="4" s="1"/>
  <c r="H1060" i="8" s="1"/>
  <c r="I342" i="4"/>
  <c r="K341" i="4"/>
  <c r="J341" i="4"/>
  <c r="I341" i="4"/>
  <c r="L340" i="4"/>
  <c r="K340" i="4"/>
  <c r="J340" i="4"/>
  <c r="I340" i="4"/>
  <c r="L339" i="4"/>
  <c r="K339" i="4"/>
  <c r="J339" i="4"/>
  <c r="I339" i="4"/>
  <c r="K338" i="4"/>
  <c r="J338" i="4"/>
  <c r="I338" i="4"/>
  <c r="J337" i="4"/>
  <c r="K337" i="4" s="1"/>
  <c r="M337" i="4" s="1"/>
  <c r="H1055" i="8" s="1"/>
  <c r="I337" i="4"/>
  <c r="J336" i="4"/>
  <c r="K336" i="4" s="1"/>
  <c r="I336" i="4"/>
  <c r="L335" i="4"/>
  <c r="K335" i="4"/>
  <c r="M335" i="4" s="1"/>
  <c r="H1053" i="8" s="1"/>
  <c r="J335" i="4"/>
  <c r="I335" i="4"/>
  <c r="L334" i="4"/>
  <c r="J334" i="4"/>
  <c r="K334" i="4" s="1"/>
  <c r="I334" i="4"/>
  <c r="M333" i="4"/>
  <c r="H1051" i="8" s="1"/>
  <c r="J333" i="4"/>
  <c r="K333" i="4" s="1"/>
  <c r="I333" i="4"/>
  <c r="L332" i="4"/>
  <c r="K332" i="4"/>
  <c r="J332" i="4"/>
  <c r="I332" i="4"/>
  <c r="K331" i="4"/>
  <c r="J331" i="4"/>
  <c r="I331" i="4"/>
  <c r="K330" i="4"/>
  <c r="M330" i="4" s="1"/>
  <c r="H1048" i="8" s="1"/>
  <c r="J330" i="4"/>
  <c r="I330" i="4"/>
  <c r="J329" i="4"/>
  <c r="K329" i="4" s="1"/>
  <c r="I329" i="4"/>
  <c r="L328" i="4"/>
  <c r="K328" i="4"/>
  <c r="M328" i="4" s="1"/>
  <c r="H1046" i="8" s="1"/>
  <c r="J328" i="4"/>
  <c r="I328" i="4"/>
  <c r="K327" i="4"/>
  <c r="L327" i="4" s="1"/>
  <c r="J327" i="4"/>
  <c r="I327" i="4"/>
  <c r="J326" i="4"/>
  <c r="K326" i="4" s="1"/>
  <c r="I326" i="4"/>
  <c r="M325" i="4"/>
  <c r="H1043" i="8" s="1"/>
  <c r="L325" i="4"/>
  <c r="J325" i="4"/>
  <c r="K325" i="4" s="1"/>
  <c r="I325" i="4"/>
  <c r="K324" i="4"/>
  <c r="J324" i="4"/>
  <c r="I324" i="4"/>
  <c r="K323" i="4"/>
  <c r="J323" i="4"/>
  <c r="I323" i="4"/>
  <c r="K322" i="4"/>
  <c r="J322" i="4"/>
  <c r="I322" i="4"/>
  <c r="M321" i="4"/>
  <c r="H1039" i="8" s="1"/>
  <c r="K321" i="4"/>
  <c r="J321" i="4"/>
  <c r="I321" i="4"/>
  <c r="K320" i="4"/>
  <c r="L320" i="4" s="1"/>
  <c r="J320" i="4"/>
  <c r="I320" i="4"/>
  <c r="K319" i="4"/>
  <c r="J319" i="4"/>
  <c r="I319" i="4"/>
  <c r="M318" i="4"/>
  <c r="H1036" i="8" s="1"/>
  <c r="J318" i="4"/>
  <c r="K318" i="4" s="1"/>
  <c r="I318" i="4"/>
  <c r="J317" i="4"/>
  <c r="K317" i="4" s="1"/>
  <c r="I317" i="4"/>
  <c r="K316" i="4"/>
  <c r="J316" i="4"/>
  <c r="I316" i="4"/>
  <c r="K315" i="4"/>
  <c r="J315" i="4"/>
  <c r="I315" i="4"/>
  <c r="M314" i="4"/>
  <c r="H1032" i="8" s="1"/>
  <c r="J314" i="4"/>
  <c r="K314" i="4" s="1"/>
  <c r="I314" i="4"/>
  <c r="K313" i="4"/>
  <c r="J313" i="4"/>
  <c r="I313" i="4"/>
  <c r="K312" i="4"/>
  <c r="J312" i="4"/>
  <c r="I312" i="4"/>
  <c r="M311" i="4"/>
  <c r="H80" i="8" s="1"/>
  <c r="K311" i="4"/>
  <c r="J311" i="4"/>
  <c r="I311" i="4"/>
  <c r="J310" i="4"/>
  <c r="K310" i="4" s="1"/>
  <c r="I310" i="4"/>
  <c r="L309" i="4"/>
  <c r="K309" i="4"/>
  <c r="M309" i="4" s="1"/>
  <c r="H78" i="8" s="1"/>
  <c r="J309" i="4"/>
  <c r="I309" i="4"/>
  <c r="J308" i="4"/>
  <c r="K308" i="4" s="1"/>
  <c r="I308" i="4"/>
  <c r="M307" i="4"/>
  <c r="H76" i="8" s="1"/>
  <c r="L307" i="4"/>
  <c r="K307" i="4"/>
  <c r="J307" i="4"/>
  <c r="I307" i="4"/>
  <c r="M306" i="4"/>
  <c r="H75" i="8" s="1"/>
  <c r="L306" i="4"/>
  <c r="J306" i="4"/>
  <c r="K306" i="4" s="1"/>
  <c r="I306" i="4"/>
  <c r="K305" i="4"/>
  <c r="J305" i="4"/>
  <c r="I305" i="4"/>
  <c r="K304" i="4"/>
  <c r="J304" i="4"/>
  <c r="I304" i="4"/>
  <c r="K303" i="4"/>
  <c r="J303" i="4"/>
  <c r="I303" i="4"/>
  <c r="M302" i="4"/>
  <c r="H71" i="8" s="1"/>
  <c r="L302" i="4"/>
  <c r="J302" i="4"/>
  <c r="K302" i="4" s="1"/>
  <c r="I302" i="4"/>
  <c r="K301" i="4"/>
  <c r="L301" i="4" s="1"/>
  <c r="J301" i="4"/>
  <c r="I301" i="4"/>
  <c r="J300" i="4"/>
  <c r="K300" i="4" s="1"/>
  <c r="I300" i="4"/>
  <c r="M299" i="4"/>
  <c r="H689" i="8" s="1"/>
  <c r="L299" i="4"/>
  <c r="K299" i="4"/>
  <c r="J299" i="4"/>
  <c r="I299" i="4"/>
  <c r="J298" i="4"/>
  <c r="K298" i="4" s="1"/>
  <c r="I298" i="4"/>
  <c r="K297" i="4"/>
  <c r="J297" i="4"/>
  <c r="I297" i="4"/>
  <c r="J296" i="4"/>
  <c r="K296" i="4" s="1"/>
  <c r="I296" i="4"/>
  <c r="J295" i="4"/>
  <c r="K295" i="4" s="1"/>
  <c r="I295" i="4"/>
  <c r="M294" i="4"/>
  <c r="H684" i="8" s="1"/>
  <c r="L294" i="4"/>
  <c r="J294" i="4"/>
  <c r="K294" i="4" s="1"/>
  <c r="I294" i="4"/>
  <c r="K293" i="4"/>
  <c r="J293" i="4"/>
  <c r="I293" i="4"/>
  <c r="K292" i="4"/>
  <c r="J292" i="4"/>
  <c r="I292" i="4"/>
  <c r="K291" i="4"/>
  <c r="J291" i="4"/>
  <c r="I291" i="4"/>
  <c r="M290" i="4"/>
  <c r="H1030" i="8" s="1"/>
  <c r="J290" i="4"/>
  <c r="K290" i="4" s="1"/>
  <c r="I290" i="4"/>
  <c r="J289" i="4"/>
  <c r="K289" i="4" s="1"/>
  <c r="L289" i="4" s="1"/>
  <c r="I289" i="4"/>
  <c r="J288" i="4"/>
  <c r="K288" i="4" s="1"/>
  <c r="I288" i="4"/>
  <c r="L287" i="4"/>
  <c r="K287" i="4"/>
  <c r="M287" i="4" s="1"/>
  <c r="H1027" i="8" s="1"/>
  <c r="J287" i="4"/>
  <c r="I287" i="4"/>
  <c r="L286" i="4"/>
  <c r="K286" i="4"/>
  <c r="J286" i="4"/>
  <c r="I286" i="4"/>
  <c r="K285" i="4"/>
  <c r="J285" i="4"/>
  <c r="I285" i="4"/>
  <c r="K284" i="4"/>
  <c r="M284" i="4" s="1"/>
  <c r="H1024" i="8" s="1"/>
  <c r="J284" i="4"/>
  <c r="I284" i="4"/>
  <c r="K283" i="4"/>
  <c r="J283" i="4"/>
  <c r="I283" i="4"/>
  <c r="M282" i="4"/>
  <c r="H1022" i="8" s="1"/>
  <c r="J282" i="4"/>
  <c r="K282" i="4" s="1"/>
  <c r="I282" i="4"/>
  <c r="J281" i="4"/>
  <c r="K281" i="4" s="1"/>
  <c r="I281" i="4"/>
  <c r="J280" i="4"/>
  <c r="K280" i="4" s="1"/>
  <c r="I280" i="4"/>
  <c r="L279" i="4"/>
  <c r="K279" i="4"/>
  <c r="M279" i="4" s="1"/>
  <c r="H680" i="8" s="1"/>
  <c r="J279" i="4"/>
  <c r="I279" i="4"/>
  <c r="L278" i="4"/>
  <c r="K278" i="4"/>
  <c r="J278" i="4"/>
  <c r="I278" i="4"/>
  <c r="K277" i="4"/>
  <c r="J277" i="4"/>
  <c r="I277" i="4"/>
  <c r="K276" i="4"/>
  <c r="J276" i="4"/>
  <c r="I276" i="4"/>
  <c r="K275" i="4"/>
  <c r="J275" i="4"/>
  <c r="I275" i="4"/>
  <c r="M274" i="4"/>
  <c r="H675" i="8" s="1"/>
  <c r="J274" i="4"/>
  <c r="K274" i="4" s="1"/>
  <c r="I274" i="4"/>
  <c r="J273" i="4"/>
  <c r="K273" i="4" s="1"/>
  <c r="L273" i="4" s="1"/>
  <c r="I273" i="4"/>
  <c r="J272" i="4"/>
  <c r="K272" i="4" s="1"/>
  <c r="I272" i="4"/>
  <c r="L271" i="4"/>
  <c r="K271" i="4"/>
  <c r="M271" i="4" s="1"/>
  <c r="H1019" i="8" s="1"/>
  <c r="J271" i="4"/>
  <c r="I271" i="4"/>
  <c r="L270" i="4"/>
  <c r="K270" i="4"/>
  <c r="J270" i="4"/>
  <c r="I270" i="4"/>
  <c r="K269" i="4"/>
  <c r="J269" i="4"/>
  <c r="I269" i="4"/>
  <c r="K268" i="4"/>
  <c r="M268" i="4" s="1"/>
  <c r="H68" i="8" s="1"/>
  <c r="J268" i="4"/>
  <c r="I268" i="4"/>
  <c r="K267" i="4"/>
  <c r="J267" i="4"/>
  <c r="I267" i="4"/>
  <c r="J266" i="4"/>
  <c r="K266" i="4" s="1"/>
  <c r="I266" i="4"/>
  <c r="L265" i="4"/>
  <c r="J265" i="4"/>
  <c r="K265" i="4" s="1"/>
  <c r="M265" i="4" s="1"/>
  <c r="H65" i="8" s="1"/>
  <c r="I265" i="4"/>
  <c r="J264" i="4"/>
  <c r="K264" i="4" s="1"/>
  <c r="I264" i="4"/>
  <c r="L263" i="4"/>
  <c r="K263" i="4"/>
  <c r="M263" i="4" s="1"/>
  <c r="H63" i="8" s="1"/>
  <c r="J263" i="4"/>
  <c r="I263" i="4"/>
  <c r="L262" i="4"/>
  <c r="K262" i="4"/>
  <c r="J262" i="4"/>
  <c r="I262" i="4"/>
  <c r="K261" i="4"/>
  <c r="J261" i="4"/>
  <c r="I261" i="4"/>
  <c r="M260" i="4"/>
  <c r="H60" i="8" s="1"/>
  <c r="K260" i="4"/>
  <c r="J260" i="4"/>
  <c r="I260" i="4"/>
  <c r="J259" i="4"/>
  <c r="K259" i="4" s="1"/>
  <c r="I259" i="4"/>
  <c r="J258" i="4"/>
  <c r="K258" i="4" s="1"/>
  <c r="M258" i="4" s="1"/>
  <c r="H671" i="8" s="1"/>
  <c r="I258" i="4"/>
  <c r="L257" i="4"/>
  <c r="J257" i="4"/>
  <c r="K257" i="4" s="1"/>
  <c r="I257" i="4"/>
  <c r="J256" i="4"/>
  <c r="K256" i="4" s="1"/>
  <c r="I256" i="4"/>
  <c r="L255" i="4"/>
  <c r="K255" i="4"/>
  <c r="M255" i="4" s="1"/>
  <c r="H668" i="8" s="1"/>
  <c r="J255" i="4"/>
  <c r="I255" i="4"/>
  <c r="K254" i="4"/>
  <c r="J254" i="4"/>
  <c r="I254" i="4"/>
  <c r="K253" i="4"/>
  <c r="J253" i="4"/>
  <c r="I253" i="4"/>
  <c r="M252" i="4"/>
  <c r="H665" i="8" s="1"/>
  <c r="K252" i="4"/>
  <c r="J252" i="4"/>
  <c r="I252" i="4"/>
  <c r="J251" i="4"/>
  <c r="K251" i="4" s="1"/>
  <c r="I251" i="4"/>
  <c r="J250" i="4"/>
  <c r="K250" i="4" s="1"/>
  <c r="I250" i="4"/>
  <c r="M249" i="4"/>
  <c r="H662" i="8" s="1"/>
  <c r="L249" i="4"/>
  <c r="J249" i="4"/>
  <c r="K249" i="4" s="1"/>
  <c r="I249" i="4"/>
  <c r="J248" i="4"/>
  <c r="K248" i="4" s="1"/>
  <c r="I248" i="4"/>
  <c r="L247" i="4"/>
  <c r="K247" i="4"/>
  <c r="M247" i="4" s="1"/>
  <c r="H660" i="8" s="1"/>
  <c r="J247" i="4"/>
  <c r="I247" i="4"/>
  <c r="K246" i="4"/>
  <c r="L246" i="4" s="1"/>
  <c r="J246" i="4"/>
  <c r="I246" i="4"/>
  <c r="K245" i="4"/>
  <c r="J245" i="4"/>
  <c r="I245" i="4"/>
  <c r="M244" i="4"/>
  <c r="H657" i="8" s="1"/>
  <c r="K244" i="4"/>
  <c r="J244" i="4"/>
  <c r="I244" i="4"/>
  <c r="J243" i="4"/>
  <c r="K243" i="4" s="1"/>
  <c r="I243" i="4"/>
  <c r="J242" i="4"/>
  <c r="K242" i="4" s="1"/>
  <c r="M242" i="4" s="1"/>
  <c r="H655" i="8" s="1"/>
  <c r="I242" i="4"/>
  <c r="M241" i="4"/>
  <c r="H654" i="8" s="1"/>
  <c r="L241" i="4"/>
  <c r="J241" i="4"/>
  <c r="K241" i="4" s="1"/>
  <c r="I241" i="4"/>
  <c r="J240" i="4"/>
  <c r="K240" i="4" s="1"/>
  <c r="I240" i="4"/>
  <c r="L239" i="4"/>
  <c r="K239" i="4"/>
  <c r="M239" i="4" s="1"/>
  <c r="H652" i="8" s="1"/>
  <c r="J239" i="4"/>
  <c r="I239" i="4"/>
  <c r="K238" i="4"/>
  <c r="J238" i="4"/>
  <c r="I238" i="4"/>
  <c r="K237" i="4"/>
  <c r="J237" i="4"/>
  <c r="I237" i="4"/>
  <c r="M236" i="4"/>
  <c r="H649" i="8" s="1"/>
  <c r="K236" i="4"/>
  <c r="J236" i="4"/>
  <c r="I236" i="4"/>
  <c r="J235" i="4"/>
  <c r="K235" i="4" s="1"/>
  <c r="I235" i="4"/>
  <c r="M234" i="4"/>
  <c r="H647" i="8" s="1"/>
  <c r="J234" i="4"/>
  <c r="K234" i="4" s="1"/>
  <c r="I234" i="4"/>
  <c r="M233" i="4"/>
  <c r="H646" i="8" s="1"/>
  <c r="J233" i="4"/>
  <c r="K233" i="4" s="1"/>
  <c r="I233" i="4"/>
  <c r="J232" i="4"/>
  <c r="K232" i="4" s="1"/>
  <c r="I232" i="4"/>
  <c r="L231" i="4"/>
  <c r="K231" i="4"/>
  <c r="M231" i="4" s="1"/>
  <c r="H644" i="8" s="1"/>
  <c r="J231" i="4"/>
  <c r="I231" i="4"/>
  <c r="K230" i="4"/>
  <c r="L230" i="4" s="1"/>
  <c r="J230" i="4"/>
  <c r="I230" i="4"/>
  <c r="K229" i="4"/>
  <c r="J229" i="4"/>
  <c r="I229" i="4"/>
  <c r="K228" i="4"/>
  <c r="J228" i="4"/>
  <c r="I228" i="4"/>
  <c r="K227" i="4"/>
  <c r="J227" i="4"/>
  <c r="I227" i="4"/>
  <c r="M226" i="4"/>
  <c r="H639" i="8" s="1"/>
  <c r="J226" i="4"/>
  <c r="K226" i="4" s="1"/>
  <c r="I226" i="4"/>
  <c r="J225" i="4"/>
  <c r="K225" i="4" s="1"/>
  <c r="M225" i="4" s="1"/>
  <c r="H638" i="8" s="1"/>
  <c r="I225" i="4"/>
  <c r="J224" i="4"/>
  <c r="K224" i="4" s="1"/>
  <c r="I224" i="4"/>
  <c r="L223" i="4"/>
  <c r="K223" i="4"/>
  <c r="M223" i="4" s="1"/>
  <c r="H636" i="8" s="1"/>
  <c r="J223" i="4"/>
  <c r="I223" i="4"/>
  <c r="L222" i="4"/>
  <c r="K222" i="4"/>
  <c r="J222" i="4"/>
  <c r="I222" i="4"/>
  <c r="K221" i="4"/>
  <c r="J221" i="4"/>
  <c r="I221" i="4"/>
  <c r="K220" i="4"/>
  <c r="J220" i="4"/>
  <c r="I220" i="4"/>
  <c r="K219" i="4"/>
  <c r="J219" i="4"/>
  <c r="I219" i="4"/>
  <c r="M218" i="4"/>
  <c r="H631" i="8" s="1"/>
  <c r="J218" i="4"/>
  <c r="K218" i="4" s="1"/>
  <c r="I218" i="4"/>
  <c r="J217" i="4"/>
  <c r="K217" i="4" s="1"/>
  <c r="I217" i="4"/>
  <c r="J216" i="4"/>
  <c r="K216" i="4" s="1"/>
  <c r="I216" i="4"/>
  <c r="L215" i="4"/>
  <c r="K215" i="4"/>
  <c r="M215" i="4" s="1"/>
  <c r="H628" i="8" s="1"/>
  <c r="J215" i="4"/>
  <c r="I215" i="4"/>
  <c r="L214" i="4"/>
  <c r="K214" i="4"/>
  <c r="J214" i="4"/>
  <c r="I214" i="4"/>
  <c r="K213" i="4"/>
  <c r="J213" i="4"/>
  <c r="I213" i="4"/>
  <c r="K212" i="4"/>
  <c r="J212" i="4"/>
  <c r="I212" i="4"/>
  <c r="K211" i="4"/>
  <c r="J211" i="4"/>
  <c r="I211" i="4"/>
  <c r="M210" i="4"/>
  <c r="H623" i="8" s="1"/>
  <c r="J210" i="4"/>
  <c r="K210" i="4" s="1"/>
  <c r="I210" i="4"/>
  <c r="J209" i="4"/>
  <c r="K209" i="4" s="1"/>
  <c r="M209" i="4" s="1"/>
  <c r="H622" i="8" s="1"/>
  <c r="I209" i="4"/>
  <c r="J208" i="4"/>
  <c r="K208" i="4" s="1"/>
  <c r="I208" i="4"/>
  <c r="L207" i="4"/>
  <c r="K207" i="4"/>
  <c r="M207" i="4" s="1"/>
  <c r="H620" i="8" s="1"/>
  <c r="J207" i="4"/>
  <c r="I207" i="4"/>
  <c r="L206" i="4"/>
  <c r="K206" i="4"/>
  <c r="J206" i="4"/>
  <c r="I206" i="4"/>
  <c r="K205" i="4"/>
  <c r="J205" i="4"/>
  <c r="I205" i="4"/>
  <c r="K204" i="4"/>
  <c r="M204" i="4" s="1"/>
  <c r="H617" i="8" s="1"/>
  <c r="J204" i="4"/>
  <c r="I204" i="4"/>
  <c r="K203" i="4"/>
  <c r="J203" i="4"/>
  <c r="I203" i="4"/>
  <c r="J202" i="4"/>
  <c r="K202" i="4" s="1"/>
  <c r="I202" i="4"/>
  <c r="L201" i="4"/>
  <c r="J201" i="4"/>
  <c r="K201" i="4" s="1"/>
  <c r="M201" i="4" s="1"/>
  <c r="H614" i="8" s="1"/>
  <c r="I201" i="4"/>
  <c r="J200" i="4"/>
  <c r="K200" i="4" s="1"/>
  <c r="I200" i="4"/>
  <c r="L199" i="4"/>
  <c r="K199" i="4"/>
  <c r="M199" i="4" s="1"/>
  <c r="H612" i="8" s="1"/>
  <c r="J199" i="4"/>
  <c r="I199" i="4"/>
  <c r="L198" i="4"/>
  <c r="K198" i="4"/>
  <c r="J198" i="4"/>
  <c r="I198" i="4"/>
  <c r="K197" i="4"/>
  <c r="J197" i="4"/>
  <c r="I197" i="4"/>
  <c r="M196" i="4"/>
  <c r="H609" i="8" s="1"/>
  <c r="K196" i="4"/>
  <c r="J196" i="4"/>
  <c r="I196" i="4"/>
  <c r="J195" i="4"/>
  <c r="K195" i="4" s="1"/>
  <c r="I195" i="4"/>
  <c r="J194" i="4"/>
  <c r="K194" i="4" s="1"/>
  <c r="M194" i="4" s="1"/>
  <c r="H607" i="8" s="1"/>
  <c r="I194" i="4"/>
  <c r="L193" i="4"/>
  <c r="J193" i="4"/>
  <c r="K193" i="4" s="1"/>
  <c r="I193" i="4"/>
  <c r="J192" i="4"/>
  <c r="K192" i="4" s="1"/>
  <c r="I192" i="4"/>
  <c r="L191" i="4"/>
  <c r="K191" i="4"/>
  <c r="M191" i="4" s="1"/>
  <c r="H604" i="8" s="1"/>
  <c r="J191" i="4"/>
  <c r="I191" i="4"/>
  <c r="K190" i="4"/>
  <c r="J190" i="4"/>
  <c r="I190" i="4"/>
  <c r="K189" i="4"/>
  <c r="J189" i="4"/>
  <c r="I189" i="4"/>
  <c r="M188" i="4"/>
  <c r="H601" i="8" s="1"/>
  <c r="K188" i="4"/>
  <c r="J188" i="4"/>
  <c r="I188" i="4"/>
  <c r="J187" i="4"/>
  <c r="K187" i="4" s="1"/>
  <c r="I187" i="4"/>
  <c r="J186" i="4"/>
  <c r="K186" i="4" s="1"/>
  <c r="I186" i="4"/>
  <c r="M185" i="4"/>
  <c r="H598" i="8" s="1"/>
  <c r="L185" i="4"/>
  <c r="J185" i="4"/>
  <c r="K185" i="4" s="1"/>
  <c r="I185" i="4"/>
  <c r="J184" i="4"/>
  <c r="K184" i="4" s="1"/>
  <c r="I184" i="4"/>
  <c r="L183" i="4"/>
  <c r="K183" i="4"/>
  <c r="M183" i="4" s="1"/>
  <c r="H596" i="8" s="1"/>
  <c r="J183" i="4"/>
  <c r="I183" i="4"/>
  <c r="K182" i="4"/>
  <c r="L182" i="4" s="1"/>
  <c r="J182" i="4"/>
  <c r="I182" i="4"/>
  <c r="K181" i="4"/>
  <c r="J181" i="4"/>
  <c r="I181" i="4"/>
  <c r="M180" i="4"/>
  <c r="H1016" i="8" s="1"/>
  <c r="K180" i="4"/>
  <c r="J180" i="4"/>
  <c r="I180" i="4"/>
  <c r="J179" i="4"/>
  <c r="K179" i="4" s="1"/>
  <c r="I179" i="4"/>
  <c r="J178" i="4"/>
  <c r="K178" i="4" s="1"/>
  <c r="M178" i="4" s="1"/>
  <c r="H1014" i="8" s="1"/>
  <c r="I178" i="4"/>
  <c r="M177" i="4"/>
  <c r="H1013" i="8" s="1"/>
  <c r="L177" i="4"/>
  <c r="J177" i="4"/>
  <c r="K177" i="4" s="1"/>
  <c r="I177" i="4"/>
  <c r="J176" i="4"/>
  <c r="K176" i="4" s="1"/>
  <c r="I176" i="4"/>
  <c r="L175" i="4"/>
  <c r="K175" i="4"/>
  <c r="M175" i="4" s="1"/>
  <c r="H1011" i="8" s="1"/>
  <c r="J175" i="4"/>
  <c r="I175" i="4"/>
  <c r="K174" i="4"/>
  <c r="J174" i="4"/>
  <c r="I174" i="4"/>
  <c r="K173" i="4"/>
  <c r="J173" i="4"/>
  <c r="I173" i="4"/>
  <c r="M172" i="4"/>
  <c r="H1008" i="8" s="1"/>
  <c r="K172" i="4"/>
  <c r="J172" i="4"/>
  <c r="I172" i="4"/>
  <c r="I171" i="4"/>
  <c r="I170" i="4"/>
  <c r="I169" i="4"/>
  <c r="I168" i="4"/>
  <c r="I167" i="4"/>
  <c r="I166" i="4"/>
  <c r="I165" i="4"/>
  <c r="I164" i="4"/>
  <c r="I163" i="4"/>
  <c r="I162" i="4"/>
  <c r="H162" i="4"/>
  <c r="J162" i="4" s="1"/>
  <c r="K162" i="4" s="1"/>
  <c r="I161" i="4"/>
  <c r="I160" i="4"/>
  <c r="I159" i="4"/>
  <c r="I158" i="4"/>
  <c r="I157" i="4"/>
  <c r="I156" i="4"/>
  <c r="I155" i="4"/>
  <c r="I154" i="4"/>
  <c r="H154" i="4"/>
  <c r="J154" i="4" s="1"/>
  <c r="K154" i="4" s="1"/>
  <c r="I153" i="4"/>
  <c r="I152" i="4"/>
  <c r="I151" i="4"/>
  <c r="I150" i="4"/>
  <c r="I149" i="4"/>
  <c r="I148" i="4"/>
  <c r="I147" i="4"/>
  <c r="I146" i="4"/>
  <c r="H146" i="4"/>
  <c r="J146" i="4" s="1"/>
  <c r="K146" i="4" s="1"/>
  <c r="I145" i="4"/>
  <c r="I144" i="4"/>
  <c r="I143" i="4"/>
  <c r="G143" i="4"/>
  <c r="J142" i="4"/>
  <c r="K142" i="4" s="1"/>
  <c r="I142" i="4"/>
  <c r="I141" i="4"/>
  <c r="I140" i="4"/>
  <c r="G140" i="4"/>
  <c r="I139" i="4"/>
  <c r="G139" i="4"/>
  <c r="I138" i="4"/>
  <c r="G138" i="4"/>
  <c r="I137" i="4"/>
  <c r="G137" i="4"/>
  <c r="I136" i="4"/>
  <c r="I135" i="4"/>
  <c r="I134" i="4"/>
  <c r="G134" i="4"/>
  <c r="I133" i="4"/>
  <c r="I132" i="4"/>
  <c r="G132" i="4"/>
  <c r="J131" i="4"/>
  <c r="K131" i="4" s="1"/>
  <c r="I131" i="4"/>
  <c r="I130" i="4"/>
  <c r="F130" i="4"/>
  <c r="I129" i="4"/>
  <c r="G129" i="4"/>
  <c r="I128" i="4"/>
  <c r="I127" i="4"/>
  <c r="G127" i="4"/>
  <c r="I126" i="4"/>
  <c r="G126" i="4"/>
  <c r="J125" i="4"/>
  <c r="K125" i="4" s="1"/>
  <c r="M125" i="4" s="1"/>
  <c r="H1005" i="8" s="1"/>
  <c r="I125" i="4"/>
  <c r="L124" i="4"/>
  <c r="J124" i="4"/>
  <c r="K124" i="4" s="1"/>
  <c r="I124" i="4"/>
  <c r="I123" i="4"/>
  <c r="G123" i="4"/>
  <c r="F123" i="4"/>
  <c r="I122" i="4"/>
  <c r="G122" i="4"/>
  <c r="F122" i="4"/>
  <c r="L121" i="4"/>
  <c r="K121" i="4"/>
  <c r="M121" i="4" s="1"/>
  <c r="H1003" i="8" s="1"/>
  <c r="J121" i="4"/>
  <c r="I121" i="4"/>
  <c r="K120" i="4"/>
  <c r="L120" i="4" s="1"/>
  <c r="I120" i="4"/>
  <c r="I119" i="4"/>
  <c r="F119" i="4"/>
  <c r="I118" i="4"/>
  <c r="F118" i="4"/>
  <c r="I117" i="4"/>
  <c r="F117" i="4"/>
  <c r="K116" i="4"/>
  <c r="L116" i="4" s="1"/>
  <c r="I116" i="4"/>
  <c r="L115" i="4"/>
  <c r="K115" i="4"/>
  <c r="J115" i="4"/>
  <c r="I115" i="4"/>
  <c r="I114" i="4"/>
  <c r="F114" i="4"/>
  <c r="K113" i="4"/>
  <c r="J113" i="4"/>
  <c r="I113" i="4"/>
  <c r="M112" i="4"/>
  <c r="H1000" i="8" s="1"/>
  <c r="K112" i="4"/>
  <c r="J112" i="4"/>
  <c r="I112" i="4"/>
  <c r="I111" i="4"/>
  <c r="G111" i="4"/>
  <c r="M110" i="4"/>
  <c r="H999" i="8" s="1"/>
  <c r="K110" i="4"/>
  <c r="J110" i="4"/>
  <c r="I110" i="4"/>
  <c r="I109" i="4"/>
  <c r="G109" i="4"/>
  <c r="I108" i="4"/>
  <c r="I107" i="4"/>
  <c r="G107" i="4"/>
  <c r="F107" i="4"/>
  <c r="I106" i="4"/>
  <c r="G106" i="4"/>
  <c r="I105" i="4"/>
  <c r="I104" i="4"/>
  <c r="I103" i="4"/>
  <c r="G103" i="4"/>
  <c r="I102" i="4"/>
  <c r="I101" i="4"/>
  <c r="H101" i="4"/>
  <c r="J101" i="4" s="1"/>
  <c r="K101" i="4" s="1"/>
  <c r="F101" i="4"/>
  <c r="I100" i="4"/>
  <c r="F100" i="4"/>
  <c r="I99" i="4"/>
  <c r="I98" i="4"/>
  <c r="I97" i="4"/>
  <c r="H97" i="4"/>
  <c r="J97" i="4" s="1"/>
  <c r="K97" i="4" s="1"/>
  <c r="G97" i="4"/>
  <c r="I96" i="4"/>
  <c r="I95" i="4"/>
  <c r="I94" i="4"/>
  <c r="G94" i="4"/>
  <c r="I93" i="4"/>
  <c r="I92" i="4"/>
  <c r="G92" i="4"/>
  <c r="I91" i="4"/>
  <c r="I90" i="4"/>
  <c r="I89" i="4"/>
  <c r="G89" i="4"/>
  <c r="I88" i="4"/>
  <c r="I87" i="4"/>
  <c r="H87" i="4"/>
  <c r="J87" i="4" s="1"/>
  <c r="K87" i="4" s="1"/>
  <c r="J86" i="4"/>
  <c r="K86" i="4" s="1"/>
  <c r="I86" i="4"/>
  <c r="I85" i="4"/>
  <c r="I84" i="4"/>
  <c r="G84" i="4"/>
  <c r="I83" i="4"/>
  <c r="G83" i="4"/>
  <c r="J82" i="4"/>
  <c r="K82" i="4" s="1"/>
  <c r="I82" i="4"/>
  <c r="I81" i="4"/>
  <c r="I80" i="4"/>
  <c r="G80" i="4"/>
  <c r="I79" i="4"/>
  <c r="I78" i="4"/>
  <c r="G78" i="4"/>
  <c r="I77" i="4"/>
  <c r="I76" i="4"/>
  <c r="L75" i="4"/>
  <c r="J75" i="4"/>
  <c r="K75" i="4" s="1"/>
  <c r="I75" i="4"/>
  <c r="L74" i="4"/>
  <c r="K74" i="4"/>
  <c r="M74" i="4" s="1"/>
  <c r="H592" i="8" s="1"/>
  <c r="J74" i="4"/>
  <c r="I74" i="4"/>
  <c r="I73" i="4"/>
  <c r="I72" i="4"/>
  <c r="F72" i="4"/>
  <c r="I71" i="4"/>
  <c r="F71" i="4"/>
  <c r="I70" i="4"/>
  <c r="F70" i="4"/>
  <c r="K69" i="4"/>
  <c r="L69" i="4" s="1"/>
  <c r="I69" i="4"/>
  <c r="I68" i="4"/>
  <c r="F68" i="4"/>
  <c r="K67" i="4"/>
  <c r="L67" i="4" s="1"/>
  <c r="I67" i="4"/>
  <c r="I66" i="4"/>
  <c r="F66" i="4"/>
  <c r="I65" i="4"/>
  <c r="I64" i="4"/>
  <c r="F64" i="4"/>
  <c r="I63" i="4"/>
  <c r="F63" i="4"/>
  <c r="I62" i="4"/>
  <c r="I61" i="4"/>
  <c r="I60" i="4"/>
  <c r="F60" i="4"/>
  <c r="I59" i="4"/>
  <c r="I58" i="4"/>
  <c r="F58" i="4"/>
  <c r="I57" i="4"/>
  <c r="I56" i="4"/>
  <c r="I55" i="4"/>
  <c r="F55" i="4"/>
  <c r="I54" i="4"/>
  <c r="F54" i="4"/>
  <c r="I53" i="4"/>
  <c r="I52" i="4"/>
  <c r="I51" i="4"/>
  <c r="F51" i="4"/>
  <c r="I50" i="4"/>
  <c r="G50" i="4"/>
  <c r="I49" i="4"/>
  <c r="F49" i="4"/>
  <c r="L48" i="4"/>
  <c r="K48" i="4"/>
  <c r="J48" i="4"/>
  <c r="I48" i="4"/>
  <c r="I47" i="4"/>
  <c r="I46" i="4"/>
  <c r="F46" i="4"/>
  <c r="I45" i="4"/>
  <c r="K44" i="4"/>
  <c r="J44" i="4"/>
  <c r="I44" i="4"/>
  <c r="I43" i="4"/>
  <c r="F43" i="4"/>
  <c r="I42" i="4"/>
  <c r="F42" i="4"/>
  <c r="I41" i="4"/>
  <c r="I40" i="4"/>
  <c r="M39" i="4"/>
  <c r="H589" i="8" s="1"/>
  <c r="K39" i="4"/>
  <c r="J39" i="4"/>
  <c r="I39" i="4"/>
  <c r="I38" i="4"/>
  <c r="I37" i="4"/>
  <c r="I36" i="4"/>
  <c r="I35" i="4"/>
  <c r="I34" i="4"/>
  <c r="I33" i="4"/>
  <c r="I32" i="4"/>
  <c r="I31" i="4"/>
  <c r="I30" i="4"/>
  <c r="I29" i="4"/>
  <c r="H29" i="4"/>
  <c r="J29" i="4" s="1"/>
  <c r="K29" i="4" s="1"/>
  <c r="I28" i="4"/>
  <c r="I27" i="4"/>
  <c r="M26" i="4"/>
  <c r="H588" i="8" s="1"/>
  <c r="K26" i="4"/>
  <c r="J26" i="4"/>
  <c r="I26" i="4"/>
  <c r="I25" i="4"/>
  <c r="I24" i="4"/>
  <c r="G24" i="4"/>
  <c r="I23" i="4"/>
  <c r="G23" i="4"/>
  <c r="I22" i="4"/>
  <c r="I21" i="4"/>
  <c r="I20" i="4"/>
  <c r="J19" i="4"/>
  <c r="K19" i="4" s="1"/>
  <c r="M19" i="4" s="1"/>
  <c r="H587" i="8" s="1"/>
  <c r="I19" i="4"/>
  <c r="I18" i="4"/>
  <c r="M17" i="4"/>
  <c r="H586" i="8" s="1"/>
  <c r="L17" i="4"/>
  <c r="J17" i="4"/>
  <c r="K17" i="4" s="1"/>
  <c r="I17" i="4"/>
  <c r="L16" i="4"/>
  <c r="J16" i="4"/>
  <c r="K16" i="4" s="1"/>
  <c r="I16" i="4"/>
  <c r="I15" i="4"/>
  <c r="G15" i="4"/>
  <c r="L14" i="4"/>
  <c r="I14" i="4"/>
  <c r="I13" i="4"/>
  <c r="G13" i="4"/>
  <c r="I12" i="4"/>
  <c r="J11" i="4"/>
  <c r="K11" i="4" s="1"/>
  <c r="I11" i="4"/>
  <c r="I10" i="4"/>
  <c r="G10" i="4"/>
  <c r="I9" i="4"/>
  <c r="I8" i="4"/>
  <c r="I7" i="4"/>
  <c r="I6" i="4"/>
  <c r="I5" i="4"/>
  <c r="L167" i="3"/>
  <c r="K167" i="3"/>
  <c r="G171" i="4" s="1"/>
  <c r="G167" i="3"/>
  <c r="F167" i="3"/>
  <c r="F171" i="4" s="1"/>
  <c r="O166" i="3"/>
  <c r="M166" i="3"/>
  <c r="N166" i="3" s="1"/>
  <c r="L166" i="3"/>
  <c r="K166" i="3"/>
  <c r="G170" i="4" s="1"/>
  <c r="G166" i="3"/>
  <c r="F166" i="3"/>
  <c r="F170" i="4" s="1"/>
  <c r="L165" i="3"/>
  <c r="K165" i="3"/>
  <c r="G169" i="4" s="1"/>
  <c r="G165" i="3"/>
  <c r="F165" i="3"/>
  <c r="L164" i="3"/>
  <c r="K164" i="3"/>
  <c r="G168" i="4" s="1"/>
  <c r="G164" i="3"/>
  <c r="F164" i="3"/>
  <c r="F168" i="4" s="1"/>
  <c r="M163" i="3"/>
  <c r="N163" i="3" s="1"/>
  <c r="O163" i="3" s="1"/>
  <c r="L163" i="3"/>
  <c r="K163" i="3"/>
  <c r="G167" i="4" s="1"/>
  <c r="G163" i="3"/>
  <c r="F163" i="3"/>
  <c r="F167" i="4" s="1"/>
  <c r="L162" i="3"/>
  <c r="K162" i="3"/>
  <c r="G166" i="4" s="1"/>
  <c r="G162" i="3"/>
  <c r="F162" i="3"/>
  <c r="M161" i="3"/>
  <c r="N161" i="3" s="1"/>
  <c r="O161" i="3" s="1"/>
  <c r="L161" i="3"/>
  <c r="K161" i="3"/>
  <c r="G165" i="4" s="1"/>
  <c r="G161" i="3"/>
  <c r="F161" i="3"/>
  <c r="F165" i="4" s="1"/>
  <c r="L160" i="3"/>
  <c r="K160" i="3"/>
  <c r="G164" i="4" s="1"/>
  <c r="G160" i="3"/>
  <c r="F160" i="3"/>
  <c r="L159" i="3"/>
  <c r="K159" i="3"/>
  <c r="G163" i="4" s="1"/>
  <c r="G159" i="3"/>
  <c r="F159" i="3"/>
  <c r="F163" i="4" s="1"/>
  <c r="M158" i="3"/>
  <c r="N158" i="3" s="1"/>
  <c r="O158" i="3" s="1"/>
  <c r="L158" i="3"/>
  <c r="K158" i="3"/>
  <c r="G162" i="4" s="1"/>
  <c r="G158" i="3"/>
  <c r="F158" i="3"/>
  <c r="F162" i="4" s="1"/>
  <c r="L157" i="3"/>
  <c r="K157" i="3"/>
  <c r="G161" i="4" s="1"/>
  <c r="G157" i="3"/>
  <c r="F157" i="3"/>
  <c r="L156" i="3"/>
  <c r="K156" i="3"/>
  <c r="G160" i="4" s="1"/>
  <c r="G156" i="3"/>
  <c r="F156" i="3"/>
  <c r="F160" i="4" s="1"/>
  <c r="L155" i="3"/>
  <c r="K155" i="3"/>
  <c r="G159" i="4" s="1"/>
  <c r="G155" i="3"/>
  <c r="F155" i="3"/>
  <c r="F159" i="4" s="1"/>
  <c r="L154" i="3"/>
  <c r="K154" i="3"/>
  <c r="G158" i="4" s="1"/>
  <c r="G154" i="3"/>
  <c r="F154" i="3"/>
  <c r="L153" i="3"/>
  <c r="K153" i="3"/>
  <c r="G157" i="4" s="1"/>
  <c r="G153" i="3"/>
  <c r="F153" i="3"/>
  <c r="F157" i="4" s="1"/>
  <c r="L152" i="3"/>
  <c r="K152" i="3"/>
  <c r="G156" i="4" s="1"/>
  <c r="G152" i="3"/>
  <c r="F152" i="3"/>
  <c r="L151" i="3"/>
  <c r="K151" i="3"/>
  <c r="G155" i="4" s="1"/>
  <c r="G151" i="3"/>
  <c r="F151" i="3"/>
  <c r="F155" i="4" s="1"/>
  <c r="O150" i="3"/>
  <c r="M150" i="3"/>
  <c r="N150" i="3" s="1"/>
  <c r="L150" i="3"/>
  <c r="K150" i="3"/>
  <c r="G154" i="4" s="1"/>
  <c r="G150" i="3"/>
  <c r="F150" i="3"/>
  <c r="F154" i="4" s="1"/>
  <c r="L149" i="3"/>
  <c r="K149" i="3"/>
  <c r="G153" i="4" s="1"/>
  <c r="G149" i="3"/>
  <c r="F149" i="3"/>
  <c r="M148" i="3"/>
  <c r="H152" i="4" s="1"/>
  <c r="J152" i="4" s="1"/>
  <c r="K152" i="4" s="1"/>
  <c r="L148" i="3"/>
  <c r="K148" i="3"/>
  <c r="G152" i="4" s="1"/>
  <c r="G148" i="3"/>
  <c r="F148" i="3"/>
  <c r="F152" i="4" s="1"/>
  <c r="M147" i="3"/>
  <c r="N147" i="3" s="1"/>
  <c r="O147" i="3" s="1"/>
  <c r="L147" i="3"/>
  <c r="K147" i="3"/>
  <c r="G151" i="4" s="1"/>
  <c r="G147" i="3"/>
  <c r="F147" i="3"/>
  <c r="F151" i="4" s="1"/>
  <c r="L146" i="3"/>
  <c r="K146" i="3"/>
  <c r="G150" i="4" s="1"/>
  <c r="G146" i="3"/>
  <c r="F146" i="3"/>
  <c r="L145" i="3"/>
  <c r="K145" i="3"/>
  <c r="G149" i="4" s="1"/>
  <c r="G145" i="3"/>
  <c r="F145" i="3"/>
  <c r="F149" i="4" s="1"/>
  <c r="L144" i="3"/>
  <c r="K144" i="3"/>
  <c r="G148" i="4" s="1"/>
  <c r="G144" i="3"/>
  <c r="F144" i="3"/>
  <c r="L143" i="3"/>
  <c r="K143" i="3"/>
  <c r="G147" i="4" s="1"/>
  <c r="G143" i="3"/>
  <c r="F143" i="3"/>
  <c r="F147" i="4" s="1"/>
  <c r="M142" i="3"/>
  <c r="N142" i="3" s="1"/>
  <c r="O142" i="3" s="1"/>
  <c r="L142" i="3"/>
  <c r="K142" i="3"/>
  <c r="G146" i="4" s="1"/>
  <c r="G142" i="3"/>
  <c r="F142" i="3"/>
  <c r="F146" i="4" s="1"/>
  <c r="L141" i="3"/>
  <c r="K141" i="3"/>
  <c r="G145" i="4" s="1"/>
  <c r="G141" i="3"/>
  <c r="F141" i="3"/>
  <c r="L140" i="3"/>
  <c r="K140" i="3"/>
  <c r="G144" i="4" s="1"/>
  <c r="G140" i="3"/>
  <c r="F140" i="3"/>
  <c r="F144" i="4" s="1"/>
  <c r="L139" i="3"/>
  <c r="G139" i="3"/>
  <c r="F139" i="3"/>
  <c r="F143" i="4" s="1"/>
  <c r="G138" i="3"/>
  <c r="L137" i="3"/>
  <c r="K137" i="3"/>
  <c r="G141" i="4" s="1"/>
  <c r="G137" i="3"/>
  <c r="F137" i="3"/>
  <c r="M136" i="3"/>
  <c r="N136" i="3" s="1"/>
  <c r="O136" i="3" s="1"/>
  <c r="L136" i="3"/>
  <c r="K136" i="3"/>
  <c r="G136" i="3"/>
  <c r="F136" i="3"/>
  <c r="F140" i="4" s="1"/>
  <c r="L135" i="3"/>
  <c r="K135" i="3"/>
  <c r="G135" i="3"/>
  <c r="F135" i="3"/>
  <c r="L134" i="3"/>
  <c r="K134" i="3"/>
  <c r="G134" i="3"/>
  <c r="F134" i="3"/>
  <c r="F138" i="4" s="1"/>
  <c r="O133" i="3"/>
  <c r="M133" i="3"/>
  <c r="N133" i="3" s="1"/>
  <c r="L133" i="3"/>
  <c r="K133" i="3"/>
  <c r="G133" i="3"/>
  <c r="F133" i="3"/>
  <c r="F137" i="4" s="1"/>
  <c r="L132" i="3"/>
  <c r="K132" i="3"/>
  <c r="G136" i="4" s="1"/>
  <c r="G132" i="3"/>
  <c r="F132" i="3"/>
  <c r="L131" i="3"/>
  <c r="K131" i="3"/>
  <c r="M131" i="3" s="1"/>
  <c r="G131" i="3"/>
  <c r="F131" i="3"/>
  <c r="F135" i="4" s="1"/>
  <c r="L130" i="3"/>
  <c r="K130" i="3"/>
  <c r="G130" i="3"/>
  <c r="F130" i="3"/>
  <c r="F134" i="4" s="1"/>
  <c r="L129" i="3"/>
  <c r="K129" i="3"/>
  <c r="G133" i="4" s="1"/>
  <c r="G129" i="3"/>
  <c r="F129" i="3"/>
  <c r="L128" i="3"/>
  <c r="K128" i="3"/>
  <c r="M128" i="3" s="1"/>
  <c r="G128" i="3"/>
  <c r="F128" i="3"/>
  <c r="F132" i="4" s="1"/>
  <c r="L127" i="3"/>
  <c r="G127" i="3"/>
  <c r="L126" i="3"/>
  <c r="K126" i="3"/>
  <c r="M126" i="3" s="1"/>
  <c r="H130" i="4" s="1"/>
  <c r="J130" i="4" s="1"/>
  <c r="K130" i="4" s="1"/>
  <c r="G126" i="3"/>
  <c r="L125" i="3"/>
  <c r="K125" i="3"/>
  <c r="G125" i="3"/>
  <c r="F125" i="3"/>
  <c r="L124" i="3"/>
  <c r="K124" i="3"/>
  <c r="G128" i="4" s="1"/>
  <c r="G124" i="3"/>
  <c r="F124" i="3"/>
  <c r="F128" i="4" s="1"/>
  <c r="M123" i="3"/>
  <c r="L123" i="3"/>
  <c r="K123" i="3"/>
  <c r="G123" i="3"/>
  <c r="F123" i="3"/>
  <c r="F127" i="4" s="1"/>
  <c r="L122" i="3"/>
  <c r="K122" i="3"/>
  <c r="G122" i="3"/>
  <c r="F122" i="3"/>
  <c r="L121" i="3"/>
  <c r="G121" i="3"/>
  <c r="L120" i="3"/>
  <c r="G120" i="3"/>
  <c r="L119" i="3"/>
  <c r="G119" i="3"/>
  <c r="F119" i="3"/>
  <c r="M119" i="3" s="1"/>
  <c r="H123" i="4" s="1"/>
  <c r="J123" i="4" s="1"/>
  <c r="K123" i="4" s="1"/>
  <c r="L123" i="4" s="1"/>
  <c r="M118" i="3"/>
  <c r="L118" i="3"/>
  <c r="K118" i="3"/>
  <c r="G118" i="3"/>
  <c r="F118" i="3"/>
  <c r="L117" i="3"/>
  <c r="K117" i="3"/>
  <c r="G120" i="4" s="1"/>
  <c r="G117" i="3"/>
  <c r="F117" i="3"/>
  <c r="M117" i="3" s="1"/>
  <c r="H120" i="4" s="1"/>
  <c r="J120" i="4" s="1"/>
  <c r="M116" i="3"/>
  <c r="H119" i="4" s="1"/>
  <c r="J119" i="4" s="1"/>
  <c r="K119" i="4" s="1"/>
  <c r="L116" i="3"/>
  <c r="K116" i="3"/>
  <c r="G119" i="4" s="1"/>
  <c r="G116" i="3"/>
  <c r="F116" i="3"/>
  <c r="M115" i="3"/>
  <c r="L115" i="3"/>
  <c r="K115" i="3"/>
  <c r="G118" i="4" s="1"/>
  <c r="G115" i="3"/>
  <c r="M114" i="3"/>
  <c r="L114" i="3"/>
  <c r="K114" i="3"/>
  <c r="G117" i="4" s="1"/>
  <c r="G114" i="3"/>
  <c r="F114" i="3"/>
  <c r="O113" i="3"/>
  <c r="N113" i="3"/>
  <c r="L113" i="3"/>
  <c r="K113" i="3"/>
  <c r="G116" i="4" s="1"/>
  <c r="G113" i="3"/>
  <c r="F113" i="3"/>
  <c r="M113" i="3" s="1"/>
  <c r="H116" i="4" s="1"/>
  <c r="J116" i="4" s="1"/>
  <c r="L112" i="3"/>
  <c r="G112" i="3"/>
  <c r="L111" i="3"/>
  <c r="K111" i="3"/>
  <c r="G114" i="4" s="1"/>
  <c r="G111" i="3"/>
  <c r="F111" i="3"/>
  <c r="L110" i="3"/>
  <c r="G110" i="3"/>
  <c r="L109" i="3"/>
  <c r="G109" i="3"/>
  <c r="L108" i="3"/>
  <c r="G108" i="3"/>
  <c r="F108" i="3"/>
  <c r="F111" i="4" s="1"/>
  <c r="L107" i="3"/>
  <c r="K107" i="3"/>
  <c r="G107" i="3"/>
  <c r="F107" i="3"/>
  <c r="O106" i="3"/>
  <c r="M106" i="3"/>
  <c r="N106" i="3" s="1"/>
  <c r="L106" i="3"/>
  <c r="K106" i="3"/>
  <c r="G108" i="4" s="1"/>
  <c r="G106" i="3"/>
  <c r="F106" i="3"/>
  <c r="F108" i="4" s="1"/>
  <c r="N105" i="3"/>
  <c r="O105" i="3" s="1"/>
  <c r="L105" i="3"/>
  <c r="K105" i="3"/>
  <c r="M105" i="3" s="1"/>
  <c r="H107" i="4" s="1"/>
  <c r="J107" i="4" s="1"/>
  <c r="K107" i="4" s="1"/>
  <c r="G105" i="3"/>
  <c r="M104" i="3"/>
  <c r="N104" i="3" s="1"/>
  <c r="O104" i="3" s="1"/>
  <c r="L104" i="3"/>
  <c r="K104" i="3"/>
  <c r="G104" i="3"/>
  <c r="F104" i="3"/>
  <c r="F106" i="4" s="1"/>
  <c r="L103" i="3"/>
  <c r="K103" i="3"/>
  <c r="G105" i="4" s="1"/>
  <c r="G103" i="3"/>
  <c r="F103" i="3"/>
  <c r="L102" i="3"/>
  <c r="K102" i="3"/>
  <c r="G104" i="4" s="1"/>
  <c r="G102" i="3"/>
  <c r="F102" i="3"/>
  <c r="F104" i="4" s="1"/>
  <c r="L101" i="3"/>
  <c r="K101" i="3"/>
  <c r="G101" i="3"/>
  <c r="F101" i="3"/>
  <c r="F103" i="4" s="1"/>
  <c r="L100" i="3"/>
  <c r="K100" i="3"/>
  <c r="G102" i="4" s="1"/>
  <c r="G100" i="3"/>
  <c r="F100" i="3"/>
  <c r="O99" i="3"/>
  <c r="M99" i="3"/>
  <c r="N99" i="3" s="1"/>
  <c r="L99" i="3"/>
  <c r="K99" i="3"/>
  <c r="G101" i="4" s="1"/>
  <c r="G99" i="3"/>
  <c r="L98" i="3"/>
  <c r="K98" i="3"/>
  <c r="M98" i="3" s="1"/>
  <c r="G98" i="3"/>
  <c r="L97" i="3"/>
  <c r="K97" i="3"/>
  <c r="G99" i="4" s="1"/>
  <c r="G97" i="3"/>
  <c r="F97" i="3"/>
  <c r="N96" i="3"/>
  <c r="O96" i="3" s="1"/>
  <c r="M96" i="3"/>
  <c r="H98" i="4" s="1"/>
  <c r="J98" i="4" s="1"/>
  <c r="K98" i="4" s="1"/>
  <c r="L96" i="3"/>
  <c r="K96" i="3"/>
  <c r="G98" i="4" s="1"/>
  <c r="G96" i="3"/>
  <c r="F96" i="3"/>
  <c r="F98" i="4" s="1"/>
  <c r="M95" i="3"/>
  <c r="N95" i="3" s="1"/>
  <c r="O95" i="3" s="1"/>
  <c r="L95" i="3"/>
  <c r="K95" i="3"/>
  <c r="G95" i="3"/>
  <c r="F95" i="3"/>
  <c r="F97" i="4" s="1"/>
  <c r="L94" i="3"/>
  <c r="K94" i="3"/>
  <c r="G96" i="4" s="1"/>
  <c r="G94" i="3"/>
  <c r="F94" i="3"/>
  <c r="L93" i="3"/>
  <c r="K93" i="3"/>
  <c r="G95" i="4" s="1"/>
  <c r="G93" i="3"/>
  <c r="F93" i="3"/>
  <c r="F95" i="4" s="1"/>
  <c r="L92" i="3"/>
  <c r="K92" i="3"/>
  <c r="G92" i="3"/>
  <c r="F92" i="3"/>
  <c r="L91" i="3"/>
  <c r="K91" i="3"/>
  <c r="G93" i="4" s="1"/>
  <c r="G91" i="3"/>
  <c r="F91" i="3"/>
  <c r="F93" i="4" s="1"/>
  <c r="M90" i="3"/>
  <c r="N90" i="3" s="1"/>
  <c r="O90" i="3" s="1"/>
  <c r="L90" i="3"/>
  <c r="K90" i="3"/>
  <c r="G90" i="3"/>
  <c r="F90" i="3"/>
  <c r="F92" i="4" s="1"/>
  <c r="L89" i="3"/>
  <c r="K89" i="3"/>
  <c r="G91" i="4" s="1"/>
  <c r="G89" i="3"/>
  <c r="F89" i="3"/>
  <c r="L88" i="3"/>
  <c r="K88" i="3"/>
  <c r="G90" i="4" s="1"/>
  <c r="G88" i="3"/>
  <c r="F88" i="3"/>
  <c r="F90" i="4" s="1"/>
  <c r="L87" i="3"/>
  <c r="K87" i="3"/>
  <c r="G87" i="3"/>
  <c r="F87" i="3"/>
  <c r="F89" i="4" s="1"/>
  <c r="L86" i="3"/>
  <c r="K86" i="3"/>
  <c r="G88" i="4" s="1"/>
  <c r="G86" i="3"/>
  <c r="F86" i="3"/>
  <c r="O85" i="3"/>
  <c r="M85" i="3"/>
  <c r="N85" i="3" s="1"/>
  <c r="L85" i="3"/>
  <c r="K85" i="3"/>
  <c r="G87" i="4" s="1"/>
  <c r="G85" i="3"/>
  <c r="F85" i="3"/>
  <c r="F87" i="4" s="1"/>
  <c r="L84" i="3"/>
  <c r="G84" i="3"/>
  <c r="L83" i="3"/>
  <c r="K83" i="3"/>
  <c r="G85" i="4" s="1"/>
  <c r="G83" i="3"/>
  <c r="F83" i="3"/>
  <c r="L82" i="3"/>
  <c r="K82" i="3"/>
  <c r="M82" i="3" s="1"/>
  <c r="G82" i="3"/>
  <c r="F82" i="3"/>
  <c r="F84" i="4" s="1"/>
  <c r="L81" i="3"/>
  <c r="K81" i="3"/>
  <c r="G81" i="3"/>
  <c r="F81" i="3"/>
  <c r="L80" i="3"/>
  <c r="G80" i="3"/>
  <c r="M79" i="3"/>
  <c r="L79" i="3"/>
  <c r="K79" i="3"/>
  <c r="G81" i="4" s="1"/>
  <c r="G79" i="3"/>
  <c r="F79" i="3"/>
  <c r="F81" i="4" s="1"/>
  <c r="L78" i="3"/>
  <c r="K78" i="3"/>
  <c r="G78" i="3"/>
  <c r="F78" i="3"/>
  <c r="L77" i="3"/>
  <c r="K77" i="3"/>
  <c r="G79" i="4" s="1"/>
  <c r="G77" i="3"/>
  <c r="F77" i="3"/>
  <c r="F79" i="4" s="1"/>
  <c r="M76" i="3"/>
  <c r="L76" i="3"/>
  <c r="K76" i="3"/>
  <c r="G76" i="3"/>
  <c r="F76" i="3"/>
  <c r="F78" i="4" s="1"/>
  <c r="L75" i="3"/>
  <c r="K75" i="3"/>
  <c r="G77" i="4" s="1"/>
  <c r="G75" i="3"/>
  <c r="F75" i="3"/>
  <c r="L74" i="3"/>
  <c r="K74" i="3"/>
  <c r="M74" i="3" s="1"/>
  <c r="G74" i="3"/>
  <c r="F74" i="3"/>
  <c r="F76" i="4" s="1"/>
  <c r="L73" i="3"/>
  <c r="K73" i="3"/>
  <c r="G73" i="4" s="1"/>
  <c r="G73" i="3"/>
  <c r="F73" i="3"/>
  <c r="F73" i="4" s="1"/>
  <c r="L72" i="3"/>
  <c r="K72" i="3"/>
  <c r="G72" i="4" s="1"/>
  <c r="G72" i="3"/>
  <c r="F72" i="3"/>
  <c r="L71" i="3"/>
  <c r="K71" i="3"/>
  <c r="G71" i="4" s="1"/>
  <c r="G71" i="3"/>
  <c r="F71" i="3"/>
  <c r="L70" i="3"/>
  <c r="K70" i="3"/>
  <c r="G70" i="4" s="1"/>
  <c r="G70" i="3"/>
  <c r="F70" i="3"/>
  <c r="M70" i="3" s="1"/>
  <c r="H70" i="4" s="1"/>
  <c r="J70" i="4" s="1"/>
  <c r="K70" i="4" s="1"/>
  <c r="M69" i="3"/>
  <c r="H69" i="4" s="1"/>
  <c r="J69" i="4" s="1"/>
  <c r="L69" i="3"/>
  <c r="K69" i="3"/>
  <c r="G69" i="4" s="1"/>
  <c r="G69" i="3"/>
  <c r="F69" i="3"/>
  <c r="F69" i="4" s="1"/>
  <c r="M68" i="3"/>
  <c r="L68" i="3"/>
  <c r="K68" i="3"/>
  <c r="G68" i="4" s="1"/>
  <c r="G68" i="3"/>
  <c r="F68" i="3"/>
  <c r="L67" i="3"/>
  <c r="K67" i="3"/>
  <c r="G67" i="4" s="1"/>
  <c r="G67" i="3"/>
  <c r="F67" i="3"/>
  <c r="M67" i="3" s="1"/>
  <c r="H67" i="4" s="1"/>
  <c r="J67" i="4" s="1"/>
  <c r="N66" i="3"/>
  <c r="O66" i="3" s="1"/>
  <c r="M66" i="3"/>
  <c r="H66" i="4" s="1"/>
  <c r="J66" i="4" s="1"/>
  <c r="K66" i="4" s="1"/>
  <c r="L66" i="3"/>
  <c r="K66" i="3"/>
  <c r="G66" i="4" s="1"/>
  <c r="G66" i="3"/>
  <c r="F66" i="3"/>
  <c r="M65" i="3"/>
  <c r="L65" i="3"/>
  <c r="K65" i="3"/>
  <c r="G65" i="4" s="1"/>
  <c r="G65" i="3"/>
  <c r="F65" i="3"/>
  <c r="F65" i="4" s="1"/>
  <c r="N64" i="3"/>
  <c r="O64" i="3" s="1"/>
  <c r="L64" i="3"/>
  <c r="K64" i="3"/>
  <c r="G64" i="4" s="1"/>
  <c r="G64" i="3"/>
  <c r="F64" i="3"/>
  <c r="M64" i="3" s="1"/>
  <c r="H64" i="4" s="1"/>
  <c r="J64" i="4" s="1"/>
  <c r="K64" i="4" s="1"/>
  <c r="L63" i="3"/>
  <c r="K63" i="3"/>
  <c r="G63" i="4" s="1"/>
  <c r="G63" i="3"/>
  <c r="F63" i="3"/>
  <c r="L62" i="3"/>
  <c r="K62" i="3"/>
  <c r="G62" i="4" s="1"/>
  <c r="G62" i="3"/>
  <c r="F62" i="3"/>
  <c r="M62" i="3" s="1"/>
  <c r="H62" i="4" s="1"/>
  <c r="J62" i="4" s="1"/>
  <c r="K62" i="4" s="1"/>
  <c r="L61" i="3"/>
  <c r="K61" i="3"/>
  <c r="G61" i="4" s="1"/>
  <c r="G61" i="3"/>
  <c r="F61" i="3"/>
  <c r="F61" i="4" s="1"/>
  <c r="M60" i="3"/>
  <c r="L60" i="3"/>
  <c r="K60" i="3"/>
  <c r="G60" i="4" s="1"/>
  <c r="G60" i="3"/>
  <c r="F60" i="3"/>
  <c r="L59" i="3"/>
  <c r="K59" i="3"/>
  <c r="G59" i="4" s="1"/>
  <c r="G59" i="3"/>
  <c r="F59" i="3"/>
  <c r="O58" i="3"/>
  <c r="N58" i="3"/>
  <c r="M58" i="3"/>
  <c r="H58" i="4" s="1"/>
  <c r="J58" i="4" s="1"/>
  <c r="K58" i="4" s="1"/>
  <c r="L58" i="3"/>
  <c r="K58" i="3"/>
  <c r="G58" i="4" s="1"/>
  <c r="G58" i="3"/>
  <c r="F58" i="3"/>
  <c r="L57" i="3"/>
  <c r="K57" i="3"/>
  <c r="G57" i="4" s="1"/>
  <c r="G57" i="3"/>
  <c r="F57" i="3"/>
  <c r="F57" i="4" s="1"/>
  <c r="L56" i="3"/>
  <c r="K56" i="3"/>
  <c r="G56" i="4" s="1"/>
  <c r="G56" i="3"/>
  <c r="F56" i="3"/>
  <c r="F56" i="4" s="1"/>
  <c r="M55" i="3"/>
  <c r="L55" i="3"/>
  <c r="K55" i="3"/>
  <c r="G55" i="4" s="1"/>
  <c r="G55" i="3"/>
  <c r="F55" i="3"/>
  <c r="L54" i="3"/>
  <c r="K54" i="3"/>
  <c r="G54" i="4" s="1"/>
  <c r="G54" i="3"/>
  <c r="F54" i="3"/>
  <c r="L53" i="3"/>
  <c r="K53" i="3"/>
  <c r="G53" i="4" s="1"/>
  <c r="G53" i="3"/>
  <c r="F53" i="3"/>
  <c r="F53" i="4" s="1"/>
  <c r="L52" i="3"/>
  <c r="K52" i="3"/>
  <c r="G52" i="4" s="1"/>
  <c r="G52" i="3"/>
  <c r="F52" i="3"/>
  <c r="M52" i="3" s="1"/>
  <c r="L51" i="3"/>
  <c r="K51" i="3"/>
  <c r="G51" i="3"/>
  <c r="M50" i="3"/>
  <c r="H50" i="4" s="1"/>
  <c r="J50" i="4" s="1"/>
  <c r="K50" i="4" s="1"/>
  <c r="L50" i="3"/>
  <c r="G50" i="3"/>
  <c r="F50" i="3"/>
  <c r="F50" i="4" s="1"/>
  <c r="M49" i="3"/>
  <c r="L49" i="3"/>
  <c r="K49" i="3"/>
  <c r="G49" i="4" s="1"/>
  <c r="G49" i="3"/>
  <c r="F49" i="3"/>
  <c r="L48" i="3"/>
  <c r="G48" i="3"/>
  <c r="M47" i="3"/>
  <c r="H47" i="4" s="1"/>
  <c r="J47" i="4" s="1"/>
  <c r="K47" i="4" s="1"/>
  <c r="L47" i="3"/>
  <c r="K47" i="3"/>
  <c r="G47" i="4" s="1"/>
  <c r="G47" i="3"/>
  <c r="F47" i="3"/>
  <c r="F47" i="4" s="1"/>
  <c r="L46" i="3"/>
  <c r="K46" i="3"/>
  <c r="G46" i="4" s="1"/>
  <c r="G46" i="3"/>
  <c r="F46" i="3"/>
  <c r="L45" i="3"/>
  <c r="K45" i="3"/>
  <c r="G45" i="4" s="1"/>
  <c r="G45" i="3"/>
  <c r="F45" i="3"/>
  <c r="M45" i="3" s="1"/>
  <c r="H45" i="4" s="1"/>
  <c r="J45" i="4" s="1"/>
  <c r="K45" i="4" s="1"/>
  <c r="L44" i="3"/>
  <c r="G44" i="3"/>
  <c r="L43" i="3"/>
  <c r="K43" i="3"/>
  <c r="G43" i="4" s="1"/>
  <c r="G43" i="3"/>
  <c r="F43" i="3"/>
  <c r="L42" i="3"/>
  <c r="K42" i="3"/>
  <c r="G42" i="4" s="1"/>
  <c r="G42" i="3"/>
  <c r="F42" i="3"/>
  <c r="M42" i="3" s="1"/>
  <c r="N42" i="3" s="1"/>
  <c r="O42" i="3" s="1"/>
  <c r="M41" i="3"/>
  <c r="N41" i="3" s="1"/>
  <c r="O41" i="3" s="1"/>
  <c r="L41" i="3"/>
  <c r="K41" i="3"/>
  <c r="G41" i="4" s="1"/>
  <c r="G41" i="3"/>
  <c r="F41" i="3"/>
  <c r="F41" i="4" s="1"/>
  <c r="O40" i="3"/>
  <c r="M40" i="3"/>
  <c r="N40" i="3" s="1"/>
  <c r="L40" i="3"/>
  <c r="K40" i="3"/>
  <c r="G40" i="4" s="1"/>
  <c r="G40" i="3"/>
  <c r="F40" i="3"/>
  <c r="F40" i="4" s="1"/>
  <c r="L39" i="3"/>
  <c r="G39" i="3"/>
  <c r="L38" i="3"/>
  <c r="K38" i="3"/>
  <c r="G38" i="4" s="1"/>
  <c r="G38" i="3"/>
  <c r="F38" i="3"/>
  <c r="F38" i="4" s="1"/>
  <c r="L37" i="3"/>
  <c r="K37" i="3"/>
  <c r="G37" i="4" s="1"/>
  <c r="G37" i="3"/>
  <c r="F37" i="3"/>
  <c r="F37" i="4" s="1"/>
  <c r="L36" i="3"/>
  <c r="K36" i="3"/>
  <c r="G36" i="4" s="1"/>
  <c r="G36" i="3"/>
  <c r="F36" i="3"/>
  <c r="L35" i="3"/>
  <c r="K35" i="3"/>
  <c r="G35" i="4" s="1"/>
  <c r="G35" i="3"/>
  <c r="F35" i="3"/>
  <c r="F35" i="4" s="1"/>
  <c r="M34" i="3"/>
  <c r="N34" i="3" s="1"/>
  <c r="O34" i="3" s="1"/>
  <c r="L34" i="3"/>
  <c r="K34" i="3"/>
  <c r="G34" i="4" s="1"/>
  <c r="G34" i="3"/>
  <c r="F34" i="3"/>
  <c r="F34" i="4" s="1"/>
  <c r="L33" i="3"/>
  <c r="K33" i="3"/>
  <c r="G33" i="4" s="1"/>
  <c r="G33" i="3"/>
  <c r="F33" i="3"/>
  <c r="F33" i="4" s="1"/>
  <c r="L32" i="3"/>
  <c r="K32" i="3"/>
  <c r="G32" i="4" s="1"/>
  <c r="G32" i="3"/>
  <c r="F32" i="3"/>
  <c r="F32" i="4" s="1"/>
  <c r="L31" i="3"/>
  <c r="K31" i="3"/>
  <c r="G31" i="4" s="1"/>
  <c r="G31" i="3"/>
  <c r="F31" i="3"/>
  <c r="M30" i="3"/>
  <c r="N30" i="3" s="1"/>
  <c r="O30" i="3" s="1"/>
  <c r="L30" i="3"/>
  <c r="K30" i="3"/>
  <c r="G30" i="4" s="1"/>
  <c r="G30" i="3"/>
  <c r="F30" i="3"/>
  <c r="F30" i="4" s="1"/>
  <c r="O29" i="3"/>
  <c r="M29" i="3"/>
  <c r="N29" i="3" s="1"/>
  <c r="L29" i="3"/>
  <c r="K29" i="3"/>
  <c r="G29" i="4" s="1"/>
  <c r="G29" i="3"/>
  <c r="F29" i="3"/>
  <c r="F29" i="4" s="1"/>
  <c r="L28" i="3"/>
  <c r="K28" i="3"/>
  <c r="G28" i="4" s="1"/>
  <c r="G28" i="3"/>
  <c r="F28" i="3"/>
  <c r="L27" i="3"/>
  <c r="K27" i="3"/>
  <c r="G27" i="4" s="1"/>
  <c r="G27" i="3"/>
  <c r="F27" i="3"/>
  <c r="F27" i="4" s="1"/>
  <c r="L26" i="3"/>
  <c r="G26" i="3"/>
  <c r="L25" i="3"/>
  <c r="K25" i="3"/>
  <c r="G25" i="4" s="1"/>
  <c r="G25" i="3"/>
  <c r="F25" i="3"/>
  <c r="O24" i="3"/>
  <c r="N24" i="3"/>
  <c r="M24" i="3"/>
  <c r="H24" i="4" s="1"/>
  <c r="J24" i="4" s="1"/>
  <c r="K24" i="4" s="1"/>
  <c r="L24" i="3"/>
  <c r="K24" i="3"/>
  <c r="G24" i="3"/>
  <c r="F24" i="3"/>
  <c r="F24" i="4" s="1"/>
  <c r="L23" i="3"/>
  <c r="K23" i="3"/>
  <c r="G23" i="3"/>
  <c r="F23" i="3"/>
  <c r="F23" i="4" s="1"/>
  <c r="M22" i="3"/>
  <c r="H22" i="4" s="1"/>
  <c r="J22" i="4" s="1"/>
  <c r="K22" i="4" s="1"/>
  <c r="L22" i="3"/>
  <c r="K22" i="3"/>
  <c r="G22" i="4" s="1"/>
  <c r="G22" i="3"/>
  <c r="F22" i="3"/>
  <c r="F22" i="4" s="1"/>
  <c r="L21" i="3"/>
  <c r="K21" i="3"/>
  <c r="G21" i="4" s="1"/>
  <c r="G21" i="3"/>
  <c r="F21" i="3"/>
  <c r="F21" i="4" s="1"/>
  <c r="L20" i="3"/>
  <c r="K20" i="3"/>
  <c r="M20" i="3" s="1"/>
  <c r="G20" i="3"/>
  <c r="F20" i="3"/>
  <c r="F20" i="4" s="1"/>
  <c r="L19" i="3"/>
  <c r="G19" i="3"/>
  <c r="L18" i="3"/>
  <c r="K18" i="3"/>
  <c r="G18" i="4" s="1"/>
  <c r="G18" i="3"/>
  <c r="F18" i="3"/>
  <c r="F18" i="4" s="1"/>
  <c r="L17" i="3"/>
  <c r="G17" i="3"/>
  <c r="L16" i="3"/>
  <c r="G16" i="3"/>
  <c r="L15" i="3"/>
  <c r="G15" i="3"/>
  <c r="F15" i="3"/>
  <c r="M15" i="3" s="1"/>
  <c r="M14" i="3"/>
  <c r="H14" i="4" s="1"/>
  <c r="J14" i="4" s="1"/>
  <c r="K14" i="4" s="1"/>
  <c r="L14" i="3"/>
  <c r="K14" i="3"/>
  <c r="G14" i="4" s="1"/>
  <c r="G14" i="3"/>
  <c r="F14" i="3"/>
  <c r="F14" i="4" s="1"/>
  <c r="L13" i="3"/>
  <c r="K13" i="3"/>
  <c r="G13" i="3"/>
  <c r="F13" i="3"/>
  <c r="M13" i="3" s="1"/>
  <c r="L12" i="3"/>
  <c r="K12" i="3"/>
  <c r="M12" i="3" s="1"/>
  <c r="G12" i="3"/>
  <c r="F12" i="3"/>
  <c r="F12" i="4" s="1"/>
  <c r="L11" i="3"/>
  <c r="G11" i="3"/>
  <c r="L10" i="3"/>
  <c r="G10" i="3"/>
  <c r="F10" i="3"/>
  <c r="M10" i="3" s="1"/>
  <c r="M9" i="3"/>
  <c r="H9" i="4" s="1"/>
  <c r="J9" i="4" s="1"/>
  <c r="K9" i="4" s="1"/>
  <c r="L9" i="3"/>
  <c r="K9" i="3"/>
  <c r="G9" i="4" s="1"/>
  <c r="G9" i="3"/>
  <c r="F9" i="3"/>
  <c r="F9" i="4" s="1"/>
  <c r="L8" i="3"/>
  <c r="K8" i="3"/>
  <c r="G8" i="4" s="1"/>
  <c r="G8" i="3"/>
  <c r="F8" i="3"/>
  <c r="F8" i="4" s="1"/>
  <c r="L7" i="3"/>
  <c r="K7" i="3"/>
  <c r="G7" i="4" s="1"/>
  <c r="G7" i="3"/>
  <c r="F7" i="3"/>
  <c r="F7" i="4" s="1"/>
  <c r="L6" i="3"/>
  <c r="K6" i="3"/>
  <c r="G6" i="4" s="1"/>
  <c r="G6" i="3"/>
  <c r="F6" i="3"/>
  <c r="F6" i="4" s="1"/>
  <c r="L5" i="3"/>
  <c r="K5" i="3"/>
  <c r="G5" i="4" s="1"/>
  <c r="G5" i="3"/>
  <c r="F5" i="3"/>
  <c r="M5" i="3" s="1"/>
  <c r="C34" i="1"/>
  <c r="B30" i="1"/>
  <c r="B18" i="5" s="1"/>
  <c r="B29" i="1"/>
  <c r="B17" i="5" s="1"/>
  <c r="B7" i="1"/>
  <c r="F991" i="8" l="1"/>
  <c r="G991" i="8"/>
  <c r="M9" i="4"/>
  <c r="H991" i="8" s="1"/>
  <c r="L9" i="4"/>
  <c r="G1301" i="8"/>
  <c r="F1301" i="8"/>
  <c r="M50" i="4"/>
  <c r="H1301" i="8" s="1"/>
  <c r="L50" i="4"/>
  <c r="F747" i="8"/>
  <c r="G747" i="8"/>
  <c r="M487" i="4"/>
  <c r="H747" i="8" s="1"/>
  <c r="L487" i="4"/>
  <c r="G264" i="8"/>
  <c r="F264" i="8"/>
  <c r="M840" i="4"/>
  <c r="H264" i="8" s="1"/>
  <c r="L840" i="4"/>
  <c r="H10" i="4"/>
  <c r="J10" i="4" s="1"/>
  <c r="K10" i="4" s="1"/>
  <c r="N10" i="3"/>
  <c r="O10" i="3" s="1"/>
  <c r="F577" i="8"/>
  <c r="G577" i="8"/>
  <c r="M45" i="4"/>
  <c r="H577" i="8" s="1"/>
  <c r="L45" i="4"/>
  <c r="G1303" i="8"/>
  <c r="F1303" i="8"/>
  <c r="M58" i="4"/>
  <c r="H1303" i="8" s="1"/>
  <c r="L58" i="4"/>
  <c r="G1276" i="8"/>
  <c r="F1276" i="8"/>
  <c r="M62" i="4"/>
  <c r="H1276" i="8" s="1"/>
  <c r="L62" i="4"/>
  <c r="F18" i="8"/>
  <c r="G18" i="8"/>
  <c r="M64" i="4"/>
  <c r="H18" i="8" s="1"/>
  <c r="L64" i="4"/>
  <c r="H76" i="4"/>
  <c r="J76" i="4" s="1"/>
  <c r="K76" i="4" s="1"/>
  <c r="N74" i="3"/>
  <c r="O74" i="3" s="1"/>
  <c r="H84" i="4"/>
  <c r="J84" i="4" s="1"/>
  <c r="K84" i="4" s="1"/>
  <c r="N82" i="3"/>
  <c r="O82" i="3" s="1"/>
  <c r="G1317" i="8"/>
  <c r="F1317" i="8"/>
  <c r="L107" i="4"/>
  <c r="M107" i="4"/>
  <c r="H1317" i="8" s="1"/>
  <c r="F31" i="8"/>
  <c r="G31" i="8"/>
  <c r="M130" i="4"/>
  <c r="H31" i="8" s="1"/>
  <c r="L130" i="4"/>
  <c r="F58" i="8"/>
  <c r="G58" i="8"/>
  <c r="L146" i="4"/>
  <c r="M146" i="4"/>
  <c r="H58" i="8" s="1"/>
  <c r="G77" i="8"/>
  <c r="F77" i="8"/>
  <c r="M308" i="4"/>
  <c r="H77" i="8" s="1"/>
  <c r="L308" i="4"/>
  <c r="F1069" i="8"/>
  <c r="G1069" i="8"/>
  <c r="M367" i="4"/>
  <c r="H1069" i="8" s="1"/>
  <c r="L367" i="4"/>
  <c r="G109" i="8"/>
  <c r="F109" i="8"/>
  <c r="M540" i="4"/>
  <c r="H109" i="8" s="1"/>
  <c r="L540" i="4"/>
  <c r="G128" i="8"/>
  <c r="F128" i="8"/>
  <c r="M666" i="4"/>
  <c r="H128" i="8" s="1"/>
  <c r="L666" i="4"/>
  <c r="F244" i="8"/>
  <c r="G244" i="8"/>
  <c r="M818" i="4"/>
  <c r="H244" i="8" s="1"/>
  <c r="L818" i="4"/>
  <c r="G1327" i="8"/>
  <c r="F1327" i="8"/>
  <c r="L152" i="4"/>
  <c r="M152" i="4"/>
  <c r="H1327" i="8" s="1"/>
  <c r="G1329" i="8"/>
  <c r="F1329" i="8"/>
  <c r="L154" i="4"/>
  <c r="M154" i="4"/>
  <c r="H1329" i="8" s="1"/>
  <c r="F686" i="8"/>
  <c r="G686" i="8"/>
  <c r="M296" i="4"/>
  <c r="H686" i="8" s="1"/>
  <c r="L296" i="4"/>
  <c r="F1125" i="8"/>
  <c r="G1125" i="8"/>
  <c r="M423" i="4"/>
  <c r="H1125" i="8" s="1"/>
  <c r="L423" i="4"/>
  <c r="G1194" i="8"/>
  <c r="F1194" i="8"/>
  <c r="M639" i="4"/>
  <c r="H1194" i="8" s="1"/>
  <c r="L639" i="4"/>
  <c r="G193" i="8"/>
  <c r="F193" i="8"/>
  <c r="M748" i="4"/>
  <c r="H193" i="8" s="1"/>
  <c r="L748" i="4"/>
  <c r="H15" i="4"/>
  <c r="J15" i="4" s="1"/>
  <c r="K15" i="4" s="1"/>
  <c r="N15" i="3"/>
  <c r="O15" i="3" s="1"/>
  <c r="H135" i="4"/>
  <c r="J135" i="4" s="1"/>
  <c r="K135" i="4" s="1"/>
  <c r="N131" i="3"/>
  <c r="O131" i="3" s="1"/>
  <c r="G1273" i="8"/>
  <c r="F1273" i="8"/>
  <c r="L162" i="4"/>
  <c r="M162" i="4"/>
  <c r="H1273" i="8" s="1"/>
  <c r="F672" i="8"/>
  <c r="G672" i="8"/>
  <c r="M259" i="4"/>
  <c r="H672" i="8" s="1"/>
  <c r="L259" i="4"/>
  <c r="F1137" i="8"/>
  <c r="G1137" i="8"/>
  <c r="M485" i="4"/>
  <c r="H1137" i="8" s="1"/>
  <c r="L485" i="4"/>
  <c r="F765" i="8"/>
  <c r="G765" i="8"/>
  <c r="M505" i="4"/>
  <c r="H765" i="8" s="1"/>
  <c r="L505" i="4"/>
  <c r="G175" i="8"/>
  <c r="F175" i="8"/>
  <c r="M730" i="4"/>
  <c r="H175" i="8" s="1"/>
  <c r="L730" i="4"/>
  <c r="H20" i="4"/>
  <c r="J20" i="4" s="1"/>
  <c r="K20" i="4" s="1"/>
  <c r="N20" i="3"/>
  <c r="O20" i="3" s="1"/>
  <c r="H5" i="4"/>
  <c r="J5" i="4" s="1"/>
  <c r="K5" i="4" s="1"/>
  <c r="N5" i="3"/>
  <c r="O5" i="3" s="1"/>
  <c r="F8" i="8"/>
  <c r="G8" i="8"/>
  <c r="L22" i="4"/>
  <c r="M22" i="4"/>
  <c r="H8" i="8" s="1"/>
  <c r="H52" i="4"/>
  <c r="J52" i="4" s="1"/>
  <c r="K52" i="4" s="1"/>
  <c r="N52" i="3"/>
  <c r="O52" i="3" s="1"/>
  <c r="N98" i="3"/>
  <c r="O98" i="3" s="1"/>
  <c r="H100" i="4"/>
  <c r="J100" i="4" s="1"/>
  <c r="K100" i="4" s="1"/>
  <c r="F1007" i="8"/>
  <c r="G1007" i="8"/>
  <c r="L142" i="4"/>
  <c r="M142" i="4"/>
  <c r="H1007" i="8" s="1"/>
  <c r="F608" i="8"/>
  <c r="G608" i="8"/>
  <c r="M195" i="4"/>
  <c r="H608" i="8" s="1"/>
  <c r="L195" i="4"/>
  <c r="F648" i="8"/>
  <c r="G648" i="8"/>
  <c r="M235" i="4"/>
  <c r="H648" i="8" s="1"/>
  <c r="L235" i="4"/>
  <c r="F656" i="8"/>
  <c r="G656" i="8"/>
  <c r="M243" i="4"/>
  <c r="H656" i="8" s="1"/>
  <c r="L243" i="4"/>
  <c r="F664" i="8"/>
  <c r="G664" i="8"/>
  <c r="M251" i="4"/>
  <c r="H664" i="8" s="1"/>
  <c r="L251" i="4"/>
  <c r="F1088" i="8"/>
  <c r="G1088" i="8"/>
  <c r="M386" i="4"/>
  <c r="H1088" i="8" s="1"/>
  <c r="L386" i="4"/>
  <c r="F1107" i="8"/>
  <c r="G1107" i="8"/>
  <c r="M405" i="4"/>
  <c r="H1107" i="8" s="1"/>
  <c r="L405" i="4"/>
  <c r="F784" i="8"/>
  <c r="G784" i="8"/>
  <c r="M564" i="4"/>
  <c r="H784" i="8" s="1"/>
  <c r="L564" i="4"/>
  <c r="F792" i="8"/>
  <c r="G792" i="8"/>
  <c r="M572" i="4"/>
  <c r="H792" i="8" s="1"/>
  <c r="L572" i="4"/>
  <c r="G148" i="8"/>
  <c r="F148" i="8"/>
  <c r="M703" i="4"/>
  <c r="H148" i="8" s="1"/>
  <c r="L703" i="4"/>
  <c r="H13" i="4"/>
  <c r="J13" i="4" s="1"/>
  <c r="K13" i="4" s="1"/>
  <c r="N13" i="3"/>
  <c r="O13" i="3" s="1"/>
  <c r="F9" i="8"/>
  <c r="G9" i="8"/>
  <c r="L24" i="4"/>
  <c r="M24" i="4"/>
  <c r="H9" i="8" s="1"/>
  <c r="F1015" i="8"/>
  <c r="G1015" i="8"/>
  <c r="M179" i="4"/>
  <c r="H1015" i="8" s="1"/>
  <c r="L179" i="4"/>
  <c r="G84" i="8"/>
  <c r="F84" i="8"/>
  <c r="M434" i="4"/>
  <c r="H84" i="8" s="1"/>
  <c r="L434" i="4"/>
  <c r="G91" i="8"/>
  <c r="F91" i="8"/>
  <c r="M441" i="4"/>
  <c r="H91" i="8" s="1"/>
  <c r="L441" i="4"/>
  <c r="G266" i="8"/>
  <c r="F266" i="8"/>
  <c r="M842" i="4"/>
  <c r="H266" i="8" s="1"/>
  <c r="L842" i="4"/>
  <c r="H12" i="4"/>
  <c r="J12" i="4" s="1"/>
  <c r="K12" i="4" s="1"/>
  <c r="N12" i="3"/>
  <c r="O12" i="3" s="1"/>
  <c r="F26" i="8"/>
  <c r="G26" i="8"/>
  <c r="M119" i="4"/>
  <c r="H26" i="8" s="1"/>
  <c r="L119" i="4"/>
  <c r="F11" i="8"/>
  <c r="G11" i="8"/>
  <c r="L29" i="4"/>
  <c r="M29" i="4"/>
  <c r="H11" i="8" s="1"/>
  <c r="G1313" i="8"/>
  <c r="F1313" i="8"/>
  <c r="L97" i="4"/>
  <c r="M97" i="4"/>
  <c r="H1313" i="8" s="1"/>
  <c r="G279" i="8"/>
  <c r="F279" i="8"/>
  <c r="M855" i="4"/>
  <c r="H279" i="8" s="1"/>
  <c r="L855" i="4"/>
  <c r="G1281" i="8"/>
  <c r="F1281" i="8"/>
  <c r="M47" i="4"/>
  <c r="H1281" i="8" s="1"/>
  <c r="L47" i="4"/>
  <c r="G1287" i="8"/>
  <c r="F1287" i="8"/>
  <c r="L98" i="4"/>
  <c r="M98" i="4"/>
  <c r="H1287" i="8" s="1"/>
  <c r="G1315" i="8"/>
  <c r="F1315" i="8"/>
  <c r="L101" i="4"/>
  <c r="M101" i="4"/>
  <c r="H1315" i="8" s="1"/>
  <c r="F600" i="8"/>
  <c r="G600" i="8"/>
  <c r="M187" i="4"/>
  <c r="H600" i="8" s="1"/>
  <c r="L187" i="4"/>
  <c r="G1306" i="8"/>
  <c r="F1306" i="8"/>
  <c r="M66" i="4"/>
  <c r="H1306" i="8" s="1"/>
  <c r="L66" i="4"/>
  <c r="F19" i="8"/>
  <c r="G19" i="8"/>
  <c r="M70" i="4"/>
  <c r="H19" i="8" s="1"/>
  <c r="L70" i="4"/>
  <c r="N128" i="3"/>
  <c r="O128" i="3" s="1"/>
  <c r="H132" i="4"/>
  <c r="J132" i="4" s="1"/>
  <c r="K132" i="4" s="1"/>
  <c r="G1277" i="8"/>
  <c r="F1277" i="8"/>
  <c r="L87" i="4"/>
  <c r="M87" i="4"/>
  <c r="H1277" i="8" s="1"/>
  <c r="F1154" i="8"/>
  <c r="G1154" i="8"/>
  <c r="M596" i="4"/>
  <c r="H1154" i="8" s="1"/>
  <c r="L596" i="4"/>
  <c r="F1160" i="8"/>
  <c r="G1160" i="8"/>
  <c r="M604" i="4"/>
  <c r="H1160" i="8" s="1"/>
  <c r="L604" i="4"/>
  <c r="F1168" i="8"/>
  <c r="G1168" i="8"/>
  <c r="M612" i="4"/>
  <c r="H1168" i="8" s="1"/>
  <c r="L612" i="4"/>
  <c r="H60" i="4"/>
  <c r="J60" i="4" s="1"/>
  <c r="K60" i="4" s="1"/>
  <c r="N60" i="3"/>
  <c r="O60" i="3" s="1"/>
  <c r="F169" i="4"/>
  <c r="M165" i="3"/>
  <c r="F1006" i="8"/>
  <c r="G1006" i="8"/>
  <c r="L131" i="4"/>
  <c r="F633" i="8"/>
  <c r="G633" i="8"/>
  <c r="L220" i="4"/>
  <c r="F774" i="8"/>
  <c r="G774" i="8"/>
  <c r="F793" i="8"/>
  <c r="G793" i="8"/>
  <c r="L573" i="4"/>
  <c r="F800" i="8"/>
  <c r="G800" i="8"/>
  <c r="M580" i="4"/>
  <c r="H800" i="8" s="1"/>
  <c r="L580" i="4"/>
  <c r="F806" i="8"/>
  <c r="G806" i="8"/>
  <c r="F1161" i="8"/>
  <c r="G1161" i="8"/>
  <c r="L605" i="4"/>
  <c r="G1170" i="8"/>
  <c r="F1170" i="8"/>
  <c r="M615" i="4"/>
  <c r="H1170" i="8" s="1"/>
  <c r="L615" i="4"/>
  <c r="G1173" i="8"/>
  <c r="F1173" i="8"/>
  <c r="G1191" i="8"/>
  <c r="F1191" i="8"/>
  <c r="M636" i="4"/>
  <c r="H1191" i="8" s="1"/>
  <c r="L636" i="4"/>
  <c r="G1196" i="8"/>
  <c r="F1196" i="8"/>
  <c r="M641" i="4"/>
  <c r="H1196" i="8" s="1"/>
  <c r="L641" i="4"/>
  <c r="G1213" i="8"/>
  <c r="F1213" i="8"/>
  <c r="M658" i="4"/>
  <c r="H1213" i="8" s="1"/>
  <c r="L658" i="4"/>
  <c r="G127" i="8"/>
  <c r="F127" i="8"/>
  <c r="M665" i="4"/>
  <c r="H127" i="8" s="1"/>
  <c r="L665" i="4"/>
  <c r="G136" i="8"/>
  <c r="F136" i="8"/>
  <c r="G145" i="8"/>
  <c r="F145" i="8"/>
  <c r="M700" i="4"/>
  <c r="H145" i="8" s="1"/>
  <c r="L700" i="4"/>
  <c r="G150" i="8"/>
  <c r="F150" i="8"/>
  <c r="M705" i="4"/>
  <c r="H150" i="8" s="1"/>
  <c r="L705" i="4"/>
  <c r="G167" i="8"/>
  <c r="F167" i="8"/>
  <c r="M722" i="4"/>
  <c r="H167" i="8" s="1"/>
  <c r="L722" i="4"/>
  <c r="G174" i="8"/>
  <c r="F174" i="8"/>
  <c r="M729" i="4"/>
  <c r="H174" i="8" s="1"/>
  <c r="L729" i="4"/>
  <c r="F214" i="8"/>
  <c r="G214" i="8"/>
  <c r="L769" i="4"/>
  <c r="M769" i="4"/>
  <c r="H214" i="8" s="1"/>
  <c r="F236" i="8"/>
  <c r="G236" i="8"/>
  <c r="M810" i="4"/>
  <c r="H236" i="8" s="1"/>
  <c r="L810" i="4"/>
  <c r="G263" i="8"/>
  <c r="F263" i="8"/>
  <c r="M839" i="4"/>
  <c r="H263" i="8" s="1"/>
  <c r="L839" i="4"/>
  <c r="G294" i="8"/>
  <c r="F294" i="8"/>
  <c r="M870" i="4"/>
  <c r="H294" i="8" s="1"/>
  <c r="L870" i="4"/>
  <c r="F1238" i="8"/>
  <c r="L907" i="4"/>
  <c r="M907" i="4"/>
  <c r="H1238" i="8" s="1"/>
  <c r="G874" i="8"/>
  <c r="F874" i="8"/>
  <c r="M954" i="4"/>
  <c r="H874" i="8" s="1"/>
  <c r="L954" i="4"/>
  <c r="M8" i="3"/>
  <c r="N9" i="3"/>
  <c r="O9" i="3" s="1"/>
  <c r="M32" i="3"/>
  <c r="M37" i="3"/>
  <c r="M43" i="3"/>
  <c r="N45" i="3"/>
  <c r="O45" i="3" s="1"/>
  <c r="N67" i="3"/>
  <c r="O67" i="3" s="1"/>
  <c r="M71" i="3"/>
  <c r="N116" i="3"/>
  <c r="O116" i="3" s="1"/>
  <c r="N119" i="3"/>
  <c r="O119" i="3" s="1"/>
  <c r="H127" i="4"/>
  <c r="J127" i="4" s="1"/>
  <c r="K127" i="4" s="1"/>
  <c r="N123" i="3"/>
  <c r="O123" i="3" s="1"/>
  <c r="F129" i="4"/>
  <c r="M125" i="3"/>
  <c r="M140" i="3"/>
  <c r="M146" i="3"/>
  <c r="F150" i="4"/>
  <c r="N148" i="3"/>
  <c r="O148" i="3" s="1"/>
  <c r="M155" i="3"/>
  <c r="F161" i="4"/>
  <c r="M157" i="3"/>
  <c r="M159" i="3"/>
  <c r="F5" i="4"/>
  <c r="F13" i="4"/>
  <c r="F15" i="4"/>
  <c r="F586" i="8"/>
  <c r="G586" i="8"/>
  <c r="H34" i="4"/>
  <c r="J34" i="4" s="1"/>
  <c r="K34" i="4" s="1"/>
  <c r="H42" i="4"/>
  <c r="J42" i="4" s="1"/>
  <c r="K42" i="4" s="1"/>
  <c r="G76" i="4"/>
  <c r="H92" i="4"/>
  <c r="J92" i="4" s="1"/>
  <c r="K92" i="4" s="1"/>
  <c r="G100" i="4"/>
  <c r="H106" i="4"/>
  <c r="J106" i="4" s="1"/>
  <c r="K106" i="4" s="1"/>
  <c r="F1000" i="8"/>
  <c r="G1000" i="8"/>
  <c r="L112" i="4"/>
  <c r="M131" i="4"/>
  <c r="H1006" i="8" s="1"/>
  <c r="G135" i="4"/>
  <c r="H151" i="4"/>
  <c r="J151" i="4" s="1"/>
  <c r="K151" i="4" s="1"/>
  <c r="F1016" i="8"/>
  <c r="G1016" i="8"/>
  <c r="L180" i="4"/>
  <c r="F598" i="8"/>
  <c r="G598" i="8"/>
  <c r="F619" i="8"/>
  <c r="G619" i="8"/>
  <c r="M206" i="4"/>
  <c r="H619" i="8" s="1"/>
  <c r="F631" i="8"/>
  <c r="G631" i="8"/>
  <c r="L218" i="4"/>
  <c r="M220" i="4"/>
  <c r="H633" i="8" s="1"/>
  <c r="L225" i="4"/>
  <c r="F645" i="8"/>
  <c r="G645" i="8"/>
  <c r="M232" i="4"/>
  <c r="H645" i="8" s="1"/>
  <c r="L232" i="4"/>
  <c r="F657" i="8"/>
  <c r="G657" i="8"/>
  <c r="L244" i="4"/>
  <c r="F662" i="8"/>
  <c r="G662" i="8"/>
  <c r="G70" i="8"/>
  <c r="F70" i="8"/>
  <c r="M270" i="4"/>
  <c r="H70" i="8" s="1"/>
  <c r="F1022" i="8"/>
  <c r="G1022" i="8"/>
  <c r="L282" i="4"/>
  <c r="G75" i="8"/>
  <c r="F75" i="8"/>
  <c r="G79" i="8"/>
  <c r="F79" i="8"/>
  <c r="M310" i="4"/>
  <c r="H79" i="8" s="1"/>
  <c r="L310" i="4"/>
  <c r="F1036" i="8"/>
  <c r="G1036" i="8"/>
  <c r="L318" i="4"/>
  <c r="F1043" i="8"/>
  <c r="G1043" i="8"/>
  <c r="F1050" i="8"/>
  <c r="G1050" i="8"/>
  <c r="M332" i="4"/>
  <c r="H1050" i="8" s="1"/>
  <c r="F694" i="8"/>
  <c r="G694" i="8"/>
  <c r="L352" i="4"/>
  <c r="F701" i="8"/>
  <c r="G701" i="8"/>
  <c r="L359" i="4"/>
  <c r="F706" i="8"/>
  <c r="G706" i="8"/>
  <c r="M364" i="4"/>
  <c r="H706" i="8" s="1"/>
  <c r="L364" i="4"/>
  <c r="F1082" i="8"/>
  <c r="G1082" i="8"/>
  <c r="M380" i="4"/>
  <c r="H1082" i="8" s="1"/>
  <c r="L380" i="4"/>
  <c r="F1112" i="8"/>
  <c r="G1112" i="8"/>
  <c r="M410" i="4"/>
  <c r="H1112" i="8" s="1"/>
  <c r="F1119" i="8"/>
  <c r="G1119" i="8"/>
  <c r="M417" i="4"/>
  <c r="H1119" i="8" s="1"/>
  <c r="L417" i="4"/>
  <c r="F1126" i="8"/>
  <c r="G1126" i="8"/>
  <c r="L424" i="4"/>
  <c r="F1130" i="8"/>
  <c r="G1130" i="8"/>
  <c r="M428" i="4"/>
  <c r="H1130" i="8" s="1"/>
  <c r="G83" i="8"/>
  <c r="F83" i="8"/>
  <c r="M433" i="4"/>
  <c r="H83" i="8" s="1"/>
  <c r="L433" i="4"/>
  <c r="F708" i="8"/>
  <c r="G708" i="8"/>
  <c r="M444" i="4"/>
  <c r="H708" i="8" s="1"/>
  <c r="L444" i="4"/>
  <c r="F756" i="8"/>
  <c r="G756" i="8"/>
  <c r="M496" i="4"/>
  <c r="H756" i="8" s="1"/>
  <c r="L496" i="4"/>
  <c r="F761" i="8"/>
  <c r="G761" i="8"/>
  <c r="F1142" i="8"/>
  <c r="G1142" i="8"/>
  <c r="M513" i="4"/>
  <c r="H1142" i="8" s="1"/>
  <c r="L513" i="4"/>
  <c r="G94" i="8"/>
  <c r="F94" i="8"/>
  <c r="M525" i="4"/>
  <c r="H94" i="8" s="1"/>
  <c r="G113" i="8"/>
  <c r="F113" i="8"/>
  <c r="M544" i="4"/>
  <c r="H113" i="8" s="1"/>
  <c r="L554" i="4"/>
  <c r="F786" i="8"/>
  <c r="G786" i="8"/>
  <c r="L566" i="4"/>
  <c r="M573" i="4"/>
  <c r="H793" i="8" s="1"/>
  <c r="F796" i="8"/>
  <c r="G796" i="8"/>
  <c r="M576" i="4"/>
  <c r="H796" i="8" s="1"/>
  <c r="L586" i="4"/>
  <c r="F1156" i="8"/>
  <c r="G1156" i="8"/>
  <c r="L598" i="4"/>
  <c r="M605" i="4"/>
  <c r="H1161" i="8" s="1"/>
  <c r="F1164" i="8"/>
  <c r="G1164" i="8"/>
  <c r="M608" i="4"/>
  <c r="H1164" i="8" s="1"/>
  <c r="L618" i="4"/>
  <c r="G1177" i="8"/>
  <c r="F1177" i="8"/>
  <c r="M622" i="4"/>
  <c r="H1177" i="8" s="1"/>
  <c r="L622" i="4"/>
  <c r="F1208" i="8"/>
  <c r="G1208" i="8"/>
  <c r="M653" i="4"/>
  <c r="H1208" i="8" s="1"/>
  <c r="G125" i="8"/>
  <c r="F125" i="8"/>
  <c r="M663" i="4"/>
  <c r="H125" i="8" s="1"/>
  <c r="L663" i="4"/>
  <c r="L682" i="4"/>
  <c r="G825" i="8"/>
  <c r="F825" i="8"/>
  <c r="M686" i="4"/>
  <c r="H825" i="8" s="1"/>
  <c r="L686" i="4"/>
  <c r="G162" i="8"/>
  <c r="F162" i="8"/>
  <c r="M717" i="4"/>
  <c r="H162" i="8" s="1"/>
  <c r="G172" i="8"/>
  <c r="F172" i="8"/>
  <c r="M727" i="4"/>
  <c r="H172" i="8" s="1"/>
  <c r="L727" i="4"/>
  <c r="F197" i="8"/>
  <c r="G197" i="8"/>
  <c r="M752" i="4"/>
  <c r="H197" i="8" s="1"/>
  <c r="L752" i="4"/>
  <c r="F249" i="8"/>
  <c r="G249" i="8"/>
  <c r="M823" i="4"/>
  <c r="H249" i="8" s="1"/>
  <c r="L823" i="4"/>
  <c r="G253" i="8"/>
  <c r="F253" i="8"/>
  <c r="M829" i="4"/>
  <c r="H253" i="8" s="1"/>
  <c r="L829" i="4"/>
  <c r="G260" i="8"/>
  <c r="F260" i="8"/>
  <c r="M836" i="4"/>
  <c r="H260" i="8" s="1"/>
  <c r="L836" i="4"/>
  <c r="G282" i="8"/>
  <c r="F282" i="8"/>
  <c r="M858" i="4"/>
  <c r="H282" i="8" s="1"/>
  <c r="L858" i="4"/>
  <c r="G304" i="8"/>
  <c r="F304" i="8"/>
  <c r="M880" i="4"/>
  <c r="H304" i="8" s="1"/>
  <c r="G1233" i="8"/>
  <c r="F1233" i="8"/>
  <c r="M902" i="4"/>
  <c r="H1233" i="8" s="1"/>
  <c r="L902" i="4"/>
  <c r="F1244" i="8"/>
  <c r="G1244" i="8"/>
  <c r="L913" i="4"/>
  <c r="M913" i="4"/>
  <c r="H1244" i="8" s="1"/>
  <c r="F375" i="8"/>
  <c r="G375" i="8"/>
  <c r="M1044" i="4"/>
  <c r="H375" i="8" s="1"/>
  <c r="L1044" i="4"/>
  <c r="F389" i="8"/>
  <c r="G389" i="8"/>
  <c r="L1058" i="4"/>
  <c r="M1058" i="4"/>
  <c r="H389" i="8" s="1"/>
  <c r="F462" i="8"/>
  <c r="G462" i="8"/>
  <c r="M1142" i="4"/>
  <c r="H462" i="8" s="1"/>
  <c r="L1142" i="4"/>
  <c r="F465" i="8"/>
  <c r="G465" i="8"/>
  <c r="M1145" i="4"/>
  <c r="H465" i="8" s="1"/>
  <c r="L1145" i="4"/>
  <c r="G941" i="8"/>
  <c r="F941" i="8"/>
  <c r="M1243" i="4"/>
  <c r="H941" i="8" s="1"/>
  <c r="L1243" i="4"/>
  <c r="F526" i="8"/>
  <c r="M1270" i="4"/>
  <c r="H526" i="8" s="1"/>
  <c r="L1270" i="4"/>
  <c r="G526" i="8"/>
  <c r="F529" i="8"/>
  <c r="G529" i="8"/>
  <c r="M1273" i="4"/>
  <c r="H529" i="8" s="1"/>
  <c r="L1273" i="4"/>
  <c r="F977" i="8"/>
  <c r="G977" i="8"/>
  <c r="M1297" i="4"/>
  <c r="H977" i="8" s="1"/>
  <c r="L1297" i="4"/>
  <c r="F559" i="8"/>
  <c r="G559" i="8"/>
  <c r="M1324" i="4"/>
  <c r="H559" i="8" s="1"/>
  <c r="L1324" i="4"/>
  <c r="M83" i="3"/>
  <c r="F85" i="4"/>
  <c r="M154" i="3"/>
  <c r="F158" i="4"/>
  <c r="F990" i="8"/>
  <c r="G990" i="8"/>
  <c r="M67" i="4"/>
  <c r="H990" i="8" s="1"/>
  <c r="F27" i="8"/>
  <c r="G27" i="8"/>
  <c r="M120" i="4"/>
  <c r="H27" i="8" s="1"/>
  <c r="F1018" i="8"/>
  <c r="G1018" i="8"/>
  <c r="M182" i="4"/>
  <c r="H1018" i="8" s="1"/>
  <c r="F621" i="8"/>
  <c r="G621" i="8"/>
  <c r="M208" i="4"/>
  <c r="H621" i="8" s="1"/>
  <c r="L208" i="4"/>
  <c r="F673" i="8"/>
  <c r="G673" i="8"/>
  <c r="M272" i="4"/>
  <c r="H673" i="8" s="1"/>
  <c r="L272" i="4"/>
  <c r="F681" i="8"/>
  <c r="G681" i="8"/>
  <c r="M291" i="4"/>
  <c r="H681" i="8" s="1"/>
  <c r="L291" i="4"/>
  <c r="F1045" i="8"/>
  <c r="G1045" i="8"/>
  <c r="M327" i="4"/>
  <c r="H1045" i="8" s="1"/>
  <c r="F703" i="8"/>
  <c r="G703" i="8"/>
  <c r="L361" i="4"/>
  <c r="M361" i="4"/>
  <c r="H703" i="8" s="1"/>
  <c r="F1109" i="8"/>
  <c r="G1109" i="8"/>
  <c r="M407" i="4"/>
  <c r="H1109" i="8" s="1"/>
  <c r="L407" i="4"/>
  <c r="F1123" i="8"/>
  <c r="G1123" i="8"/>
  <c r="M421" i="4"/>
  <c r="H1123" i="8" s="1"/>
  <c r="L421" i="4"/>
  <c r="G92" i="8"/>
  <c r="L442" i="4"/>
  <c r="F92" i="8"/>
  <c r="G96" i="8"/>
  <c r="F96" i="8"/>
  <c r="M527" i="4"/>
  <c r="H96" i="8" s="1"/>
  <c r="G120" i="8"/>
  <c r="F120" i="8"/>
  <c r="M551" i="4"/>
  <c r="H120" i="8" s="1"/>
  <c r="L551" i="4"/>
  <c r="M7" i="3"/>
  <c r="H118" i="4"/>
  <c r="J118" i="4" s="1"/>
  <c r="K118" i="4" s="1"/>
  <c r="N115" i="3"/>
  <c r="O115" i="3" s="1"/>
  <c r="F153" i="4"/>
  <c r="M149" i="3"/>
  <c r="F594" i="8"/>
  <c r="G594" i="8"/>
  <c r="F669" i="8"/>
  <c r="G669" i="8"/>
  <c r="M256" i="4"/>
  <c r="H669" i="8" s="1"/>
  <c r="L256" i="4"/>
  <c r="F1033" i="8"/>
  <c r="G1033" i="8"/>
  <c r="M315" i="4"/>
  <c r="H1033" i="8" s="1"/>
  <c r="L315" i="4"/>
  <c r="F1117" i="8"/>
  <c r="G1117" i="8"/>
  <c r="L415" i="4"/>
  <c r="F1133" i="8"/>
  <c r="G1133" i="8"/>
  <c r="L431" i="4"/>
  <c r="F716" i="8"/>
  <c r="G716" i="8"/>
  <c r="M452" i="4"/>
  <c r="H716" i="8" s="1"/>
  <c r="L452" i="4"/>
  <c r="G1175" i="8"/>
  <c r="F1175" i="8"/>
  <c r="M620" i="4"/>
  <c r="H1175" i="8" s="1"/>
  <c r="L620" i="4"/>
  <c r="G1197" i="8"/>
  <c r="F1197" i="8"/>
  <c r="L642" i="4"/>
  <c r="G823" i="8"/>
  <c r="F823" i="8"/>
  <c r="M684" i="4"/>
  <c r="H823" i="8" s="1"/>
  <c r="L684" i="4"/>
  <c r="G151" i="8"/>
  <c r="F151" i="8"/>
  <c r="L706" i="4"/>
  <c r="F246" i="8"/>
  <c r="G246" i="8"/>
  <c r="M820" i="4"/>
  <c r="H246" i="8" s="1"/>
  <c r="L820" i="4"/>
  <c r="F367" i="8"/>
  <c r="G367" i="8"/>
  <c r="L1036" i="4"/>
  <c r="M1036" i="4"/>
  <c r="H367" i="8" s="1"/>
  <c r="M6" i="3"/>
  <c r="N50" i="3"/>
  <c r="O50" i="3" s="1"/>
  <c r="N70" i="3"/>
  <c r="O70" i="3" s="1"/>
  <c r="M72" i="3"/>
  <c r="M129" i="3"/>
  <c r="F133" i="4"/>
  <c r="M139" i="3"/>
  <c r="F145" i="4"/>
  <c r="M141" i="3"/>
  <c r="M143" i="3"/>
  <c r="F164" i="4"/>
  <c r="M160" i="3"/>
  <c r="F584" i="8"/>
  <c r="G584" i="8"/>
  <c r="M11" i="4"/>
  <c r="H584" i="8" s="1"/>
  <c r="F591" i="8"/>
  <c r="G591" i="8"/>
  <c r="M48" i="4"/>
  <c r="H591" i="8" s="1"/>
  <c r="L82" i="4"/>
  <c r="L125" i="4"/>
  <c r="H140" i="4"/>
  <c r="J140" i="4" s="1"/>
  <c r="K140" i="4" s="1"/>
  <c r="F603" i="8"/>
  <c r="G603" i="8"/>
  <c r="M190" i="4"/>
  <c r="H603" i="8" s="1"/>
  <c r="F615" i="8"/>
  <c r="G615" i="8"/>
  <c r="L202" i="4"/>
  <c r="L209" i="4"/>
  <c r="F629" i="8"/>
  <c r="G629" i="8"/>
  <c r="M216" i="4"/>
  <c r="H629" i="8" s="1"/>
  <c r="L216" i="4"/>
  <c r="F641" i="8"/>
  <c r="G641" i="8"/>
  <c r="L228" i="4"/>
  <c r="F646" i="8"/>
  <c r="G646" i="8"/>
  <c r="F667" i="8"/>
  <c r="G667" i="8"/>
  <c r="M254" i="4"/>
  <c r="H667" i="8" s="1"/>
  <c r="G66" i="8"/>
  <c r="F66" i="8"/>
  <c r="L266" i="4"/>
  <c r="F1020" i="8"/>
  <c r="G1020" i="8"/>
  <c r="M280" i="4"/>
  <c r="H1020" i="8" s="1"/>
  <c r="L280" i="4"/>
  <c r="F682" i="8"/>
  <c r="G682" i="8"/>
  <c r="L292" i="4"/>
  <c r="G73" i="8"/>
  <c r="F73" i="8"/>
  <c r="L304" i="4"/>
  <c r="F1031" i="8"/>
  <c r="G1031" i="8"/>
  <c r="L313" i="4"/>
  <c r="F1041" i="8"/>
  <c r="G1041" i="8"/>
  <c r="L323" i="4"/>
  <c r="F1083" i="8"/>
  <c r="G1083" i="8"/>
  <c r="M381" i="4"/>
  <c r="H1083" i="8" s="1"/>
  <c r="L381" i="4"/>
  <c r="F1095" i="8"/>
  <c r="G1095" i="8"/>
  <c r="L393" i="4"/>
  <c r="M393" i="4"/>
  <c r="H1095" i="8" s="1"/>
  <c r="F1100" i="8"/>
  <c r="G1100" i="8"/>
  <c r="M398" i="4"/>
  <c r="H1100" i="8" s="1"/>
  <c r="F1105" i="8"/>
  <c r="G1105" i="8"/>
  <c r="M403" i="4"/>
  <c r="H1105" i="8" s="1"/>
  <c r="L408" i="4"/>
  <c r="F1115" i="8"/>
  <c r="G1115" i="8"/>
  <c r="L413" i="4"/>
  <c r="M415" i="4"/>
  <c r="H1117" i="8" s="1"/>
  <c r="M431" i="4"/>
  <c r="H1133" i="8" s="1"/>
  <c r="F709" i="8"/>
  <c r="G709" i="8"/>
  <c r="M445" i="4"/>
  <c r="H709" i="8" s="1"/>
  <c r="L445" i="4"/>
  <c r="F724" i="8"/>
  <c r="G724" i="8"/>
  <c r="M460" i="4"/>
  <c r="H724" i="8" s="1"/>
  <c r="L460" i="4"/>
  <c r="F738" i="8"/>
  <c r="G738" i="8"/>
  <c r="M474" i="4"/>
  <c r="H738" i="8" s="1"/>
  <c r="F740" i="8"/>
  <c r="G740" i="8"/>
  <c r="M476" i="4"/>
  <c r="H740" i="8" s="1"/>
  <c r="L476" i="4"/>
  <c r="F750" i="8"/>
  <c r="G750" i="8"/>
  <c r="L490" i="4"/>
  <c r="F766" i="8"/>
  <c r="G766" i="8"/>
  <c r="L506" i="4"/>
  <c r="F1143" i="8"/>
  <c r="G1143" i="8"/>
  <c r="F1147" i="8"/>
  <c r="G1147" i="8"/>
  <c r="L518" i="4"/>
  <c r="M518" i="4"/>
  <c r="H1147" i="8" s="1"/>
  <c r="G111" i="8"/>
  <c r="F111" i="8"/>
  <c r="L542" i="4"/>
  <c r="G121" i="8"/>
  <c r="F121" i="8"/>
  <c r="M552" i="4"/>
  <c r="H121" i="8" s="1"/>
  <c r="L562" i="4"/>
  <c r="F794" i="8"/>
  <c r="G794" i="8"/>
  <c r="L574" i="4"/>
  <c r="F804" i="8"/>
  <c r="G804" i="8"/>
  <c r="M584" i="4"/>
  <c r="H804" i="8" s="1"/>
  <c r="F1162" i="8"/>
  <c r="G1162" i="8"/>
  <c r="L606" i="4"/>
  <c r="F1171" i="8"/>
  <c r="G1171" i="8"/>
  <c r="M616" i="4"/>
  <c r="H1171" i="8" s="1"/>
  <c r="M642" i="4"/>
  <c r="H1197" i="8" s="1"/>
  <c r="G1199" i="8"/>
  <c r="F1199" i="8"/>
  <c r="M644" i="4"/>
  <c r="H1199" i="8" s="1"/>
  <c r="L644" i="4"/>
  <c r="G1202" i="8"/>
  <c r="F1202" i="8"/>
  <c r="M647" i="4"/>
  <c r="H1202" i="8" s="1"/>
  <c r="G1204" i="8"/>
  <c r="F1204" i="8"/>
  <c r="M649" i="4"/>
  <c r="H1204" i="8" s="1"/>
  <c r="L649" i="4"/>
  <c r="M706" i="4"/>
  <c r="H151" i="8" s="1"/>
  <c r="G153" i="8"/>
  <c r="F153" i="8"/>
  <c r="M708" i="4"/>
  <c r="H153" i="8" s="1"/>
  <c r="L708" i="4"/>
  <c r="G156" i="8"/>
  <c r="F156" i="8"/>
  <c r="M711" i="4"/>
  <c r="H156" i="8" s="1"/>
  <c r="G158" i="8"/>
  <c r="M713" i="4"/>
  <c r="H158" i="8" s="1"/>
  <c r="L713" i="4"/>
  <c r="F158" i="8"/>
  <c r="F198" i="8"/>
  <c r="G198" i="8"/>
  <c r="L753" i="4"/>
  <c r="M753" i="4"/>
  <c r="H198" i="8" s="1"/>
  <c r="G846" i="8"/>
  <c r="F846" i="8"/>
  <c r="M804" i="4"/>
  <c r="H846" i="8" s="1"/>
  <c r="L804" i="4"/>
  <c r="F234" i="8"/>
  <c r="G234" i="8"/>
  <c r="M808" i="4"/>
  <c r="H234" i="8" s="1"/>
  <c r="L808" i="4"/>
  <c r="G261" i="8"/>
  <c r="F261" i="8"/>
  <c r="M837" i="4"/>
  <c r="H261" i="8" s="1"/>
  <c r="L837" i="4"/>
  <c r="G302" i="8"/>
  <c r="F302" i="8"/>
  <c r="M878" i="4"/>
  <c r="H302" i="8" s="1"/>
  <c r="L878" i="4"/>
  <c r="G1234" i="8"/>
  <c r="F1234" i="8"/>
  <c r="M903" i="4"/>
  <c r="H1234" i="8" s="1"/>
  <c r="L903" i="4"/>
  <c r="G907" i="8"/>
  <c r="F907" i="8"/>
  <c r="M1105" i="4"/>
  <c r="H907" i="8" s="1"/>
  <c r="L1105" i="4"/>
  <c r="F454" i="8"/>
  <c r="G454" i="8"/>
  <c r="M1134" i="4"/>
  <c r="H454" i="8" s="1"/>
  <c r="L1134" i="4"/>
  <c r="F457" i="8"/>
  <c r="G457" i="8"/>
  <c r="M1137" i="4"/>
  <c r="H457" i="8" s="1"/>
  <c r="L1137" i="4"/>
  <c r="F519" i="8"/>
  <c r="G519" i="8"/>
  <c r="M1211" i="4"/>
  <c r="H519" i="8" s="1"/>
  <c r="L1211" i="4"/>
  <c r="F978" i="8"/>
  <c r="G978" i="8"/>
  <c r="M1307" i="4"/>
  <c r="H978" i="8" s="1"/>
  <c r="L1307" i="4"/>
  <c r="H55" i="4"/>
  <c r="J55" i="4" s="1"/>
  <c r="K55" i="4" s="1"/>
  <c r="N55" i="3"/>
  <c r="O55" i="3" s="1"/>
  <c r="G1308" i="8"/>
  <c r="F1308" i="8"/>
  <c r="M69" i="4"/>
  <c r="H1308" i="8" s="1"/>
  <c r="F1029" i="8"/>
  <c r="G1029" i="8"/>
  <c r="G72" i="8"/>
  <c r="F72" i="8"/>
  <c r="M303" i="4"/>
  <c r="H72" i="8" s="1"/>
  <c r="L303" i="4"/>
  <c r="F1038" i="8"/>
  <c r="G1038" i="8"/>
  <c r="M320" i="4"/>
  <c r="H1038" i="8" s="1"/>
  <c r="F1055" i="8"/>
  <c r="G1055" i="8"/>
  <c r="L337" i="4"/>
  <c r="F1114" i="8"/>
  <c r="G1114" i="8"/>
  <c r="M412" i="4"/>
  <c r="H1114" i="8" s="1"/>
  <c r="L412" i="4"/>
  <c r="F1128" i="8"/>
  <c r="G1128" i="8"/>
  <c r="L426" i="4"/>
  <c r="F714" i="8"/>
  <c r="G714" i="8"/>
  <c r="M93" i="3"/>
  <c r="M151" i="3"/>
  <c r="F52" i="4"/>
  <c r="G130" i="4"/>
  <c r="F617" i="8"/>
  <c r="G617" i="8"/>
  <c r="L204" i="4"/>
  <c r="F624" i="8"/>
  <c r="G624" i="8"/>
  <c r="M211" i="4"/>
  <c r="H624" i="8" s="1"/>
  <c r="L211" i="4"/>
  <c r="F655" i="8"/>
  <c r="G655" i="8"/>
  <c r="L242" i="4"/>
  <c r="F674" i="8"/>
  <c r="G674" i="8"/>
  <c r="F1140" i="8"/>
  <c r="G1140" i="8"/>
  <c r="M511" i="4"/>
  <c r="H1140" i="8" s="1"/>
  <c r="L511" i="4"/>
  <c r="G101" i="8"/>
  <c r="F101" i="8"/>
  <c r="M532" i="4"/>
  <c r="H101" i="8" s="1"/>
  <c r="M554" i="4"/>
  <c r="H774" i="8" s="1"/>
  <c r="F779" i="8"/>
  <c r="G779" i="8"/>
  <c r="M559" i="4"/>
  <c r="H779" i="8" s="1"/>
  <c r="L559" i="4"/>
  <c r="F1152" i="8"/>
  <c r="G1152" i="8"/>
  <c r="M23" i="3"/>
  <c r="M35" i="3"/>
  <c r="M53" i="3"/>
  <c r="M57" i="3"/>
  <c r="N62" i="3"/>
  <c r="O62" i="3" s="1"/>
  <c r="M73" i="3"/>
  <c r="F77" i="4"/>
  <c r="M75" i="3"/>
  <c r="M77" i="3"/>
  <c r="F83" i="4"/>
  <c r="M81" i="3"/>
  <c r="M88" i="3"/>
  <c r="M94" i="3"/>
  <c r="F96" i="4"/>
  <c r="M102" i="3"/>
  <c r="H122" i="4"/>
  <c r="J122" i="4" s="1"/>
  <c r="K122" i="4" s="1"/>
  <c r="N118" i="3"/>
  <c r="O118" i="3" s="1"/>
  <c r="M130" i="3"/>
  <c r="M132" i="3"/>
  <c r="F136" i="4"/>
  <c r="M134" i="3"/>
  <c r="F156" i="4"/>
  <c r="M152" i="3"/>
  <c r="L11" i="4"/>
  <c r="G20" i="4"/>
  <c r="F588" i="8"/>
  <c r="G588" i="8"/>
  <c r="L26" i="4"/>
  <c r="F589" i="8"/>
  <c r="G589" i="8"/>
  <c r="L39" i="4"/>
  <c r="H41" i="4"/>
  <c r="J41" i="4" s="1"/>
  <c r="K41" i="4" s="1"/>
  <c r="F590" i="8"/>
  <c r="G590" i="8"/>
  <c r="M44" i="4"/>
  <c r="H590" i="8" s="1"/>
  <c r="L44" i="4"/>
  <c r="M82" i="4"/>
  <c r="H594" i="8" s="1"/>
  <c r="H108" i="4"/>
  <c r="J108" i="4" s="1"/>
  <c r="K108" i="4" s="1"/>
  <c r="F1002" i="8"/>
  <c r="G1002" i="8"/>
  <c r="M115" i="4"/>
  <c r="H1002" i="8" s="1"/>
  <c r="H137" i="4"/>
  <c r="J137" i="4" s="1"/>
  <c r="K137" i="4" s="1"/>
  <c r="H170" i="4"/>
  <c r="J170" i="4" s="1"/>
  <c r="K170" i="4" s="1"/>
  <c r="F1012" i="8"/>
  <c r="G1012" i="8"/>
  <c r="M176" i="4"/>
  <c r="H1012" i="8" s="1"/>
  <c r="L176" i="4"/>
  <c r="F601" i="8"/>
  <c r="G601" i="8"/>
  <c r="L188" i="4"/>
  <c r="L190" i="4"/>
  <c r="F606" i="8"/>
  <c r="G606" i="8"/>
  <c r="M202" i="4"/>
  <c r="H615" i="8" s="1"/>
  <c r="F627" i="8"/>
  <c r="G627" i="8"/>
  <c r="M214" i="4"/>
  <c r="H627" i="8" s="1"/>
  <c r="F639" i="8"/>
  <c r="G639" i="8"/>
  <c r="L226" i="4"/>
  <c r="M228" i="4"/>
  <c r="H641" i="8" s="1"/>
  <c r="L233" i="4"/>
  <c r="F653" i="8"/>
  <c r="G653" i="8"/>
  <c r="M240" i="4"/>
  <c r="H653" i="8" s="1"/>
  <c r="L240" i="4"/>
  <c r="F665" i="8"/>
  <c r="G665" i="8"/>
  <c r="L252" i="4"/>
  <c r="L254" i="4"/>
  <c r="F670" i="8"/>
  <c r="G670" i="8"/>
  <c r="M266" i="4"/>
  <c r="H66" i="8" s="1"/>
  <c r="M273" i="4"/>
  <c r="H674" i="8" s="1"/>
  <c r="F679" i="8"/>
  <c r="G679" i="8"/>
  <c r="M278" i="4"/>
  <c r="H679" i="8" s="1"/>
  <c r="F1030" i="8"/>
  <c r="G1030" i="8"/>
  <c r="L290" i="4"/>
  <c r="M292" i="4"/>
  <c r="H682" i="8" s="1"/>
  <c r="F687" i="8"/>
  <c r="G687" i="8"/>
  <c r="L297" i="4"/>
  <c r="M297" i="4"/>
  <c r="H687" i="8" s="1"/>
  <c r="M304" i="4"/>
  <c r="H73" i="8" s="1"/>
  <c r="G80" i="8"/>
  <c r="F80" i="8"/>
  <c r="L311" i="4"/>
  <c r="M313" i="4"/>
  <c r="H1031" i="8" s="1"/>
  <c r="M323" i="4"/>
  <c r="H1041" i="8" s="1"/>
  <c r="F1051" i="8"/>
  <c r="G1051" i="8"/>
  <c r="L333" i="4"/>
  <c r="F1061" i="8"/>
  <c r="G1061" i="8"/>
  <c r="M343" i="4"/>
  <c r="H1061" i="8" s="1"/>
  <c r="L343" i="4"/>
  <c r="F1066" i="8"/>
  <c r="G1066" i="8"/>
  <c r="M348" i="4"/>
  <c r="H1066" i="8" s="1"/>
  <c r="L348" i="4"/>
  <c r="F707" i="8"/>
  <c r="G707" i="8"/>
  <c r="M365" i="4"/>
  <c r="H707" i="8" s="1"/>
  <c r="F1086" i="8"/>
  <c r="G1086" i="8"/>
  <c r="M384" i="4"/>
  <c r="H1086" i="8" s="1"/>
  <c r="F1093" i="8"/>
  <c r="G1093" i="8"/>
  <c r="M391" i="4"/>
  <c r="H1093" i="8" s="1"/>
  <c r="L398" i="4"/>
  <c r="F1103" i="8"/>
  <c r="G1103" i="8"/>
  <c r="L401" i="4"/>
  <c r="L403" i="4"/>
  <c r="M413" i="4"/>
  <c r="H1115" i="8" s="1"/>
  <c r="F1131" i="8"/>
  <c r="G1131" i="8"/>
  <c r="L429" i="4"/>
  <c r="G89" i="8"/>
  <c r="F89" i="8"/>
  <c r="F722" i="8"/>
  <c r="G722" i="8"/>
  <c r="M458" i="4"/>
  <c r="H722" i="8" s="1"/>
  <c r="L458" i="4"/>
  <c r="F729" i="8"/>
  <c r="G729" i="8"/>
  <c r="M465" i="4"/>
  <c r="H729" i="8" s="1"/>
  <c r="L465" i="4"/>
  <c r="F736" i="8"/>
  <c r="G736" i="8"/>
  <c r="M472" i="4"/>
  <c r="H736" i="8" s="1"/>
  <c r="L474" i="4"/>
  <c r="F745" i="8"/>
  <c r="G745" i="8"/>
  <c r="M481" i="4"/>
  <c r="H745" i="8" s="1"/>
  <c r="L481" i="4"/>
  <c r="F748" i="8"/>
  <c r="G748" i="8"/>
  <c r="L488" i="4"/>
  <c r="M490" i="4"/>
  <c r="H750" i="8" s="1"/>
  <c r="F752" i="8"/>
  <c r="G752" i="8"/>
  <c r="M492" i="4"/>
  <c r="H752" i="8" s="1"/>
  <c r="F757" i="8"/>
  <c r="G757" i="8"/>
  <c r="M497" i="4"/>
  <c r="H757" i="8" s="1"/>
  <c r="L497" i="4"/>
  <c r="M506" i="4"/>
  <c r="H766" i="8" s="1"/>
  <c r="F768" i="8"/>
  <c r="G768" i="8"/>
  <c r="M508" i="4"/>
  <c r="H768" i="8" s="1"/>
  <c r="L508" i="4"/>
  <c r="L514" i="4"/>
  <c r="G107" i="8"/>
  <c r="F107" i="8"/>
  <c r="M542" i="4"/>
  <c r="H111" i="8" s="1"/>
  <c r="L552" i="4"/>
  <c r="F777" i="8"/>
  <c r="G777" i="8"/>
  <c r="L557" i="4"/>
  <c r="F787" i="8"/>
  <c r="G787" i="8"/>
  <c r="M567" i="4"/>
  <c r="H787" i="8" s="1"/>
  <c r="L567" i="4"/>
  <c r="F790" i="8"/>
  <c r="G790" i="8"/>
  <c r="M574" i="4"/>
  <c r="H794" i="8" s="1"/>
  <c r="L584" i="4"/>
  <c r="F809" i="8"/>
  <c r="G809" i="8"/>
  <c r="L589" i="4"/>
  <c r="M594" i="4"/>
  <c r="H1152" i="8" s="1"/>
  <c r="F1157" i="8"/>
  <c r="G1157" i="8"/>
  <c r="M599" i="4"/>
  <c r="H1157" i="8" s="1"/>
  <c r="L599" i="4"/>
  <c r="F1158" i="8"/>
  <c r="G1158" i="8"/>
  <c r="M606" i="4"/>
  <c r="H1162" i="8" s="1"/>
  <c r="L616" i="4"/>
  <c r="L647" i="4"/>
  <c r="L711" i="4"/>
  <c r="F228" i="8"/>
  <c r="G228" i="8"/>
  <c r="M783" i="4"/>
  <c r="H228" i="8" s="1"/>
  <c r="L783" i="4"/>
  <c r="F834" i="8"/>
  <c r="G834" i="8"/>
  <c r="M792" i="4"/>
  <c r="H834" i="8" s="1"/>
  <c r="L792" i="4"/>
  <c r="G837" i="8"/>
  <c r="F837" i="8"/>
  <c r="M795" i="4"/>
  <c r="H837" i="8" s="1"/>
  <c r="L795" i="4"/>
  <c r="G298" i="8"/>
  <c r="F298" i="8"/>
  <c r="M874" i="4"/>
  <c r="H298" i="8" s="1"/>
  <c r="G300" i="8"/>
  <c r="F300" i="8"/>
  <c r="M876" i="4"/>
  <c r="H300" i="8" s="1"/>
  <c r="L876" i="4"/>
  <c r="G1231" i="8"/>
  <c r="F1231" i="8"/>
  <c r="M900" i="4"/>
  <c r="H1231" i="8" s="1"/>
  <c r="L900" i="4"/>
  <c r="G894" i="8"/>
  <c r="F894" i="8"/>
  <c r="M1004" i="4"/>
  <c r="H894" i="8" s="1"/>
  <c r="L1004" i="4"/>
  <c r="F341" i="8"/>
  <c r="M1010" i="4"/>
  <c r="H341" i="8" s="1"/>
  <c r="G341" i="8"/>
  <c r="L1010" i="4"/>
  <c r="F420" i="8"/>
  <c r="G420" i="8"/>
  <c r="M1089" i="4"/>
  <c r="H420" i="8" s="1"/>
  <c r="L1089" i="4"/>
  <c r="F423" i="8"/>
  <c r="G423" i="8"/>
  <c r="M1092" i="4"/>
  <c r="H423" i="8" s="1"/>
  <c r="L1092" i="4"/>
  <c r="F435" i="8"/>
  <c r="G435" i="8"/>
  <c r="L1114" i="4"/>
  <c r="M1114" i="4"/>
  <c r="H435" i="8" s="1"/>
  <c r="F444" i="8"/>
  <c r="M1123" i="4"/>
  <c r="H444" i="8" s="1"/>
  <c r="L1123" i="4"/>
  <c r="G444" i="8"/>
  <c r="F447" i="8"/>
  <c r="G447" i="8"/>
  <c r="M1126" i="4"/>
  <c r="H447" i="8" s="1"/>
  <c r="L1126" i="4"/>
  <c r="F499" i="8"/>
  <c r="G499" i="8"/>
  <c r="L1191" i="4"/>
  <c r="M1191" i="4"/>
  <c r="H499" i="8" s="1"/>
  <c r="G1267" i="8"/>
  <c r="F1267" i="8"/>
  <c r="M1220" i="4"/>
  <c r="H1267" i="8" s="1"/>
  <c r="L1220" i="4"/>
  <c r="F936" i="8"/>
  <c r="G936" i="8"/>
  <c r="M1238" i="4"/>
  <c r="H936" i="8" s="1"/>
  <c r="L1238" i="4"/>
  <c r="F939" i="8"/>
  <c r="G939" i="8"/>
  <c r="M1241" i="4"/>
  <c r="H939" i="8" s="1"/>
  <c r="L1241" i="4"/>
  <c r="F963" i="8"/>
  <c r="G963" i="8"/>
  <c r="M1265" i="4"/>
  <c r="H963" i="8" s="1"/>
  <c r="L1265" i="4"/>
  <c r="F987" i="8"/>
  <c r="G987" i="8"/>
  <c r="M1316" i="4"/>
  <c r="H987" i="8" s="1"/>
  <c r="L1316" i="4"/>
  <c r="G1318" i="8"/>
  <c r="F1318" i="8"/>
  <c r="M116" i="4"/>
  <c r="H1318" i="8" s="1"/>
  <c r="F607" i="8"/>
  <c r="G607" i="8"/>
  <c r="L194" i="4"/>
  <c r="F1024" i="8"/>
  <c r="G1024" i="8"/>
  <c r="L284" i="4"/>
  <c r="F803" i="8"/>
  <c r="G803" i="8"/>
  <c r="M583" i="4"/>
  <c r="H803" i="8" s="1"/>
  <c r="L583" i="4"/>
  <c r="F62" i="4"/>
  <c r="F643" i="8"/>
  <c r="G643" i="8"/>
  <c r="M230" i="4"/>
  <c r="H643" i="8" s="1"/>
  <c r="F1080" i="8"/>
  <c r="G1080" i="8"/>
  <c r="L378" i="4"/>
  <c r="F1102" i="8"/>
  <c r="G1102" i="8"/>
  <c r="M400" i="4"/>
  <c r="H1102" i="8" s="1"/>
  <c r="L400" i="4"/>
  <c r="F721" i="8"/>
  <c r="G721" i="8"/>
  <c r="M457" i="4"/>
  <c r="H721" i="8" s="1"/>
  <c r="L457" i="4"/>
  <c r="F754" i="8"/>
  <c r="G754" i="8"/>
  <c r="L494" i="4"/>
  <c r="F776" i="8"/>
  <c r="G776" i="8"/>
  <c r="M556" i="4"/>
  <c r="H776" i="8" s="1"/>
  <c r="L556" i="4"/>
  <c r="F811" i="8"/>
  <c r="G811" i="8"/>
  <c r="M591" i="4"/>
  <c r="H811" i="8" s="1"/>
  <c r="L591" i="4"/>
  <c r="M618" i="4"/>
  <c r="H1173" i="8" s="1"/>
  <c r="F28" i="4"/>
  <c r="M28" i="3"/>
  <c r="M86" i="3"/>
  <c r="F88" i="4"/>
  <c r="M97" i="3"/>
  <c r="F99" i="4"/>
  <c r="M100" i="3"/>
  <c r="F102" i="4"/>
  <c r="M107" i="3"/>
  <c r="F109" i="4"/>
  <c r="M108" i="3"/>
  <c r="H117" i="4"/>
  <c r="J117" i="4" s="1"/>
  <c r="K117" i="4" s="1"/>
  <c r="N114" i="3"/>
  <c r="O114" i="3" s="1"/>
  <c r="F148" i="4"/>
  <c r="M144" i="3"/>
  <c r="F10" i="4"/>
  <c r="H30" i="4"/>
  <c r="J30" i="4" s="1"/>
  <c r="K30" i="4" s="1"/>
  <c r="F45" i="4"/>
  <c r="F595" i="8"/>
  <c r="G595" i="8"/>
  <c r="L86" i="4"/>
  <c r="F1001" i="8"/>
  <c r="G1001" i="8"/>
  <c r="M113" i="4"/>
  <c r="H1001" i="8" s="1"/>
  <c r="L113" i="4"/>
  <c r="F1010" i="8"/>
  <c r="G1010" i="8"/>
  <c r="M174" i="4"/>
  <c r="H1010" i="8" s="1"/>
  <c r="F599" i="8"/>
  <c r="G599" i="8"/>
  <c r="L186" i="4"/>
  <c r="F613" i="8"/>
  <c r="G613" i="8"/>
  <c r="M200" i="4"/>
  <c r="H613" i="8" s="1"/>
  <c r="L200" i="4"/>
  <c r="F625" i="8"/>
  <c r="G625" i="8"/>
  <c r="L212" i="4"/>
  <c r="F630" i="8"/>
  <c r="G630" i="8"/>
  <c r="F632" i="8"/>
  <c r="G632" i="8"/>
  <c r="M219" i="4"/>
  <c r="H632" i="8" s="1"/>
  <c r="L219" i="4"/>
  <c r="F651" i="8"/>
  <c r="G651" i="8"/>
  <c r="M238" i="4"/>
  <c r="H651" i="8" s="1"/>
  <c r="F663" i="8"/>
  <c r="G663" i="8"/>
  <c r="L250" i="4"/>
  <c r="G64" i="8"/>
  <c r="F64" i="8"/>
  <c r="M264" i="4"/>
  <c r="H64" i="8" s="1"/>
  <c r="L264" i="4"/>
  <c r="F677" i="8"/>
  <c r="G677" i="8"/>
  <c r="L276" i="4"/>
  <c r="F1021" i="8"/>
  <c r="G1021" i="8"/>
  <c r="F1023" i="8"/>
  <c r="G1023" i="8"/>
  <c r="M283" i="4"/>
  <c r="H1023" i="8" s="1"/>
  <c r="L283" i="4"/>
  <c r="F685" i="8"/>
  <c r="G685" i="8"/>
  <c r="L295" i="4"/>
  <c r="F690" i="8"/>
  <c r="G690" i="8"/>
  <c r="M300" i="4"/>
  <c r="H690" i="8" s="1"/>
  <c r="L300" i="4"/>
  <c r="F1034" i="8"/>
  <c r="G1034" i="8"/>
  <c r="M316" i="4"/>
  <c r="H1034" i="8" s="1"/>
  <c r="L316" i="4"/>
  <c r="F1064" i="8"/>
  <c r="G1064" i="8"/>
  <c r="M346" i="4"/>
  <c r="H1064" i="8" s="1"/>
  <c r="F693" i="8"/>
  <c r="G693" i="8"/>
  <c r="F695" i="8"/>
  <c r="G695" i="8"/>
  <c r="L353" i="4"/>
  <c r="M353" i="4"/>
  <c r="H695" i="8" s="1"/>
  <c r="F702" i="8"/>
  <c r="G702" i="8"/>
  <c r="M360" i="4"/>
  <c r="H702" i="8" s="1"/>
  <c r="L360" i="4"/>
  <c r="F1072" i="8"/>
  <c r="G1072" i="8"/>
  <c r="F1076" i="8"/>
  <c r="G1076" i="8"/>
  <c r="M374" i="4"/>
  <c r="H1076" i="8" s="1"/>
  <c r="L374" i="4"/>
  <c r="F1084" i="8"/>
  <c r="G1084" i="8"/>
  <c r="L382" i="4"/>
  <c r="F1091" i="8"/>
  <c r="G1091" i="8"/>
  <c r="F1098" i="8"/>
  <c r="G1098" i="8"/>
  <c r="M396" i="4"/>
  <c r="H1098" i="8" s="1"/>
  <c r="F710" i="8"/>
  <c r="G710" i="8"/>
  <c r="L446" i="4"/>
  <c r="M446" i="4"/>
  <c r="H710" i="8" s="1"/>
  <c r="F727" i="8"/>
  <c r="G727" i="8"/>
  <c r="M463" i="4"/>
  <c r="H727" i="8" s="1"/>
  <c r="F743" i="8"/>
  <c r="G743" i="8"/>
  <c r="L479" i="4"/>
  <c r="F755" i="8"/>
  <c r="G755" i="8"/>
  <c r="L495" i="4"/>
  <c r="M514" i="4"/>
  <c r="H1143" i="8" s="1"/>
  <c r="F1145" i="8"/>
  <c r="G1145" i="8"/>
  <c r="M516" i="4"/>
  <c r="H1145" i="8" s="1"/>
  <c r="L516" i="4"/>
  <c r="F769" i="8"/>
  <c r="G769" i="8"/>
  <c r="M521" i="4"/>
  <c r="H769" i="8" s="1"/>
  <c r="L521" i="4"/>
  <c r="G119" i="8"/>
  <c r="F119" i="8"/>
  <c r="L550" i="4"/>
  <c r="F780" i="8"/>
  <c r="G780" i="8"/>
  <c r="M560" i="4"/>
  <c r="H780" i="8" s="1"/>
  <c r="F802" i="8"/>
  <c r="G802" i="8"/>
  <c r="L582" i="4"/>
  <c r="F1150" i="8"/>
  <c r="G1150" i="8"/>
  <c r="M592" i="4"/>
  <c r="H1150" i="8" s="1"/>
  <c r="G122" i="8"/>
  <c r="F122" i="8"/>
  <c r="L614" i="4"/>
  <c r="G132" i="8"/>
  <c r="F132" i="8"/>
  <c r="M678" i="4"/>
  <c r="H132" i="8" s="1"/>
  <c r="L678" i="4"/>
  <c r="G187" i="8"/>
  <c r="F187" i="8"/>
  <c r="M742" i="4"/>
  <c r="H187" i="8" s="1"/>
  <c r="L742" i="4"/>
  <c r="F204" i="8"/>
  <c r="G204" i="8"/>
  <c r="M759" i="4"/>
  <c r="H204" i="8" s="1"/>
  <c r="L759" i="4"/>
  <c r="F218" i="8"/>
  <c r="G218" i="8"/>
  <c r="M773" i="4"/>
  <c r="H218" i="8" s="1"/>
  <c r="L773" i="4"/>
  <c r="F223" i="8"/>
  <c r="G223" i="8"/>
  <c r="M778" i="4"/>
  <c r="H223" i="8" s="1"/>
  <c r="L778" i="4"/>
  <c r="G847" i="8"/>
  <c r="F847" i="8"/>
  <c r="M805" i="4"/>
  <c r="H847" i="8" s="1"/>
  <c r="L805" i="4"/>
  <c r="G274" i="8"/>
  <c r="F274" i="8"/>
  <c r="M850" i="4"/>
  <c r="H274" i="8" s="1"/>
  <c r="L850" i="4"/>
  <c r="G296" i="8"/>
  <c r="F296" i="8"/>
  <c r="M872" i="4"/>
  <c r="H296" i="8" s="1"/>
  <c r="L874" i="4"/>
  <c r="G1218" i="8"/>
  <c r="F1218" i="8"/>
  <c r="M887" i="4"/>
  <c r="H1218" i="8" s="1"/>
  <c r="L887" i="4"/>
  <c r="G855" i="8"/>
  <c r="F855" i="8"/>
  <c r="M935" i="4"/>
  <c r="H855" i="8" s="1"/>
  <c r="L935" i="4"/>
  <c r="M63" i="3"/>
  <c r="M289" i="4"/>
  <c r="H1029" i="8" s="1"/>
  <c r="M450" i="4"/>
  <c r="H714" i="8" s="1"/>
  <c r="G118" i="8"/>
  <c r="F118" i="8"/>
  <c r="L549" i="4"/>
  <c r="F782" i="8"/>
  <c r="G782" i="8"/>
  <c r="F801" i="8"/>
  <c r="G801" i="8"/>
  <c r="L581" i="4"/>
  <c r="M586" i="4"/>
  <c r="H806" i="8" s="1"/>
  <c r="F808" i="8"/>
  <c r="G808" i="8"/>
  <c r="M588" i="4"/>
  <c r="H808" i="8" s="1"/>
  <c r="L588" i="4"/>
  <c r="G1169" i="8"/>
  <c r="F1169" i="8"/>
  <c r="L613" i="4"/>
  <c r="M682" i="4"/>
  <c r="H136" i="8" s="1"/>
  <c r="F346" i="8"/>
  <c r="G346" i="8"/>
  <c r="M1015" i="4"/>
  <c r="H346" i="8" s="1"/>
  <c r="L1015" i="4"/>
  <c r="G1238" i="8"/>
  <c r="G1272" i="8"/>
  <c r="F1272" i="8"/>
  <c r="M14" i="4"/>
  <c r="H1272" i="8" s="1"/>
  <c r="H49" i="4"/>
  <c r="J49" i="4" s="1"/>
  <c r="K49" i="4" s="1"/>
  <c r="N49" i="3"/>
  <c r="O49" i="3" s="1"/>
  <c r="H65" i="4"/>
  <c r="J65" i="4" s="1"/>
  <c r="K65" i="4" s="1"/>
  <c r="N65" i="3"/>
  <c r="O65" i="3" s="1"/>
  <c r="N14" i="3"/>
  <c r="O14" i="3" s="1"/>
  <c r="M18" i="3"/>
  <c r="M21" i="3"/>
  <c r="N22" i="3"/>
  <c r="O22" i="3" s="1"/>
  <c r="M25" i="3"/>
  <c r="F25" i="4"/>
  <c r="N47" i="3"/>
  <c r="O47" i="3" s="1"/>
  <c r="G51" i="4"/>
  <c r="M51" i="3"/>
  <c r="M54" i="3"/>
  <c r="M56" i="3"/>
  <c r="M59" i="3"/>
  <c r="M61" i="3"/>
  <c r="N69" i="3"/>
  <c r="O69" i="3" s="1"/>
  <c r="N76" i="3"/>
  <c r="O76" i="3" s="1"/>
  <c r="H78" i="4"/>
  <c r="J78" i="4" s="1"/>
  <c r="K78" i="4" s="1"/>
  <c r="F80" i="4"/>
  <c r="M78" i="3"/>
  <c r="M87" i="3"/>
  <c r="M89" i="3"/>
  <c r="F91" i="4"/>
  <c r="M91" i="3"/>
  <c r="M101" i="3"/>
  <c r="M103" i="3"/>
  <c r="F105" i="4"/>
  <c r="N117" i="3"/>
  <c r="O117" i="3" s="1"/>
  <c r="F29" i="8"/>
  <c r="G29" i="8"/>
  <c r="M123" i="4"/>
  <c r="H29" i="8" s="1"/>
  <c r="F139" i="4"/>
  <c r="M135" i="3"/>
  <c r="M153" i="3"/>
  <c r="M164" i="3"/>
  <c r="G12" i="4"/>
  <c r="F585" i="8"/>
  <c r="G585" i="8"/>
  <c r="M16" i="4"/>
  <c r="H585" i="8" s="1"/>
  <c r="F59" i="4"/>
  <c r="F67" i="4"/>
  <c r="M86" i="4"/>
  <c r="H595" i="8" s="1"/>
  <c r="F116" i="4"/>
  <c r="F120" i="4"/>
  <c r="F1008" i="8"/>
  <c r="G1008" i="8"/>
  <c r="L172" i="4"/>
  <c r="L174" i="4"/>
  <c r="F1013" i="8"/>
  <c r="G1013" i="8"/>
  <c r="M186" i="4"/>
  <c r="H599" i="8" s="1"/>
  <c r="M193" i="4"/>
  <c r="H606" i="8" s="1"/>
  <c r="F611" i="8"/>
  <c r="G611" i="8"/>
  <c r="M198" i="4"/>
  <c r="H611" i="8" s="1"/>
  <c r="F623" i="8"/>
  <c r="G623" i="8"/>
  <c r="L210" i="4"/>
  <c r="M212" i="4"/>
  <c r="H625" i="8" s="1"/>
  <c r="L217" i="4"/>
  <c r="F637" i="8"/>
  <c r="G637" i="8"/>
  <c r="M224" i="4"/>
  <c r="H637" i="8" s="1"/>
  <c r="L224" i="4"/>
  <c r="F649" i="8"/>
  <c r="G649" i="8"/>
  <c r="L236" i="4"/>
  <c r="L238" i="4"/>
  <c r="F654" i="8"/>
  <c r="G654" i="8"/>
  <c r="M250" i="4"/>
  <c r="H663" i="8" s="1"/>
  <c r="M257" i="4"/>
  <c r="H670" i="8" s="1"/>
  <c r="F62" i="8"/>
  <c r="G62" i="8"/>
  <c r="M262" i="4"/>
  <c r="H62" i="8" s="1"/>
  <c r="F675" i="8"/>
  <c r="G675" i="8"/>
  <c r="L274" i="4"/>
  <c r="M276" i="4"/>
  <c r="H677" i="8" s="1"/>
  <c r="L281" i="4"/>
  <c r="F1028" i="8"/>
  <c r="G1028" i="8"/>
  <c r="M288" i="4"/>
  <c r="H1028" i="8" s="1"/>
  <c r="L288" i="4"/>
  <c r="M295" i="4"/>
  <c r="H685" i="8" s="1"/>
  <c r="F688" i="8"/>
  <c r="G688" i="8"/>
  <c r="M298" i="4"/>
  <c r="H688" i="8" s="1"/>
  <c r="L298" i="4"/>
  <c r="F1032" i="8"/>
  <c r="G1032" i="8"/>
  <c r="L314" i="4"/>
  <c r="F1054" i="8"/>
  <c r="G1054" i="8"/>
  <c r="M336" i="4"/>
  <c r="H1054" i="8" s="1"/>
  <c r="L336" i="4"/>
  <c r="F1062" i="8"/>
  <c r="G1062" i="8"/>
  <c r="L346" i="4"/>
  <c r="L351" i="4"/>
  <c r="L370" i="4"/>
  <c r="F1081" i="8"/>
  <c r="G1081" i="8"/>
  <c r="M379" i="4"/>
  <c r="H1081" i="8" s="1"/>
  <c r="L379" i="4"/>
  <c r="M382" i="4"/>
  <c r="H1084" i="8" s="1"/>
  <c r="L389" i="4"/>
  <c r="F1096" i="8"/>
  <c r="G1096" i="8"/>
  <c r="L394" i="4"/>
  <c r="L396" i="4"/>
  <c r="F1111" i="8"/>
  <c r="G1111" i="8"/>
  <c r="L409" i="4"/>
  <c r="M409" i="4"/>
  <c r="H1111" i="8" s="1"/>
  <c r="G82" i="8"/>
  <c r="F82" i="8"/>
  <c r="M432" i="4"/>
  <c r="H82" i="8" s="1"/>
  <c r="L432" i="4"/>
  <c r="G87" i="8"/>
  <c r="F87" i="8"/>
  <c r="M439" i="4"/>
  <c r="H89" i="8" s="1"/>
  <c r="F713" i="8"/>
  <c r="G713" i="8"/>
  <c r="M449" i="4"/>
  <c r="H713" i="8" s="1"/>
  <c r="L449" i="4"/>
  <c r="F725" i="8"/>
  <c r="G725" i="8"/>
  <c r="M461" i="4"/>
  <c r="H725" i="8" s="1"/>
  <c r="L463" i="4"/>
  <c r="F741" i="8"/>
  <c r="G741" i="8"/>
  <c r="L477" i="4"/>
  <c r="M479" i="4"/>
  <c r="H743" i="8" s="1"/>
  <c r="M495" i="4"/>
  <c r="H755" i="8" s="1"/>
  <c r="F1138" i="8"/>
  <c r="G1138" i="8"/>
  <c r="M509" i="4"/>
  <c r="H1138" i="8" s="1"/>
  <c r="L509" i="4"/>
  <c r="F772" i="8"/>
  <c r="G772" i="8"/>
  <c r="M524" i="4"/>
  <c r="H772" i="8" s="1"/>
  <c r="L524" i="4"/>
  <c r="M538" i="4"/>
  <c r="H107" i="8" s="1"/>
  <c r="G112" i="8"/>
  <c r="F112" i="8"/>
  <c r="M543" i="4"/>
  <c r="H112" i="8" s="1"/>
  <c r="L543" i="4"/>
  <c r="G115" i="8"/>
  <c r="F115" i="8"/>
  <c r="M550" i="4"/>
  <c r="H119" i="8" s="1"/>
  <c r="L560" i="4"/>
  <c r="F785" i="8"/>
  <c r="G785" i="8"/>
  <c r="L565" i="4"/>
  <c r="M570" i="4"/>
  <c r="H790" i="8" s="1"/>
  <c r="F795" i="8"/>
  <c r="G795" i="8"/>
  <c r="M575" i="4"/>
  <c r="H795" i="8" s="1"/>
  <c r="L575" i="4"/>
  <c r="F798" i="8"/>
  <c r="G798" i="8"/>
  <c r="M582" i="4"/>
  <c r="H802" i="8" s="1"/>
  <c r="L592" i="4"/>
  <c r="F1155" i="8"/>
  <c r="G1155" i="8"/>
  <c r="L597" i="4"/>
  <c r="M602" i="4"/>
  <c r="H1158" i="8" s="1"/>
  <c r="F1163" i="8"/>
  <c r="G1163" i="8"/>
  <c r="M607" i="4"/>
  <c r="H1163" i="8" s="1"/>
  <c r="L607" i="4"/>
  <c r="F1166" i="8"/>
  <c r="G1166" i="8"/>
  <c r="M614" i="4"/>
  <c r="H122" i="8" s="1"/>
  <c r="G1181" i="8"/>
  <c r="F1181" i="8"/>
  <c r="L626" i="4"/>
  <c r="G1186" i="8"/>
  <c r="F1186" i="8"/>
  <c r="M631" i="4"/>
  <c r="H1186" i="8" s="1"/>
  <c r="L631" i="4"/>
  <c r="G1193" i="8"/>
  <c r="F1193" i="8"/>
  <c r="M638" i="4"/>
  <c r="H1193" i="8" s="1"/>
  <c r="L638" i="4"/>
  <c r="F1200" i="8"/>
  <c r="G1200" i="8"/>
  <c r="M645" i="4"/>
  <c r="H1200" i="8" s="1"/>
  <c r="L645" i="4"/>
  <c r="G1210" i="8"/>
  <c r="F1210" i="8"/>
  <c r="M655" i="4"/>
  <c r="H1210" i="8" s="1"/>
  <c r="F814" i="8"/>
  <c r="G814" i="8"/>
  <c r="L669" i="4"/>
  <c r="G829" i="8"/>
  <c r="F829" i="8"/>
  <c r="L690" i="4"/>
  <c r="G140" i="8"/>
  <c r="F140" i="8"/>
  <c r="M695" i="4"/>
  <c r="H140" i="8" s="1"/>
  <c r="L695" i="4"/>
  <c r="G147" i="8"/>
  <c r="F147" i="8"/>
  <c r="M702" i="4"/>
  <c r="H147" i="8" s="1"/>
  <c r="L702" i="4"/>
  <c r="G154" i="8"/>
  <c r="F154" i="8"/>
  <c r="M709" i="4"/>
  <c r="H154" i="8" s="1"/>
  <c r="L709" i="4"/>
  <c r="G164" i="8"/>
  <c r="F164" i="8"/>
  <c r="M719" i="4"/>
  <c r="H164" i="8" s="1"/>
  <c r="G178" i="8"/>
  <c r="F178" i="8"/>
  <c r="L733" i="4"/>
  <c r="F207" i="8"/>
  <c r="G207" i="8"/>
  <c r="M762" i="4"/>
  <c r="H207" i="8" s="1"/>
  <c r="L762" i="4"/>
  <c r="F226" i="8"/>
  <c r="G226" i="8"/>
  <c r="M781" i="4"/>
  <c r="H226" i="8" s="1"/>
  <c r="L781" i="4"/>
  <c r="F231" i="8"/>
  <c r="G231" i="8"/>
  <c r="L786" i="4"/>
  <c r="G835" i="8"/>
  <c r="F835" i="8"/>
  <c r="L793" i="4"/>
  <c r="L872" i="4"/>
  <c r="G308" i="8"/>
  <c r="F308" i="8"/>
  <c r="M884" i="4"/>
  <c r="H308" i="8" s="1"/>
  <c r="L884" i="4"/>
  <c r="G1229" i="8"/>
  <c r="F1229" i="8"/>
  <c r="M898" i="4"/>
  <c r="H1229" i="8" s="1"/>
  <c r="L898" i="4"/>
  <c r="F332" i="8"/>
  <c r="G332" i="8"/>
  <c r="L987" i="4"/>
  <c r="M987" i="4"/>
  <c r="H332" i="8" s="1"/>
  <c r="G889" i="8"/>
  <c r="F889" i="8"/>
  <c r="M999" i="4"/>
  <c r="H889" i="8" s="1"/>
  <c r="L999" i="4"/>
  <c r="H81" i="4"/>
  <c r="J81" i="4" s="1"/>
  <c r="K81" i="4" s="1"/>
  <c r="N79" i="3"/>
  <c r="O79" i="3" s="1"/>
  <c r="F94" i="4"/>
  <c r="M92" i="3"/>
  <c r="H167" i="4"/>
  <c r="J167" i="4" s="1"/>
  <c r="K167" i="4" s="1"/>
  <c r="F638" i="8"/>
  <c r="G638" i="8"/>
  <c r="F640" i="8"/>
  <c r="M227" i="4"/>
  <c r="H640" i="8" s="1"/>
  <c r="L227" i="4"/>
  <c r="F659" i="8"/>
  <c r="G659" i="8"/>
  <c r="M246" i="4"/>
  <c r="H659" i="8" s="1"/>
  <c r="F671" i="8"/>
  <c r="G671" i="8"/>
  <c r="L258" i="4"/>
  <c r="F691" i="8"/>
  <c r="G691" i="8"/>
  <c r="M301" i="4"/>
  <c r="H691" i="8" s="1"/>
  <c r="F1040" i="8"/>
  <c r="G1040" i="8"/>
  <c r="M322" i="4"/>
  <c r="H1040" i="8" s="1"/>
  <c r="L322" i="4"/>
  <c r="F1077" i="8"/>
  <c r="G1077" i="8"/>
  <c r="L375" i="4"/>
  <c r="F1099" i="8"/>
  <c r="G1099" i="8"/>
  <c r="L397" i="4"/>
  <c r="F718" i="8"/>
  <c r="G718" i="8"/>
  <c r="L454" i="4"/>
  <c r="M454" i="4"/>
  <c r="H718" i="8" s="1"/>
  <c r="F1139" i="8"/>
  <c r="G1139" i="8"/>
  <c r="L510" i="4"/>
  <c r="M510" i="4"/>
  <c r="H1139" i="8" s="1"/>
  <c r="G110" i="8"/>
  <c r="F110" i="8"/>
  <c r="L541" i="4"/>
  <c r="G117" i="8"/>
  <c r="F117" i="8"/>
  <c r="M548" i="4"/>
  <c r="H117" i="8" s="1"/>
  <c r="L548" i="4"/>
  <c r="M27" i="3"/>
  <c r="N126" i="3"/>
  <c r="O126" i="3" s="1"/>
  <c r="M137" i="3"/>
  <c r="F141" i="4"/>
  <c r="F587" i="8"/>
  <c r="G587" i="8"/>
  <c r="L19" i="4"/>
  <c r="F1005" i="8"/>
  <c r="G1005" i="8"/>
  <c r="F1014" i="8"/>
  <c r="G1014" i="8"/>
  <c r="L178" i="4"/>
  <c r="F605" i="8"/>
  <c r="G605" i="8"/>
  <c r="M192" i="4"/>
  <c r="H605" i="8" s="1"/>
  <c r="L192" i="4"/>
  <c r="F622" i="8"/>
  <c r="G622" i="8"/>
  <c r="G68" i="8"/>
  <c r="F68" i="8"/>
  <c r="L268" i="4"/>
  <c r="F676" i="8"/>
  <c r="G676" i="8"/>
  <c r="M275" i="4"/>
  <c r="H676" i="8" s="1"/>
  <c r="L275" i="4"/>
  <c r="F1048" i="8"/>
  <c r="G1048" i="8"/>
  <c r="L330" i="4"/>
  <c r="F1063" i="8"/>
  <c r="G1063" i="8"/>
  <c r="L345" i="4"/>
  <c r="M345" i="4"/>
  <c r="H1063" i="8" s="1"/>
  <c r="F704" i="8"/>
  <c r="G704" i="8"/>
  <c r="M362" i="4"/>
  <c r="H704" i="8" s="1"/>
  <c r="L362" i="4"/>
  <c r="F1110" i="8"/>
  <c r="G1110" i="8"/>
  <c r="F195" i="8"/>
  <c r="G195" i="8"/>
  <c r="M750" i="4"/>
  <c r="H195" i="8" s="1"/>
  <c r="L750" i="4"/>
  <c r="F356" i="8"/>
  <c r="M1025" i="4"/>
  <c r="H356" i="8" s="1"/>
  <c r="L1025" i="4"/>
  <c r="G356" i="8"/>
  <c r="G640" i="8"/>
  <c r="F31" i="4"/>
  <c r="M31" i="3"/>
  <c r="M33" i="3"/>
  <c r="F36" i="4"/>
  <c r="M36" i="3"/>
  <c r="M38" i="3"/>
  <c r="M46" i="3"/>
  <c r="H68" i="4"/>
  <c r="J68" i="4" s="1"/>
  <c r="K68" i="4" s="1"/>
  <c r="N68" i="3"/>
  <c r="O68" i="3" s="1"/>
  <c r="M111" i="3"/>
  <c r="F126" i="4"/>
  <c r="M122" i="3"/>
  <c r="M124" i="3"/>
  <c r="M145" i="3"/>
  <c r="M156" i="3"/>
  <c r="M162" i="3"/>
  <c r="F166" i="4"/>
  <c r="M167" i="3"/>
  <c r="H40" i="4"/>
  <c r="J40" i="4" s="1"/>
  <c r="K40" i="4" s="1"/>
  <c r="F593" i="8"/>
  <c r="G593" i="8"/>
  <c r="M75" i="4"/>
  <c r="H593" i="8" s="1"/>
  <c r="F999" i="8"/>
  <c r="G999" i="8"/>
  <c r="L110" i="4"/>
  <c r="F1004" i="8"/>
  <c r="G1004" i="8"/>
  <c r="M124" i="4"/>
  <c r="H1004" i="8" s="1"/>
  <c r="H165" i="4"/>
  <c r="J165" i="4" s="1"/>
  <c r="K165" i="4" s="1"/>
  <c r="F597" i="8"/>
  <c r="G597" i="8"/>
  <c r="M184" i="4"/>
  <c r="H597" i="8" s="1"/>
  <c r="L184" i="4"/>
  <c r="F609" i="8"/>
  <c r="G609" i="8"/>
  <c r="L196" i="4"/>
  <c r="F614" i="8"/>
  <c r="G614" i="8"/>
  <c r="F616" i="8"/>
  <c r="G616" i="8"/>
  <c r="M203" i="4"/>
  <c r="H616" i="8" s="1"/>
  <c r="L203" i="4"/>
  <c r="M217" i="4"/>
  <c r="H630" i="8" s="1"/>
  <c r="F635" i="8"/>
  <c r="G635" i="8"/>
  <c r="M222" i="4"/>
  <c r="H635" i="8" s="1"/>
  <c r="F647" i="8"/>
  <c r="G647" i="8"/>
  <c r="L234" i="4"/>
  <c r="F661" i="8"/>
  <c r="G661" i="8"/>
  <c r="M248" i="4"/>
  <c r="H661" i="8" s="1"/>
  <c r="L248" i="4"/>
  <c r="F60" i="8"/>
  <c r="G60" i="8"/>
  <c r="L260" i="4"/>
  <c r="G65" i="8"/>
  <c r="F65" i="8"/>
  <c r="G67" i="8"/>
  <c r="F67" i="8"/>
  <c r="M267" i="4"/>
  <c r="H67" i="8" s="1"/>
  <c r="L267" i="4"/>
  <c r="M281" i="4"/>
  <c r="H1021" i="8" s="1"/>
  <c r="F1026" i="8"/>
  <c r="G1026" i="8"/>
  <c r="M286" i="4"/>
  <c r="H1026" i="8" s="1"/>
  <c r="F1035" i="8"/>
  <c r="G1035" i="8"/>
  <c r="M317" i="4"/>
  <c r="H1035" i="8" s="1"/>
  <c r="L317" i="4"/>
  <c r="F1047" i="8"/>
  <c r="G1047" i="8"/>
  <c r="L329" i="4"/>
  <c r="M329" i="4"/>
  <c r="H1047" i="8" s="1"/>
  <c r="F1052" i="8"/>
  <c r="G1052" i="8"/>
  <c r="M334" i="4"/>
  <c r="H1052" i="8" s="1"/>
  <c r="F1057" i="8"/>
  <c r="G1057" i="8"/>
  <c r="M339" i="4"/>
  <c r="H1057" i="8" s="1"/>
  <c r="F1059" i="8"/>
  <c r="G1059" i="8"/>
  <c r="M341" i="4"/>
  <c r="H1059" i="8" s="1"/>
  <c r="L341" i="4"/>
  <c r="F1067" i="8"/>
  <c r="G1067" i="8"/>
  <c r="L349" i="4"/>
  <c r="F698" i="8"/>
  <c r="G698" i="8"/>
  <c r="M356" i="4"/>
  <c r="H698" i="8" s="1"/>
  <c r="F1070" i="8"/>
  <c r="G1070" i="8"/>
  <c r="L368" i="4"/>
  <c r="F1074" i="8"/>
  <c r="G1074" i="8"/>
  <c r="M372" i="4"/>
  <c r="H1074" i="8" s="1"/>
  <c r="L372" i="4"/>
  <c r="F1079" i="8"/>
  <c r="G1079" i="8"/>
  <c r="L377" i="4"/>
  <c r="F1089" i="8"/>
  <c r="G1089" i="8"/>
  <c r="L387" i="4"/>
  <c r="M389" i="4"/>
  <c r="H1091" i="8" s="1"/>
  <c r="F1132" i="8"/>
  <c r="G1132" i="8"/>
  <c r="L430" i="4"/>
  <c r="F711" i="8"/>
  <c r="G711" i="8"/>
  <c r="M447" i="4"/>
  <c r="H711" i="8" s="1"/>
  <c r="L447" i="4"/>
  <c r="F732" i="8"/>
  <c r="G732" i="8"/>
  <c r="M468" i="4"/>
  <c r="H732" i="8" s="1"/>
  <c r="F753" i="8"/>
  <c r="G753" i="8"/>
  <c r="L493" i="4"/>
  <c r="F758" i="8"/>
  <c r="G758" i="8"/>
  <c r="M498" i="4"/>
  <c r="H758" i="8" s="1"/>
  <c r="L498" i="4"/>
  <c r="F763" i="8"/>
  <c r="G763" i="8"/>
  <c r="F770" i="8"/>
  <c r="G770" i="8"/>
  <c r="M522" i="4"/>
  <c r="H770" i="8" s="1"/>
  <c r="L522" i="4"/>
  <c r="G98" i="8"/>
  <c r="F98" i="8"/>
  <c r="M529" i="4"/>
  <c r="H98" i="8" s="1"/>
  <c r="L529" i="4"/>
  <c r="G105" i="8"/>
  <c r="F105" i="8"/>
  <c r="M536" i="4"/>
  <c r="H105" i="8" s="1"/>
  <c r="F778" i="8"/>
  <c r="G778" i="8"/>
  <c r="L558" i="4"/>
  <c r="F788" i="8"/>
  <c r="G788" i="8"/>
  <c r="M568" i="4"/>
  <c r="H788" i="8" s="1"/>
  <c r="F810" i="8"/>
  <c r="G810" i="8"/>
  <c r="L590" i="4"/>
  <c r="F812" i="8"/>
  <c r="G812" i="8"/>
  <c r="M600" i="4"/>
  <c r="H812" i="8" s="1"/>
  <c r="G1183" i="8"/>
  <c r="F1183" i="8"/>
  <c r="M628" i="4"/>
  <c r="H1183" i="8" s="1"/>
  <c r="L628" i="4"/>
  <c r="G1215" i="8"/>
  <c r="F1215" i="8"/>
  <c r="M660" i="4"/>
  <c r="H1215" i="8" s="1"/>
  <c r="L660" i="4"/>
  <c r="G819" i="8"/>
  <c r="F819" i="8"/>
  <c r="M674" i="4"/>
  <c r="H819" i="8" s="1"/>
  <c r="G821" i="8"/>
  <c r="F821" i="8"/>
  <c r="M676" i="4"/>
  <c r="H821" i="8" s="1"/>
  <c r="L676" i="4"/>
  <c r="G133" i="8"/>
  <c r="F133" i="8"/>
  <c r="M679" i="4"/>
  <c r="H133" i="8" s="1"/>
  <c r="L679" i="4"/>
  <c r="G137" i="8"/>
  <c r="F137" i="8"/>
  <c r="M692" i="4"/>
  <c r="H137" i="8" s="1"/>
  <c r="L692" i="4"/>
  <c r="G169" i="8"/>
  <c r="F169" i="8"/>
  <c r="M724" i="4"/>
  <c r="H169" i="8" s="1"/>
  <c r="L724" i="4"/>
  <c r="G183" i="8"/>
  <c r="F183" i="8"/>
  <c r="M738" i="4"/>
  <c r="H183" i="8" s="1"/>
  <c r="G185" i="8"/>
  <c r="F185" i="8"/>
  <c r="M740" i="4"/>
  <c r="H185" i="8" s="1"/>
  <c r="L740" i="4"/>
  <c r="G188" i="8"/>
  <c r="M743" i="4"/>
  <c r="H188" i="8" s="1"/>
  <c r="L743" i="4"/>
  <c r="F188" i="8"/>
  <c r="F202" i="8"/>
  <c r="G202" i="8"/>
  <c r="M757" i="4"/>
  <c r="H202" i="8" s="1"/>
  <c r="L757" i="4"/>
  <c r="F212" i="8"/>
  <c r="G212" i="8"/>
  <c r="L767" i="4"/>
  <c r="F219" i="8"/>
  <c r="G219" i="8"/>
  <c r="M774" i="4"/>
  <c r="H219" i="8" s="1"/>
  <c r="F221" i="8"/>
  <c r="G221" i="8"/>
  <c r="M776" i="4"/>
  <c r="H221" i="8" s="1"/>
  <c r="L776" i="4"/>
  <c r="F233" i="8"/>
  <c r="G233" i="8"/>
  <c r="M788" i="4"/>
  <c r="H233" i="8" s="1"/>
  <c r="L788" i="4"/>
  <c r="F238" i="8"/>
  <c r="G238" i="8"/>
  <c r="M812" i="4"/>
  <c r="H238" i="8" s="1"/>
  <c r="L812" i="4"/>
  <c r="G255" i="8"/>
  <c r="F255" i="8"/>
  <c r="M831" i="4"/>
  <c r="H255" i="8" s="1"/>
  <c r="L831" i="4"/>
  <c r="G272" i="8"/>
  <c r="F272" i="8"/>
  <c r="M848" i="4"/>
  <c r="H272" i="8" s="1"/>
  <c r="L848" i="4"/>
  <c r="G281" i="8"/>
  <c r="F281" i="8"/>
  <c r="L857" i="4"/>
  <c r="M857" i="4"/>
  <c r="H281" i="8" s="1"/>
  <c r="G306" i="8"/>
  <c r="F306" i="8"/>
  <c r="M882" i="4"/>
  <c r="H306" i="8" s="1"/>
  <c r="G1226" i="8"/>
  <c r="F1226" i="8"/>
  <c r="M895" i="4"/>
  <c r="H1226" i="8" s="1"/>
  <c r="L895" i="4"/>
  <c r="F1246" i="8"/>
  <c r="G1246" i="8"/>
  <c r="L915" i="4"/>
  <c r="M915" i="4"/>
  <c r="H1246" i="8" s="1"/>
  <c r="F850" i="8"/>
  <c r="G850" i="8"/>
  <c r="M930" i="4"/>
  <c r="H850" i="8" s="1"/>
  <c r="L930" i="4"/>
  <c r="G853" i="8"/>
  <c r="F853" i="8"/>
  <c r="M933" i="4"/>
  <c r="H853" i="8" s="1"/>
  <c r="G856" i="8"/>
  <c r="F856" i="8"/>
  <c r="M936" i="4"/>
  <c r="H856" i="8" s="1"/>
  <c r="G861" i="8"/>
  <c r="F861" i="8"/>
  <c r="M941" i="4"/>
  <c r="H861" i="8" s="1"/>
  <c r="L941" i="4"/>
  <c r="F316" i="8"/>
  <c r="M962" i="4"/>
  <c r="H316" i="8" s="1"/>
  <c r="L962" i="4"/>
  <c r="G316" i="8"/>
  <c r="F326" i="8"/>
  <c r="G326" i="8"/>
  <c r="M981" i="4"/>
  <c r="H326" i="8" s="1"/>
  <c r="L981" i="4"/>
  <c r="F684" i="8"/>
  <c r="G684" i="8"/>
  <c r="F689" i="8"/>
  <c r="G689" i="8"/>
  <c r="F700" i="8"/>
  <c r="G700" i="8"/>
  <c r="F705" i="8"/>
  <c r="G705" i="8"/>
  <c r="F712" i="8"/>
  <c r="G712" i="8"/>
  <c r="F734" i="8"/>
  <c r="G734" i="8"/>
  <c r="L470" i="4"/>
  <c r="F1141" i="8"/>
  <c r="G1141" i="8"/>
  <c r="M530" i="4"/>
  <c r="H99" i="8" s="1"/>
  <c r="G103" i="8"/>
  <c r="F103" i="8"/>
  <c r="L534" i="4"/>
  <c r="G1185" i="8"/>
  <c r="F1185" i="8"/>
  <c r="M630" i="4"/>
  <c r="H1185" i="8" s="1"/>
  <c r="L630" i="4"/>
  <c r="F1212" i="8"/>
  <c r="G1212" i="8"/>
  <c r="M657" i="4"/>
  <c r="H1212" i="8" s="1"/>
  <c r="L657" i="4"/>
  <c r="G123" i="8"/>
  <c r="F123" i="8"/>
  <c r="M677" i="4"/>
  <c r="H131" i="8" s="1"/>
  <c r="G139" i="8"/>
  <c r="F139" i="8"/>
  <c r="M694" i="4"/>
  <c r="H139" i="8" s="1"/>
  <c r="L694" i="4"/>
  <c r="G166" i="8"/>
  <c r="F166" i="8"/>
  <c r="M721" i="4"/>
  <c r="H166" i="8" s="1"/>
  <c r="L721" i="4"/>
  <c r="G170" i="8"/>
  <c r="F170" i="8"/>
  <c r="G191" i="8"/>
  <c r="F191" i="8"/>
  <c r="F199" i="8"/>
  <c r="G199" i="8"/>
  <c r="M754" i="4"/>
  <c r="H199" i="8" s="1"/>
  <c r="L754" i="4"/>
  <c r="F210" i="8"/>
  <c r="G210" i="8"/>
  <c r="F229" i="8"/>
  <c r="G229" i="8"/>
  <c r="G832" i="8"/>
  <c r="F832" i="8"/>
  <c r="M790" i="4"/>
  <c r="H832" i="8" s="1"/>
  <c r="L790" i="4"/>
  <c r="G849" i="8"/>
  <c r="F849" i="8"/>
  <c r="M807" i="4"/>
  <c r="H849" i="8" s="1"/>
  <c r="L807" i="4"/>
  <c r="G251" i="8"/>
  <c r="F251" i="8"/>
  <c r="L825" i="4"/>
  <c r="G276" i="8"/>
  <c r="F276" i="8"/>
  <c r="M852" i="4"/>
  <c r="H276" i="8" s="1"/>
  <c r="L852" i="4"/>
  <c r="G293" i="8"/>
  <c r="F293" i="8"/>
  <c r="M869" i="4"/>
  <c r="H293" i="8" s="1"/>
  <c r="L869" i="4"/>
  <c r="G1236" i="8"/>
  <c r="F1236" i="8"/>
  <c r="L905" i="4"/>
  <c r="G1241" i="8"/>
  <c r="F1241" i="8"/>
  <c r="M910" i="4"/>
  <c r="H1241" i="8" s="1"/>
  <c r="G1249" i="8"/>
  <c r="F1249" i="8"/>
  <c r="M918" i="4"/>
  <c r="H1249" i="8" s="1"/>
  <c r="L918" i="4"/>
  <c r="F858" i="8"/>
  <c r="G858" i="8"/>
  <c r="M938" i="4"/>
  <c r="H858" i="8" s="1"/>
  <c r="L938" i="4"/>
  <c r="G864" i="8"/>
  <c r="F864" i="8"/>
  <c r="M944" i="4"/>
  <c r="H864" i="8" s="1"/>
  <c r="L944" i="4"/>
  <c r="G873" i="8"/>
  <c r="F873" i="8"/>
  <c r="L953" i="4"/>
  <c r="M953" i="4"/>
  <c r="H873" i="8" s="1"/>
  <c r="G876" i="8"/>
  <c r="F876" i="8"/>
  <c r="M956" i="4"/>
  <c r="H876" i="8" s="1"/>
  <c r="L956" i="4"/>
  <c r="G313" i="8"/>
  <c r="F313" i="8"/>
  <c r="M959" i="4"/>
  <c r="H313" i="8" s="1"/>
  <c r="L959" i="4"/>
  <c r="F329" i="8"/>
  <c r="G329" i="8"/>
  <c r="L984" i="4"/>
  <c r="F370" i="8"/>
  <c r="G370" i="8"/>
  <c r="L1039" i="4"/>
  <c r="F443" i="8"/>
  <c r="G443" i="8"/>
  <c r="L1122" i="4"/>
  <c r="M1122" i="4"/>
  <c r="H443" i="8" s="1"/>
  <c r="F446" i="8"/>
  <c r="G446" i="8"/>
  <c r="M1125" i="4"/>
  <c r="H446" i="8" s="1"/>
  <c r="L1125" i="4"/>
  <c r="F451" i="8"/>
  <c r="M1131" i="4"/>
  <c r="H451" i="8" s="1"/>
  <c r="L1131" i="4"/>
  <c r="G451" i="8"/>
  <c r="G921" i="8"/>
  <c r="F921" i="8"/>
  <c r="L1223" i="4"/>
  <c r="M1223" i="4"/>
  <c r="H921" i="8" s="1"/>
  <c r="F950" i="8"/>
  <c r="G950" i="8"/>
  <c r="M1252" i="4"/>
  <c r="H950" i="8" s="1"/>
  <c r="L1252" i="4"/>
  <c r="F554" i="8"/>
  <c r="G554" i="8"/>
  <c r="L1319" i="4"/>
  <c r="M1319" i="4"/>
  <c r="H554" i="8" s="1"/>
  <c r="F131" i="8"/>
  <c r="F692" i="8"/>
  <c r="G692" i="8"/>
  <c r="F697" i="8"/>
  <c r="G697" i="8"/>
  <c r="F1116" i="8"/>
  <c r="G1116" i="8"/>
  <c r="L414" i="4"/>
  <c r="F720" i="8"/>
  <c r="G720" i="8"/>
  <c r="F742" i="8"/>
  <c r="G742" i="8"/>
  <c r="L478" i="4"/>
  <c r="F1149" i="8"/>
  <c r="G1149" i="8"/>
  <c r="F1188" i="8"/>
  <c r="G1188" i="8"/>
  <c r="M633" i="4"/>
  <c r="H1188" i="8" s="1"/>
  <c r="L633" i="4"/>
  <c r="F1192" i="8"/>
  <c r="G1192" i="8"/>
  <c r="F815" i="8"/>
  <c r="G815" i="8"/>
  <c r="M670" i="4"/>
  <c r="H815" i="8" s="1"/>
  <c r="L670" i="4"/>
  <c r="G142" i="8"/>
  <c r="F142" i="8"/>
  <c r="M697" i="4"/>
  <c r="H142" i="8" s="1"/>
  <c r="L697" i="4"/>
  <c r="G146" i="8"/>
  <c r="F146" i="8"/>
  <c r="G179" i="8"/>
  <c r="F179" i="8"/>
  <c r="M734" i="4"/>
  <c r="H179" i="8" s="1"/>
  <c r="L734" i="4"/>
  <c r="F200" i="8"/>
  <c r="G200" i="8"/>
  <c r="M755" i="4"/>
  <c r="H200" i="8" s="1"/>
  <c r="F833" i="8"/>
  <c r="G833" i="8"/>
  <c r="G252" i="8"/>
  <c r="F252" i="8"/>
  <c r="M826" i="4"/>
  <c r="H252" i="8" s="1"/>
  <c r="L826" i="4"/>
  <c r="G262" i="8"/>
  <c r="F262" i="8"/>
  <c r="G270" i="8"/>
  <c r="F270" i="8"/>
  <c r="M846" i="4"/>
  <c r="H270" i="8" s="1"/>
  <c r="G277" i="8"/>
  <c r="F277" i="8"/>
  <c r="G289" i="8"/>
  <c r="F289" i="8"/>
  <c r="L865" i="4"/>
  <c r="M865" i="4"/>
  <c r="H289" i="8" s="1"/>
  <c r="F1224" i="8"/>
  <c r="G1224" i="8"/>
  <c r="G1253" i="8"/>
  <c r="F1253" i="8"/>
  <c r="M922" i="4"/>
  <c r="H1253" i="8" s="1"/>
  <c r="L922" i="4"/>
  <c r="G892" i="8"/>
  <c r="F892" i="8"/>
  <c r="M1002" i="4"/>
  <c r="H892" i="8" s="1"/>
  <c r="L1002" i="4"/>
  <c r="G898" i="8"/>
  <c r="F898" i="8"/>
  <c r="M1008" i="4"/>
  <c r="H898" i="8" s="1"/>
  <c r="L1008" i="4"/>
  <c r="F348" i="8"/>
  <c r="G348" i="8"/>
  <c r="L1017" i="4"/>
  <c r="M1017" i="4"/>
  <c r="H348" i="8" s="1"/>
  <c r="F396" i="8"/>
  <c r="G396" i="8"/>
  <c r="M1065" i="4"/>
  <c r="H396" i="8" s="1"/>
  <c r="L1065" i="4"/>
  <c r="F430" i="8"/>
  <c r="G430" i="8"/>
  <c r="M1109" i="4"/>
  <c r="H430" i="8" s="1"/>
  <c r="L1109" i="4"/>
  <c r="G916" i="8"/>
  <c r="F916" i="8"/>
  <c r="M1165" i="4"/>
  <c r="H916" i="8" s="1"/>
  <c r="L1165" i="4"/>
  <c r="F487" i="8"/>
  <c r="G487" i="8"/>
  <c r="M1179" i="4"/>
  <c r="H487" i="8" s="1"/>
  <c r="L1179" i="4"/>
  <c r="F967" i="8"/>
  <c r="G967" i="8"/>
  <c r="L1287" i="4"/>
  <c r="M1287" i="4"/>
  <c r="H967" i="8" s="1"/>
  <c r="F1009" i="8"/>
  <c r="G1009" i="8"/>
  <c r="F1017" i="8"/>
  <c r="G1017" i="8"/>
  <c r="F602" i="8"/>
  <c r="G602" i="8"/>
  <c r="F610" i="8"/>
  <c r="G610" i="8"/>
  <c r="F618" i="8"/>
  <c r="G618" i="8"/>
  <c r="F626" i="8"/>
  <c r="G626" i="8"/>
  <c r="F634" i="8"/>
  <c r="G634" i="8"/>
  <c r="F642" i="8"/>
  <c r="G642" i="8"/>
  <c r="F650" i="8"/>
  <c r="G650" i="8"/>
  <c r="F658" i="8"/>
  <c r="G658" i="8"/>
  <c r="F666" i="8"/>
  <c r="G666" i="8"/>
  <c r="F61" i="8"/>
  <c r="G61" i="8"/>
  <c r="G69" i="8"/>
  <c r="F69" i="8"/>
  <c r="F678" i="8"/>
  <c r="G678" i="8"/>
  <c r="F1025" i="8"/>
  <c r="G1025" i="8"/>
  <c r="F683" i="8"/>
  <c r="G683" i="8"/>
  <c r="G74" i="8"/>
  <c r="F74" i="8"/>
  <c r="L305" i="4"/>
  <c r="G81" i="8"/>
  <c r="F81" i="8"/>
  <c r="F1037" i="8"/>
  <c r="G1037" i="8"/>
  <c r="F1042" i="8"/>
  <c r="G1042" i="8"/>
  <c r="M324" i="4"/>
  <c r="H1042" i="8" s="1"/>
  <c r="F1044" i="8"/>
  <c r="G1044" i="8"/>
  <c r="F1049" i="8"/>
  <c r="G1049" i="8"/>
  <c r="F1056" i="8"/>
  <c r="G1056" i="8"/>
  <c r="F699" i="8"/>
  <c r="G699" i="8"/>
  <c r="F1071" i="8"/>
  <c r="G1071" i="8"/>
  <c r="L369" i="4"/>
  <c r="F1078" i="8"/>
  <c r="G1078" i="8"/>
  <c r="F1085" i="8"/>
  <c r="G1085" i="8"/>
  <c r="F1090" i="8"/>
  <c r="G1090" i="8"/>
  <c r="M388" i="4"/>
  <c r="H1090" i="8" s="1"/>
  <c r="F1092" i="8"/>
  <c r="G1092" i="8"/>
  <c r="F1097" i="8"/>
  <c r="G1097" i="8"/>
  <c r="F1104" i="8"/>
  <c r="G1104" i="8"/>
  <c r="F1118" i="8"/>
  <c r="G1118" i="8"/>
  <c r="F1120" i="8"/>
  <c r="G1120" i="8"/>
  <c r="F1127" i="8"/>
  <c r="G1127" i="8"/>
  <c r="M425" i="4"/>
  <c r="H1127" i="8" s="1"/>
  <c r="L425" i="4"/>
  <c r="G86" i="8"/>
  <c r="M436" i="4"/>
  <c r="H86" i="8" s="1"/>
  <c r="G88" i="8"/>
  <c r="F88" i="8"/>
  <c r="L438" i="4"/>
  <c r="F733" i="8"/>
  <c r="G733" i="8"/>
  <c r="F735" i="8"/>
  <c r="G735" i="8"/>
  <c r="F744" i="8"/>
  <c r="G744" i="8"/>
  <c r="F1134" i="8"/>
  <c r="G1134" i="8"/>
  <c r="F749" i="8"/>
  <c r="G749" i="8"/>
  <c r="M489" i="4"/>
  <c r="H749" i="8" s="1"/>
  <c r="L489" i="4"/>
  <c r="F760" i="8"/>
  <c r="G760" i="8"/>
  <c r="M500" i="4"/>
  <c r="H760" i="8" s="1"/>
  <c r="F762" i="8"/>
  <c r="G762" i="8"/>
  <c r="L502" i="4"/>
  <c r="G102" i="8"/>
  <c r="F102" i="8"/>
  <c r="G104" i="8"/>
  <c r="F104" i="8"/>
  <c r="G1178" i="8"/>
  <c r="F1178" i="8"/>
  <c r="M623" i="4"/>
  <c r="H1178" i="8" s="1"/>
  <c r="F1180" i="8"/>
  <c r="G1180" i="8"/>
  <c r="M625" i="4"/>
  <c r="H1180" i="8" s="1"/>
  <c r="L625" i="4"/>
  <c r="F1184" i="8"/>
  <c r="G1184" i="8"/>
  <c r="G1205" i="8"/>
  <c r="F1205" i="8"/>
  <c r="G124" i="8"/>
  <c r="M662" i="4"/>
  <c r="H124" i="8" s="1"/>
  <c r="L662" i="4"/>
  <c r="F124" i="8"/>
  <c r="G130" i="8"/>
  <c r="F130" i="8"/>
  <c r="M668" i="4"/>
  <c r="H130" i="8" s="1"/>
  <c r="L668" i="4"/>
  <c r="F826" i="8"/>
  <c r="G826" i="8"/>
  <c r="M687" i="4"/>
  <c r="H826" i="8" s="1"/>
  <c r="G828" i="8"/>
  <c r="F828" i="8"/>
  <c r="M689" i="4"/>
  <c r="H828" i="8" s="1"/>
  <c r="L689" i="4"/>
  <c r="G138" i="8"/>
  <c r="F138" i="8"/>
  <c r="G159" i="8"/>
  <c r="F159" i="8"/>
  <c r="G171" i="8"/>
  <c r="F171" i="8"/>
  <c r="M726" i="4"/>
  <c r="H171" i="8" s="1"/>
  <c r="L726" i="4"/>
  <c r="G177" i="8"/>
  <c r="F177" i="8"/>
  <c r="M732" i="4"/>
  <c r="H177" i="8" s="1"/>
  <c r="L732" i="4"/>
  <c r="F205" i="8"/>
  <c r="G205" i="8"/>
  <c r="F217" i="8"/>
  <c r="M772" i="4"/>
  <c r="H217" i="8" s="1"/>
  <c r="G217" i="8"/>
  <c r="F230" i="8"/>
  <c r="G230" i="8"/>
  <c r="L785" i="4"/>
  <c r="M785" i="4"/>
  <c r="H230" i="8" s="1"/>
  <c r="G836" i="8"/>
  <c r="F836" i="8"/>
  <c r="M794" i="4"/>
  <c r="H836" i="8" s="1"/>
  <c r="L794" i="4"/>
  <c r="G848" i="8"/>
  <c r="F848" i="8"/>
  <c r="F240" i="8"/>
  <c r="G240" i="8"/>
  <c r="M814" i="4"/>
  <c r="H240" i="8" s="1"/>
  <c r="F242" i="8"/>
  <c r="G242" i="8"/>
  <c r="M816" i="4"/>
  <c r="H242" i="8" s="1"/>
  <c r="L816" i="4"/>
  <c r="F247" i="8"/>
  <c r="G247" i="8"/>
  <c r="G257" i="8"/>
  <c r="F257" i="8"/>
  <c r="L833" i="4"/>
  <c r="M833" i="4"/>
  <c r="H257" i="8" s="1"/>
  <c r="G268" i="8"/>
  <c r="F268" i="8"/>
  <c r="M844" i="4"/>
  <c r="H268" i="8" s="1"/>
  <c r="L844" i="4"/>
  <c r="G275" i="8"/>
  <c r="F275" i="8"/>
  <c r="G285" i="8"/>
  <c r="F285" i="8"/>
  <c r="M861" i="4"/>
  <c r="H285" i="8" s="1"/>
  <c r="G287" i="8"/>
  <c r="F287" i="8"/>
  <c r="M863" i="4"/>
  <c r="H287" i="8" s="1"/>
  <c r="L863" i="4"/>
  <c r="G310" i="8"/>
  <c r="F310" i="8"/>
  <c r="M886" i="4"/>
  <c r="H310" i="8" s="1"/>
  <c r="G1227" i="8"/>
  <c r="F1227" i="8"/>
  <c r="M896" i="4"/>
  <c r="H1227" i="8" s="1"/>
  <c r="G1251" i="8"/>
  <c r="F1251" i="8"/>
  <c r="G871" i="8"/>
  <c r="F871" i="8"/>
  <c r="M951" i="4"/>
  <c r="H871" i="8" s="1"/>
  <c r="L951" i="4"/>
  <c r="F317" i="8"/>
  <c r="G317" i="8"/>
  <c r="L963" i="4"/>
  <c r="M963" i="4"/>
  <c r="H317" i="8" s="1"/>
  <c r="F324" i="8"/>
  <c r="G324" i="8"/>
  <c r="L979" i="4"/>
  <c r="F327" i="8"/>
  <c r="G327" i="8"/>
  <c r="M982" i="4"/>
  <c r="H327" i="8" s="1"/>
  <c r="L982" i="4"/>
  <c r="F339" i="8"/>
  <c r="G339" i="8"/>
  <c r="M994" i="4"/>
  <c r="H339" i="8" s="1"/>
  <c r="L994" i="4"/>
  <c r="G887" i="8"/>
  <c r="F887" i="8"/>
  <c r="M997" i="4"/>
  <c r="H887" i="8" s="1"/>
  <c r="G890" i="8"/>
  <c r="F890" i="8"/>
  <c r="M1000" i="4"/>
  <c r="H890" i="8" s="1"/>
  <c r="G895" i="8"/>
  <c r="F895" i="8"/>
  <c r="M1005" i="4"/>
  <c r="H895" i="8" s="1"/>
  <c r="L1005" i="4"/>
  <c r="F352" i="8"/>
  <c r="G352" i="8"/>
  <c r="L1021" i="4"/>
  <c r="M1021" i="4"/>
  <c r="H352" i="8" s="1"/>
  <c r="F388" i="8"/>
  <c r="M1057" i="4"/>
  <c r="H388" i="8" s="1"/>
  <c r="G388" i="8"/>
  <c r="L1057" i="4"/>
  <c r="G903" i="8"/>
  <c r="F903" i="8"/>
  <c r="M1101" i="4"/>
  <c r="H903" i="8" s="1"/>
  <c r="L1101" i="4"/>
  <c r="F496" i="8"/>
  <c r="G496" i="8"/>
  <c r="M1188" i="4"/>
  <c r="H496" i="8" s="1"/>
  <c r="L1188" i="4"/>
  <c r="F514" i="8"/>
  <c r="G514" i="8"/>
  <c r="M1206" i="4"/>
  <c r="H514" i="8" s="1"/>
  <c r="L1206" i="4"/>
  <c r="F517" i="8"/>
  <c r="G517" i="8"/>
  <c r="M1209" i="4"/>
  <c r="H517" i="8" s="1"/>
  <c r="L1209" i="4"/>
  <c r="F531" i="8"/>
  <c r="G531" i="8"/>
  <c r="M1275" i="4"/>
  <c r="H531" i="8" s="1"/>
  <c r="L1275" i="4"/>
  <c r="F547" i="8"/>
  <c r="G547" i="8"/>
  <c r="M1302" i="4"/>
  <c r="H547" i="8" s="1"/>
  <c r="L1302" i="4"/>
  <c r="F550" i="8"/>
  <c r="M1305" i="4"/>
  <c r="H550" i="8" s="1"/>
  <c r="L1305" i="4"/>
  <c r="G550" i="8"/>
  <c r="L173" i="4"/>
  <c r="L181" i="4"/>
  <c r="L189" i="4"/>
  <c r="L197" i="4"/>
  <c r="L205" i="4"/>
  <c r="L213" i="4"/>
  <c r="L221" i="4"/>
  <c r="L229" i="4"/>
  <c r="L237" i="4"/>
  <c r="L245" i="4"/>
  <c r="L253" i="4"/>
  <c r="L261" i="4"/>
  <c r="L269" i="4"/>
  <c r="L277" i="4"/>
  <c r="L285" i="4"/>
  <c r="L293" i="4"/>
  <c r="G71" i="8"/>
  <c r="F71" i="8"/>
  <c r="M305" i="4"/>
  <c r="H74" i="8" s="1"/>
  <c r="G76" i="8"/>
  <c r="F76" i="8"/>
  <c r="L312" i="4"/>
  <c r="L319" i="4"/>
  <c r="L324" i="4"/>
  <c r="L326" i="4"/>
  <c r="L331" i="4"/>
  <c r="L338" i="4"/>
  <c r="M350" i="4"/>
  <c r="H692" i="8" s="1"/>
  <c r="M355" i="4"/>
  <c r="H697" i="8" s="1"/>
  <c r="L357" i="4"/>
  <c r="F1068" i="8"/>
  <c r="G1068" i="8"/>
  <c r="M369" i="4"/>
  <c r="H1071" i="8" s="1"/>
  <c r="F1073" i="8"/>
  <c r="G1073" i="8"/>
  <c r="L376" i="4"/>
  <c r="L383" i="4"/>
  <c r="L388" i="4"/>
  <c r="L390" i="4"/>
  <c r="L395" i="4"/>
  <c r="L402" i="4"/>
  <c r="L416" i="4"/>
  <c r="L418" i="4"/>
  <c r="L436" i="4"/>
  <c r="M438" i="4"/>
  <c r="H88" i="8" s="1"/>
  <c r="G90" i="8"/>
  <c r="F90" i="8"/>
  <c r="M456" i="4"/>
  <c r="H720" i="8" s="1"/>
  <c r="F726" i="8"/>
  <c r="G726" i="8"/>
  <c r="L462" i="4"/>
  <c r="L469" i="4"/>
  <c r="L471" i="4"/>
  <c r="L480" i="4"/>
  <c r="L482" i="4"/>
  <c r="L500" i="4"/>
  <c r="M502" i="4"/>
  <c r="H762" i="8" s="1"/>
  <c r="F764" i="8"/>
  <c r="G764" i="8"/>
  <c r="M520" i="4"/>
  <c r="H1149" i="8" s="1"/>
  <c r="G95" i="8"/>
  <c r="F95" i="8"/>
  <c r="L526" i="4"/>
  <c r="L533" i="4"/>
  <c r="L535" i="4"/>
  <c r="G106" i="8"/>
  <c r="F106" i="8"/>
  <c r="M537" i="4"/>
  <c r="H106" i="8" s="1"/>
  <c r="L537" i="4"/>
  <c r="G114" i="8"/>
  <c r="F114" i="8"/>
  <c r="M545" i="4"/>
  <c r="H114" i="8" s="1"/>
  <c r="L545" i="4"/>
  <c r="F773" i="8"/>
  <c r="G773" i="8"/>
  <c r="M553" i="4"/>
  <c r="H773" i="8" s="1"/>
  <c r="L553" i="4"/>
  <c r="F781" i="8"/>
  <c r="G781" i="8"/>
  <c r="M561" i="4"/>
  <c r="H781" i="8" s="1"/>
  <c r="L561" i="4"/>
  <c r="F789" i="8"/>
  <c r="G789" i="8"/>
  <c r="M569" i="4"/>
  <c r="H789" i="8" s="1"/>
  <c r="L569" i="4"/>
  <c r="F797" i="8"/>
  <c r="G797" i="8"/>
  <c r="M577" i="4"/>
  <c r="H797" i="8" s="1"/>
  <c r="L577" i="4"/>
  <c r="F805" i="8"/>
  <c r="G805" i="8"/>
  <c r="M585" i="4"/>
  <c r="H805" i="8" s="1"/>
  <c r="L585" i="4"/>
  <c r="F1151" i="8"/>
  <c r="G1151" i="8"/>
  <c r="M593" i="4"/>
  <c r="H1151" i="8" s="1"/>
  <c r="L593" i="4"/>
  <c r="F813" i="8"/>
  <c r="G813" i="8"/>
  <c r="M601" i="4"/>
  <c r="H813" i="8" s="1"/>
  <c r="L601" i="4"/>
  <c r="F1165" i="8"/>
  <c r="G1165" i="8"/>
  <c r="M609" i="4"/>
  <c r="H1165" i="8" s="1"/>
  <c r="L609" i="4"/>
  <c r="G1172" i="8"/>
  <c r="F1172" i="8"/>
  <c r="M617" i="4"/>
  <c r="H1172" i="8" s="1"/>
  <c r="L617" i="4"/>
  <c r="F1176" i="8"/>
  <c r="G1176" i="8"/>
  <c r="L623" i="4"/>
  <c r="L629" i="4"/>
  <c r="M637" i="4"/>
  <c r="H1192" i="8" s="1"/>
  <c r="L650" i="4"/>
  <c r="G1209" i="8"/>
  <c r="F1209" i="8"/>
  <c r="M654" i="4"/>
  <c r="H1209" i="8" s="1"/>
  <c r="L654" i="4"/>
  <c r="G135" i="8"/>
  <c r="F135" i="8"/>
  <c r="M681" i="4"/>
  <c r="H135" i="8" s="1"/>
  <c r="L681" i="4"/>
  <c r="G824" i="8"/>
  <c r="F824" i="8"/>
  <c r="L687" i="4"/>
  <c r="L693" i="4"/>
  <c r="M701" i="4"/>
  <c r="H146" i="8" s="1"/>
  <c r="L714" i="4"/>
  <c r="G163" i="8"/>
  <c r="M718" i="4"/>
  <c r="H163" i="8" s="1"/>
  <c r="L718" i="4"/>
  <c r="F163" i="8"/>
  <c r="G190" i="8"/>
  <c r="L745" i="4"/>
  <c r="M745" i="4"/>
  <c r="H190" i="8" s="1"/>
  <c r="F190" i="8"/>
  <c r="L760" i="4"/>
  <c r="F209" i="8"/>
  <c r="M764" i="4"/>
  <c r="H209" i="8" s="1"/>
  <c r="G209" i="8"/>
  <c r="L764" i="4"/>
  <c r="L772" i="4"/>
  <c r="L779" i="4"/>
  <c r="M791" i="4"/>
  <c r="H833" i="8" s="1"/>
  <c r="G843" i="8"/>
  <c r="F843" i="8"/>
  <c r="L801" i="4"/>
  <c r="M801" i="4"/>
  <c r="H843" i="8" s="1"/>
  <c r="L806" i="4"/>
  <c r="L814" i="4"/>
  <c r="F245" i="8"/>
  <c r="G245" i="8"/>
  <c r="L821" i="4"/>
  <c r="M838" i="4"/>
  <c r="H262" i="8" s="1"/>
  <c r="L851" i="4"/>
  <c r="M853" i="4"/>
  <c r="H277" i="8" s="1"/>
  <c r="G280" i="8"/>
  <c r="F280" i="8"/>
  <c r="M856" i="4"/>
  <c r="H280" i="8" s="1"/>
  <c r="L856" i="4"/>
  <c r="G283" i="8"/>
  <c r="F283" i="8"/>
  <c r="M859" i="4"/>
  <c r="H283" i="8" s="1"/>
  <c r="L861" i="4"/>
  <c r="L886" i="4"/>
  <c r="F1220" i="8"/>
  <c r="G1220" i="8"/>
  <c r="L889" i="4"/>
  <c r="F1222" i="8"/>
  <c r="G1222" i="8"/>
  <c r="L891" i="4"/>
  <c r="M893" i="4"/>
  <c r="H1224" i="8" s="1"/>
  <c r="L896" i="4"/>
  <c r="F1248" i="8"/>
  <c r="G1248" i="8"/>
  <c r="M917" i="4"/>
  <c r="H1248" i="8" s="1"/>
  <c r="L920" i="4"/>
  <c r="G882" i="8"/>
  <c r="F882" i="8"/>
  <c r="L969" i="4"/>
  <c r="F319" i="8"/>
  <c r="G319" i="8"/>
  <c r="M974" i="4"/>
  <c r="H319" i="8" s="1"/>
  <c r="M979" i="4"/>
  <c r="H324" i="8" s="1"/>
  <c r="L997" i="4"/>
  <c r="L1000" i="4"/>
  <c r="F349" i="8"/>
  <c r="G349" i="8"/>
  <c r="M1018" i="4"/>
  <c r="H349" i="8" s="1"/>
  <c r="L1018" i="4"/>
  <c r="F377" i="8"/>
  <c r="G377" i="8"/>
  <c r="L1046" i="4"/>
  <c r="M1046" i="4"/>
  <c r="H377" i="8" s="1"/>
  <c r="F380" i="8"/>
  <c r="G380" i="8"/>
  <c r="M1049" i="4"/>
  <c r="H380" i="8" s="1"/>
  <c r="L1049" i="4"/>
  <c r="F408" i="8"/>
  <c r="G408" i="8"/>
  <c r="M1077" i="4"/>
  <c r="H408" i="8" s="1"/>
  <c r="L1077" i="4"/>
  <c r="F467" i="8"/>
  <c r="G467" i="8"/>
  <c r="M1147" i="4"/>
  <c r="H467" i="8" s="1"/>
  <c r="L1147" i="4"/>
  <c r="F470" i="8"/>
  <c r="G470" i="8"/>
  <c r="M1150" i="4"/>
  <c r="H470" i="8" s="1"/>
  <c r="L1150" i="4"/>
  <c r="G917" i="8"/>
  <c r="F917" i="8"/>
  <c r="M1166" i="4"/>
  <c r="H917" i="8" s="1"/>
  <c r="L1166" i="4"/>
  <c r="F540" i="8"/>
  <c r="G540" i="8"/>
  <c r="M1284" i="4"/>
  <c r="H540" i="8" s="1"/>
  <c r="L1284" i="4"/>
  <c r="F86" i="8"/>
  <c r="F592" i="8"/>
  <c r="G592" i="8"/>
  <c r="F1003" i="8"/>
  <c r="G1003" i="8"/>
  <c r="M173" i="4"/>
  <c r="H1009" i="8" s="1"/>
  <c r="F1011" i="8"/>
  <c r="G1011" i="8"/>
  <c r="M181" i="4"/>
  <c r="H1017" i="8" s="1"/>
  <c r="F596" i="8"/>
  <c r="G596" i="8"/>
  <c r="M189" i="4"/>
  <c r="H602" i="8" s="1"/>
  <c r="F604" i="8"/>
  <c r="G604" i="8"/>
  <c r="M197" i="4"/>
  <c r="H610" i="8" s="1"/>
  <c r="F612" i="8"/>
  <c r="G612" i="8"/>
  <c r="M205" i="4"/>
  <c r="H618" i="8" s="1"/>
  <c r="F620" i="8"/>
  <c r="G620" i="8"/>
  <c r="M213" i="4"/>
  <c r="H626" i="8" s="1"/>
  <c r="F628" i="8"/>
  <c r="G628" i="8"/>
  <c r="M221" i="4"/>
  <c r="H634" i="8" s="1"/>
  <c r="F636" i="8"/>
  <c r="G636" i="8"/>
  <c r="M229" i="4"/>
  <c r="H642" i="8" s="1"/>
  <c r="F644" i="8"/>
  <c r="G644" i="8"/>
  <c r="M237" i="4"/>
  <c r="H650" i="8" s="1"/>
  <c r="F652" i="8"/>
  <c r="G652" i="8"/>
  <c r="M245" i="4"/>
  <c r="H658" i="8" s="1"/>
  <c r="F660" i="8"/>
  <c r="G660" i="8"/>
  <c r="M253" i="4"/>
  <c r="H666" i="8" s="1"/>
  <c r="F668" i="8"/>
  <c r="G668" i="8"/>
  <c r="M261" i="4"/>
  <c r="H61" i="8" s="1"/>
  <c r="G63" i="8"/>
  <c r="F63" i="8"/>
  <c r="M269" i="4"/>
  <c r="H69" i="8" s="1"/>
  <c r="F1019" i="8"/>
  <c r="G1019" i="8"/>
  <c r="M277" i="4"/>
  <c r="H678" i="8" s="1"/>
  <c r="F680" i="8"/>
  <c r="G680" i="8"/>
  <c r="M285" i="4"/>
  <c r="H1025" i="8" s="1"/>
  <c r="F1027" i="8"/>
  <c r="G1027" i="8"/>
  <c r="M293" i="4"/>
  <c r="H683" i="8" s="1"/>
  <c r="G78" i="8"/>
  <c r="F78" i="8"/>
  <c r="M312" i="4"/>
  <c r="H81" i="8" s="1"/>
  <c r="M319" i="4"/>
  <c r="H1037" i="8" s="1"/>
  <c r="F1039" i="8"/>
  <c r="G1039" i="8"/>
  <c r="L321" i="4"/>
  <c r="M326" i="4"/>
  <c r="H1044" i="8" s="1"/>
  <c r="F1046" i="8"/>
  <c r="G1046" i="8"/>
  <c r="M331" i="4"/>
  <c r="H1049" i="8" s="1"/>
  <c r="F1053" i="8"/>
  <c r="G1053" i="8"/>
  <c r="M338" i="4"/>
  <c r="H1056" i="8" s="1"/>
  <c r="F1058" i="8"/>
  <c r="G1058" i="8"/>
  <c r="M340" i="4"/>
  <c r="H1058" i="8" s="1"/>
  <c r="F1060" i="8"/>
  <c r="G1060" i="8"/>
  <c r="F1065" i="8"/>
  <c r="G1065" i="8"/>
  <c r="F696" i="8"/>
  <c r="G696" i="8"/>
  <c r="M357" i="4"/>
  <c r="H699" i="8" s="1"/>
  <c r="F1075" i="8"/>
  <c r="G1075" i="8"/>
  <c r="M376" i="4"/>
  <c r="H1078" i="8" s="1"/>
  <c r="M383" i="4"/>
  <c r="H1085" i="8" s="1"/>
  <c r="F1087" i="8"/>
  <c r="G1087" i="8"/>
  <c r="L385" i="4"/>
  <c r="M390" i="4"/>
  <c r="H1092" i="8" s="1"/>
  <c r="F1094" i="8"/>
  <c r="G1094" i="8"/>
  <c r="M395" i="4"/>
  <c r="H1097" i="8" s="1"/>
  <c r="F1101" i="8"/>
  <c r="G1101" i="8"/>
  <c r="M402" i="4"/>
  <c r="H1104" i="8" s="1"/>
  <c r="F1106" i="8"/>
  <c r="G1106" i="8"/>
  <c r="M404" i="4"/>
  <c r="H1106" i="8" s="1"/>
  <c r="F1108" i="8"/>
  <c r="G1108" i="8"/>
  <c r="F1113" i="8"/>
  <c r="G1113" i="8"/>
  <c r="M416" i="4"/>
  <c r="H1118" i="8" s="1"/>
  <c r="M418" i="4"/>
  <c r="H1120" i="8" s="1"/>
  <c r="F1122" i="8"/>
  <c r="G1122" i="8"/>
  <c r="M420" i="4"/>
  <c r="H1122" i="8" s="1"/>
  <c r="F1124" i="8"/>
  <c r="G1124" i="8"/>
  <c r="L422" i="4"/>
  <c r="F717" i="8"/>
  <c r="G717" i="8"/>
  <c r="F719" i="8"/>
  <c r="G719" i="8"/>
  <c r="F728" i="8"/>
  <c r="G728" i="8"/>
  <c r="F730" i="8"/>
  <c r="G730" i="8"/>
  <c r="M469" i="4"/>
  <c r="H733" i="8" s="1"/>
  <c r="M471" i="4"/>
  <c r="H735" i="8" s="1"/>
  <c r="F737" i="8"/>
  <c r="G737" i="8"/>
  <c r="M473" i="4"/>
  <c r="H737" i="8" s="1"/>
  <c r="L473" i="4"/>
  <c r="M480" i="4"/>
  <c r="H744" i="8" s="1"/>
  <c r="M482" i="4"/>
  <c r="H1134" i="8" s="1"/>
  <c r="F1136" i="8"/>
  <c r="G1136" i="8"/>
  <c r="M484" i="4"/>
  <c r="H1136" i="8" s="1"/>
  <c r="F746" i="8"/>
  <c r="G746" i="8"/>
  <c r="L486" i="4"/>
  <c r="F1146" i="8"/>
  <c r="G1146" i="8"/>
  <c r="F1148" i="8"/>
  <c r="G1148" i="8"/>
  <c r="G97" i="8"/>
  <c r="F97" i="8"/>
  <c r="M533" i="4"/>
  <c r="H102" i="8" s="1"/>
  <c r="M535" i="4"/>
  <c r="H104" i="8" s="1"/>
  <c r="M629" i="4"/>
  <c r="H1184" i="8" s="1"/>
  <c r="G1189" i="8"/>
  <c r="F1189" i="8"/>
  <c r="G1201" i="8"/>
  <c r="F1201" i="8"/>
  <c r="M646" i="4"/>
  <c r="H1201" i="8" s="1"/>
  <c r="L646" i="4"/>
  <c r="M650" i="4"/>
  <c r="H1205" i="8" s="1"/>
  <c r="G1207" i="8"/>
  <c r="F1207" i="8"/>
  <c r="M652" i="4"/>
  <c r="H1207" i="8" s="1"/>
  <c r="L652" i="4"/>
  <c r="F816" i="8"/>
  <c r="G816" i="8"/>
  <c r="M671" i="4"/>
  <c r="H816" i="8" s="1"/>
  <c r="F818" i="8"/>
  <c r="G818" i="8"/>
  <c r="M673" i="4"/>
  <c r="H818" i="8" s="1"/>
  <c r="L673" i="4"/>
  <c r="M693" i="4"/>
  <c r="H138" i="8" s="1"/>
  <c r="G143" i="8"/>
  <c r="F143" i="8"/>
  <c r="G155" i="8"/>
  <c r="F155" i="8"/>
  <c r="M710" i="4"/>
  <c r="H155" i="8" s="1"/>
  <c r="L710" i="4"/>
  <c r="M714" i="4"/>
  <c r="H159" i="8" s="1"/>
  <c r="G161" i="8"/>
  <c r="F161" i="8"/>
  <c r="M716" i="4"/>
  <c r="H161" i="8" s="1"/>
  <c r="L716" i="4"/>
  <c r="G180" i="8"/>
  <c r="F180" i="8"/>
  <c r="M735" i="4"/>
  <c r="H180" i="8" s="1"/>
  <c r="G182" i="8"/>
  <c r="M737" i="4"/>
  <c r="H182" i="8" s="1"/>
  <c r="L737" i="4"/>
  <c r="G186" i="8"/>
  <c r="F186" i="8"/>
  <c r="M760" i="4"/>
  <c r="H205" i="8" s="1"/>
  <c r="F222" i="8"/>
  <c r="G222" i="8"/>
  <c r="L777" i="4"/>
  <c r="M779" i="4"/>
  <c r="H224" i="8" s="1"/>
  <c r="G839" i="8"/>
  <c r="F839" i="8"/>
  <c r="M797" i="4"/>
  <c r="H839" i="8" s="1"/>
  <c r="F841" i="8"/>
  <c r="G841" i="8"/>
  <c r="M799" i="4"/>
  <c r="H841" i="8" s="1"/>
  <c r="L799" i="4"/>
  <c r="M806" i="4"/>
  <c r="H848" i="8" s="1"/>
  <c r="M821" i="4"/>
  <c r="H247" i="8" s="1"/>
  <c r="G250" i="8"/>
  <c r="F250" i="8"/>
  <c r="M824" i="4"/>
  <c r="H250" i="8" s="1"/>
  <c r="L824" i="4"/>
  <c r="F1216" i="8"/>
  <c r="G1216" i="8"/>
  <c r="M827" i="4"/>
  <c r="H1216" i="8" s="1"/>
  <c r="M851" i="4"/>
  <c r="H275" i="8" s="1"/>
  <c r="G292" i="8"/>
  <c r="F292" i="8"/>
  <c r="M868" i="4"/>
  <c r="H292" i="8" s="1"/>
  <c r="L868" i="4"/>
  <c r="G295" i="8"/>
  <c r="F295" i="8"/>
  <c r="M871" i="4"/>
  <c r="H295" i="8" s="1"/>
  <c r="L871" i="4"/>
  <c r="G1254" i="8"/>
  <c r="F1254" i="8"/>
  <c r="L923" i="4"/>
  <c r="M923" i="4"/>
  <c r="H1254" i="8" s="1"/>
  <c r="G860" i="8"/>
  <c r="F860" i="8"/>
  <c r="M940" i="4"/>
  <c r="H860" i="8" s="1"/>
  <c r="L940" i="4"/>
  <c r="G866" i="8"/>
  <c r="F866" i="8"/>
  <c r="M946" i="4"/>
  <c r="H866" i="8" s="1"/>
  <c r="L946" i="4"/>
  <c r="G312" i="8"/>
  <c r="F312" i="8"/>
  <c r="M958" i="4"/>
  <c r="H312" i="8" s="1"/>
  <c r="L958" i="4"/>
  <c r="G877" i="8"/>
  <c r="F877" i="8"/>
  <c r="M964" i="4"/>
  <c r="H877" i="8" s="1"/>
  <c r="L964" i="4"/>
  <c r="F322" i="8"/>
  <c r="G322" i="8"/>
  <c r="L977" i="4"/>
  <c r="M977" i="4"/>
  <c r="H322" i="8" s="1"/>
  <c r="F331" i="8"/>
  <c r="G331" i="8"/>
  <c r="M986" i="4"/>
  <c r="H331" i="8" s="1"/>
  <c r="L986" i="4"/>
  <c r="F372" i="8"/>
  <c r="G372" i="8"/>
  <c r="M1041" i="4"/>
  <c r="H372" i="8" s="1"/>
  <c r="L1041" i="4"/>
  <c r="F406" i="8"/>
  <c r="G406" i="8"/>
  <c r="M1075" i="4"/>
  <c r="H406" i="8" s="1"/>
  <c r="L1075" i="4"/>
  <c r="G1262" i="8"/>
  <c r="F1262" i="8"/>
  <c r="M1158" i="4"/>
  <c r="H1262" i="8" s="1"/>
  <c r="L1158" i="4"/>
  <c r="G912" i="8"/>
  <c r="F912" i="8"/>
  <c r="M1161" i="4"/>
  <c r="H912" i="8" s="1"/>
  <c r="L1161" i="4"/>
  <c r="F482" i="8"/>
  <c r="G482" i="8"/>
  <c r="M1174" i="4"/>
  <c r="H482" i="8" s="1"/>
  <c r="L1174" i="4"/>
  <c r="F485" i="8"/>
  <c r="G485" i="8"/>
  <c r="M1177" i="4"/>
  <c r="H485" i="8" s="1"/>
  <c r="L1177" i="4"/>
  <c r="F953" i="8"/>
  <c r="G953" i="8"/>
  <c r="L1255" i="4"/>
  <c r="M1255" i="4"/>
  <c r="H953" i="8" s="1"/>
  <c r="F182" i="8"/>
  <c r="G1256" i="8"/>
  <c r="F1256" i="8"/>
  <c r="M925" i="4"/>
  <c r="H1256" i="8" s="1"/>
  <c r="G1259" i="8"/>
  <c r="F1259" i="8"/>
  <c r="G863" i="8"/>
  <c r="F863" i="8"/>
  <c r="M943" i="4"/>
  <c r="H863" i="8" s="1"/>
  <c r="L943" i="4"/>
  <c r="G868" i="8"/>
  <c r="F868" i="8"/>
  <c r="M948" i="4"/>
  <c r="H868" i="8" s="1"/>
  <c r="L948" i="4"/>
  <c r="F315" i="8"/>
  <c r="G315" i="8"/>
  <c r="L961" i="4"/>
  <c r="G879" i="8"/>
  <c r="F879" i="8"/>
  <c r="M966" i="4"/>
  <c r="H879" i="8" s="1"/>
  <c r="G884" i="8"/>
  <c r="F884" i="8"/>
  <c r="L971" i="4"/>
  <c r="F334" i="8"/>
  <c r="G334" i="8"/>
  <c r="M989" i="4"/>
  <c r="H334" i="8" s="1"/>
  <c r="F337" i="8"/>
  <c r="G337" i="8"/>
  <c r="G897" i="8"/>
  <c r="F897" i="8"/>
  <c r="M1007" i="4"/>
  <c r="H897" i="8" s="1"/>
  <c r="L1007" i="4"/>
  <c r="F343" i="8"/>
  <c r="G343" i="8"/>
  <c r="M1012" i="4"/>
  <c r="H343" i="8" s="1"/>
  <c r="L1012" i="4"/>
  <c r="F351" i="8"/>
  <c r="G351" i="8"/>
  <c r="M1020" i="4"/>
  <c r="H351" i="8" s="1"/>
  <c r="L1020" i="4"/>
  <c r="F354" i="8"/>
  <c r="G354" i="8"/>
  <c r="M1023" i="4"/>
  <c r="H354" i="8" s="1"/>
  <c r="F359" i="8"/>
  <c r="G359" i="8"/>
  <c r="M1028" i="4"/>
  <c r="H359" i="8" s="1"/>
  <c r="F362" i="8"/>
  <c r="G362" i="8"/>
  <c r="M1031" i="4"/>
  <c r="H362" i="8" s="1"/>
  <c r="L1031" i="4"/>
  <c r="F383" i="8"/>
  <c r="G383" i="8"/>
  <c r="M1052" i="4"/>
  <c r="H383" i="8" s="1"/>
  <c r="F399" i="8"/>
  <c r="G399" i="8"/>
  <c r="L1068" i="4"/>
  <c r="F402" i="8"/>
  <c r="G402" i="8"/>
  <c r="M1071" i="4"/>
  <c r="H402" i="8" s="1"/>
  <c r="L1071" i="4"/>
  <c r="F405" i="8"/>
  <c r="G405" i="8"/>
  <c r="L1074" i="4"/>
  <c r="M1074" i="4"/>
  <c r="H405" i="8" s="1"/>
  <c r="F493" i="8"/>
  <c r="G493" i="8"/>
  <c r="M1185" i="4"/>
  <c r="H493" i="8" s="1"/>
  <c r="L1185" i="4"/>
  <c r="G1264" i="8"/>
  <c r="F1264" i="8"/>
  <c r="M1217" i="4"/>
  <c r="H1264" i="8" s="1"/>
  <c r="L1217" i="4"/>
  <c r="F947" i="8"/>
  <c r="G947" i="8"/>
  <c r="M1249" i="4"/>
  <c r="H947" i="8" s="1"/>
  <c r="L1249" i="4"/>
  <c r="F537" i="8"/>
  <c r="G537" i="8"/>
  <c r="M1281" i="4"/>
  <c r="H537" i="8" s="1"/>
  <c r="L1281" i="4"/>
  <c r="F984" i="8"/>
  <c r="G984" i="8"/>
  <c r="M1313" i="4"/>
  <c r="H984" i="8" s="1"/>
  <c r="L1313" i="4"/>
  <c r="G216" i="8"/>
  <c r="F211" i="8"/>
  <c r="G211" i="8"/>
  <c r="G845" i="8"/>
  <c r="F845" i="8"/>
  <c r="F248" i="8"/>
  <c r="G248" i="8"/>
  <c r="G259" i="8"/>
  <c r="F259" i="8"/>
  <c r="G278" i="8"/>
  <c r="F278" i="8"/>
  <c r="G291" i="8"/>
  <c r="F291" i="8"/>
  <c r="G309" i="8"/>
  <c r="F309" i="8"/>
  <c r="G1225" i="8"/>
  <c r="F1225" i="8"/>
  <c r="M894" i="4"/>
  <c r="H1225" i="8" s="1"/>
  <c r="F1232" i="8"/>
  <c r="G1232" i="8"/>
  <c r="G1239" i="8"/>
  <c r="F1239" i="8"/>
  <c r="M908" i="4"/>
  <c r="H1239" i="8" s="1"/>
  <c r="L908" i="4"/>
  <c r="G1252" i="8"/>
  <c r="F1252" i="8"/>
  <c r="L921" i="4"/>
  <c r="G1257" i="8"/>
  <c r="F1257" i="8"/>
  <c r="M926" i="4"/>
  <c r="H1257" i="8" s="1"/>
  <c r="G851" i="8"/>
  <c r="F851" i="8"/>
  <c r="L931" i="4"/>
  <c r="G869" i="8"/>
  <c r="F869" i="8"/>
  <c r="M949" i="4"/>
  <c r="H869" i="8" s="1"/>
  <c r="G872" i="8"/>
  <c r="F872" i="8"/>
  <c r="G880" i="8"/>
  <c r="F880" i="8"/>
  <c r="M967" i="4"/>
  <c r="H880" i="8" s="1"/>
  <c r="L967" i="4"/>
  <c r="G885" i="8"/>
  <c r="F885" i="8"/>
  <c r="M972" i="4"/>
  <c r="H885" i="8" s="1"/>
  <c r="L972" i="4"/>
  <c r="F330" i="8"/>
  <c r="G330" i="8"/>
  <c r="L985" i="4"/>
  <c r="F335" i="8"/>
  <c r="G335" i="8"/>
  <c r="M990" i="4"/>
  <c r="H335" i="8" s="1"/>
  <c r="F340" i="8"/>
  <c r="G340" i="8"/>
  <c r="L995" i="4"/>
  <c r="F344" i="8"/>
  <c r="G344" i="8"/>
  <c r="M1013" i="4"/>
  <c r="H344" i="8" s="1"/>
  <c r="F347" i="8"/>
  <c r="G347" i="8"/>
  <c r="F355" i="8"/>
  <c r="L1024" i="4"/>
  <c r="G355" i="8"/>
  <c r="F360" i="8"/>
  <c r="G360" i="8"/>
  <c r="M1029" i="4"/>
  <c r="H360" i="8" s="1"/>
  <c r="L1029" i="4"/>
  <c r="F373" i="8"/>
  <c r="M1042" i="4"/>
  <c r="H373" i="8" s="1"/>
  <c r="L1042" i="4"/>
  <c r="F381" i="8"/>
  <c r="G381" i="8"/>
  <c r="L1050" i="4"/>
  <c r="M1050" i="4"/>
  <c r="H381" i="8" s="1"/>
  <c r="F403" i="8"/>
  <c r="G403" i="8"/>
  <c r="L1072" i="4"/>
  <c r="M1072" i="4"/>
  <c r="H403" i="8" s="1"/>
  <c r="F409" i="8"/>
  <c r="G409" i="8"/>
  <c r="L1078" i="4"/>
  <c r="F450" i="8"/>
  <c r="G450" i="8"/>
  <c r="M1129" i="4"/>
  <c r="H450" i="8" s="1"/>
  <c r="F460" i="8"/>
  <c r="G460" i="8"/>
  <c r="L1140" i="4"/>
  <c r="F463" i="8"/>
  <c r="G463" i="8"/>
  <c r="M1143" i="4"/>
  <c r="H463" i="8" s="1"/>
  <c r="F494" i="8"/>
  <c r="G494" i="8"/>
  <c r="L1186" i="4"/>
  <c r="F497" i="8"/>
  <c r="G497" i="8"/>
  <c r="M1189" i="4"/>
  <c r="H497" i="8" s="1"/>
  <c r="L1189" i="4"/>
  <c r="F506" i="8"/>
  <c r="G506" i="8"/>
  <c r="M1198" i="4"/>
  <c r="H506" i="8" s="1"/>
  <c r="L1198" i="4"/>
  <c r="G1265" i="8"/>
  <c r="F1265" i="8"/>
  <c r="L1218" i="4"/>
  <c r="G1268" i="8"/>
  <c r="F1268" i="8"/>
  <c r="M1221" i="4"/>
  <c r="H1268" i="8" s="1"/>
  <c r="L1221" i="4"/>
  <c r="F928" i="8"/>
  <c r="G928" i="8"/>
  <c r="M1230" i="4"/>
  <c r="H928" i="8" s="1"/>
  <c r="L1230" i="4"/>
  <c r="F948" i="8"/>
  <c r="G948" i="8"/>
  <c r="L1250" i="4"/>
  <c r="F951" i="8"/>
  <c r="G951" i="8"/>
  <c r="M1253" i="4"/>
  <c r="H951" i="8" s="1"/>
  <c r="L1253" i="4"/>
  <c r="F960" i="8"/>
  <c r="G960" i="8"/>
  <c r="M1262" i="4"/>
  <c r="H960" i="8" s="1"/>
  <c r="L1262" i="4"/>
  <c r="F538" i="8"/>
  <c r="G538" i="8"/>
  <c r="L1282" i="4"/>
  <c r="F541" i="8"/>
  <c r="G541" i="8"/>
  <c r="M1285" i="4"/>
  <c r="H541" i="8" s="1"/>
  <c r="L1285" i="4"/>
  <c r="F974" i="8"/>
  <c r="G974" i="8"/>
  <c r="M1294" i="4"/>
  <c r="H974" i="8" s="1"/>
  <c r="L1294" i="4"/>
  <c r="F985" i="8"/>
  <c r="G985" i="8"/>
  <c r="L1314" i="4"/>
  <c r="F552" i="8"/>
  <c r="G552" i="8"/>
  <c r="M1317" i="4"/>
  <c r="H552" i="8" s="1"/>
  <c r="L1317" i="4"/>
  <c r="F569" i="8"/>
  <c r="G569" i="8"/>
  <c r="M1334" i="4"/>
  <c r="H569" i="8" s="1"/>
  <c r="L1334" i="4"/>
  <c r="G192" i="8"/>
  <c r="F192" i="8"/>
  <c r="L766" i="4"/>
  <c r="L771" i="4"/>
  <c r="L803" i="4"/>
  <c r="F235" i="8"/>
  <c r="G235" i="8"/>
  <c r="L809" i="4"/>
  <c r="L822" i="4"/>
  <c r="L835" i="4"/>
  <c r="G265" i="8"/>
  <c r="F265" i="8"/>
  <c r="L841" i="4"/>
  <c r="L854" i="4"/>
  <c r="L867" i="4"/>
  <c r="G297" i="8"/>
  <c r="F297" i="8"/>
  <c r="L873" i="4"/>
  <c r="L885" i="4"/>
  <c r="G1223" i="8"/>
  <c r="F1223" i="8"/>
  <c r="M892" i="4"/>
  <c r="H1223" i="8" s="1"/>
  <c r="L892" i="4"/>
  <c r="L894" i="4"/>
  <c r="L901" i="4"/>
  <c r="G1242" i="8"/>
  <c r="F1242" i="8"/>
  <c r="M911" i="4"/>
  <c r="H1242" i="8" s="1"/>
  <c r="L911" i="4"/>
  <c r="G1247" i="8"/>
  <c r="F1247" i="8"/>
  <c r="M916" i="4"/>
  <c r="H1247" i="8" s="1"/>
  <c r="L916" i="4"/>
  <c r="M921" i="4"/>
  <c r="H1252" i="8" s="1"/>
  <c r="L926" i="4"/>
  <c r="G1260" i="8"/>
  <c r="F1260" i="8"/>
  <c r="L929" i="4"/>
  <c r="M931" i="4"/>
  <c r="H851" i="8" s="1"/>
  <c r="G854" i="8"/>
  <c r="F854" i="8"/>
  <c r="M934" i="4"/>
  <c r="H854" i="8" s="1"/>
  <c r="G859" i="8"/>
  <c r="F859" i="8"/>
  <c r="L939" i="4"/>
  <c r="L949" i="4"/>
  <c r="L952" i="4"/>
  <c r="G311" i="8"/>
  <c r="F311" i="8"/>
  <c r="M957" i="4"/>
  <c r="H311" i="8" s="1"/>
  <c r="F314" i="8"/>
  <c r="G314" i="8"/>
  <c r="F320" i="8"/>
  <c r="G320" i="8"/>
  <c r="M975" i="4"/>
  <c r="H320" i="8" s="1"/>
  <c r="L975" i="4"/>
  <c r="F325" i="8"/>
  <c r="G325" i="8"/>
  <c r="M980" i="4"/>
  <c r="H325" i="8" s="1"/>
  <c r="L980" i="4"/>
  <c r="M985" i="4"/>
  <c r="H330" i="8" s="1"/>
  <c r="L990" i="4"/>
  <c r="F338" i="8"/>
  <c r="G338" i="8"/>
  <c r="L993" i="4"/>
  <c r="M995" i="4"/>
  <c r="H340" i="8" s="1"/>
  <c r="G888" i="8"/>
  <c r="F888" i="8"/>
  <c r="M998" i="4"/>
  <c r="H888" i="8" s="1"/>
  <c r="G893" i="8"/>
  <c r="F893" i="8"/>
  <c r="L1003" i="4"/>
  <c r="L1013" i="4"/>
  <c r="L1016" i="4"/>
  <c r="M1024" i="4"/>
  <c r="H355" i="8" s="1"/>
  <c r="F387" i="8"/>
  <c r="L1056" i="4"/>
  <c r="G387" i="8"/>
  <c r="M1078" i="4"/>
  <c r="H409" i="8" s="1"/>
  <c r="F414" i="8"/>
  <c r="G414" i="8"/>
  <c r="M1083" i="4"/>
  <c r="H414" i="8" s="1"/>
  <c r="L1083" i="4"/>
  <c r="F417" i="8"/>
  <c r="G417" i="8"/>
  <c r="M1086" i="4"/>
  <c r="H417" i="8" s="1"/>
  <c r="L1086" i="4"/>
  <c r="G904" i="8"/>
  <c r="F904" i="8"/>
  <c r="M1102" i="4"/>
  <c r="H904" i="8" s="1"/>
  <c r="L1102" i="4"/>
  <c r="F431" i="8"/>
  <c r="G431" i="8"/>
  <c r="M1110" i="4"/>
  <c r="H431" i="8" s="1"/>
  <c r="L1110" i="4"/>
  <c r="F439" i="8"/>
  <c r="G439" i="8"/>
  <c r="M1118" i="4"/>
  <c r="H439" i="8" s="1"/>
  <c r="L1118" i="4"/>
  <c r="F442" i="8"/>
  <c r="G442" i="8"/>
  <c r="M1121" i="4"/>
  <c r="H442" i="8" s="1"/>
  <c r="L1121" i="4"/>
  <c r="F448" i="8"/>
  <c r="G448" i="8"/>
  <c r="L1127" i="4"/>
  <c r="L1129" i="4"/>
  <c r="F452" i="8"/>
  <c r="M1132" i="4"/>
  <c r="H452" i="8" s="1"/>
  <c r="L1132" i="4"/>
  <c r="M1140" i="4"/>
  <c r="H460" i="8" s="1"/>
  <c r="L1143" i="4"/>
  <c r="F473" i="8"/>
  <c r="G473" i="8"/>
  <c r="M1153" i="4"/>
  <c r="H473" i="8" s="1"/>
  <c r="L1153" i="4"/>
  <c r="F476" i="8"/>
  <c r="G476" i="8"/>
  <c r="M1156" i="4"/>
  <c r="H476" i="8" s="1"/>
  <c r="F477" i="8"/>
  <c r="G477" i="8"/>
  <c r="M1169" i="4"/>
  <c r="H477" i="8" s="1"/>
  <c r="M1186" i="4"/>
  <c r="H494" i="8" s="1"/>
  <c r="M1218" i="4"/>
  <c r="H1265" i="8" s="1"/>
  <c r="M1250" i="4"/>
  <c r="H948" i="8" s="1"/>
  <c r="M1282" i="4"/>
  <c r="H538" i="8" s="1"/>
  <c r="M1314" i="4"/>
  <c r="H985" i="8" s="1"/>
  <c r="F561" i="8"/>
  <c r="G561" i="8"/>
  <c r="M1326" i="4"/>
  <c r="H561" i="8" s="1"/>
  <c r="L1326" i="4"/>
  <c r="F1121" i="8"/>
  <c r="G1121" i="8"/>
  <c r="F1129" i="8"/>
  <c r="G1129" i="8"/>
  <c r="G85" i="8"/>
  <c r="F85" i="8"/>
  <c r="G93" i="8"/>
  <c r="F93" i="8"/>
  <c r="F715" i="8"/>
  <c r="G715" i="8"/>
  <c r="F723" i="8"/>
  <c r="G723" i="8"/>
  <c r="F731" i="8"/>
  <c r="G731" i="8"/>
  <c r="F739" i="8"/>
  <c r="G739" i="8"/>
  <c r="F1135" i="8"/>
  <c r="G1135" i="8"/>
  <c r="F751" i="8"/>
  <c r="G751" i="8"/>
  <c r="F759" i="8"/>
  <c r="G759" i="8"/>
  <c r="F767" i="8"/>
  <c r="G767" i="8"/>
  <c r="F1144" i="8"/>
  <c r="G1144" i="8"/>
  <c r="F771" i="8"/>
  <c r="G771" i="8"/>
  <c r="G100" i="8"/>
  <c r="F100" i="8"/>
  <c r="G108" i="8"/>
  <c r="F108" i="8"/>
  <c r="G116" i="8"/>
  <c r="F116" i="8"/>
  <c r="F775" i="8"/>
  <c r="G775" i="8"/>
  <c r="F783" i="8"/>
  <c r="G783" i="8"/>
  <c r="F791" i="8"/>
  <c r="G791" i="8"/>
  <c r="F799" i="8"/>
  <c r="G799" i="8"/>
  <c r="F807" i="8"/>
  <c r="G807" i="8"/>
  <c r="F1153" i="8"/>
  <c r="G1153" i="8"/>
  <c r="F1159" i="8"/>
  <c r="G1159" i="8"/>
  <c r="G1167" i="8"/>
  <c r="F1167" i="8"/>
  <c r="F1174" i="8"/>
  <c r="G1174" i="8"/>
  <c r="F1182" i="8"/>
  <c r="G1182" i="8"/>
  <c r="F1190" i="8"/>
  <c r="G1190" i="8"/>
  <c r="F1198" i="8"/>
  <c r="G1198" i="8"/>
  <c r="F1206" i="8"/>
  <c r="G1206" i="8"/>
  <c r="F1214" i="8"/>
  <c r="G1214" i="8"/>
  <c r="G129" i="8"/>
  <c r="F129" i="8"/>
  <c r="G820" i="8"/>
  <c r="F820" i="8"/>
  <c r="G822" i="8"/>
  <c r="F822" i="8"/>
  <c r="G830" i="8"/>
  <c r="F830" i="8"/>
  <c r="G144" i="8"/>
  <c r="F144" i="8"/>
  <c r="G152" i="8"/>
  <c r="F152" i="8"/>
  <c r="G160" i="8"/>
  <c r="F160" i="8"/>
  <c r="G168" i="8"/>
  <c r="F168" i="8"/>
  <c r="G176" i="8"/>
  <c r="F176" i="8"/>
  <c r="G184" i="8"/>
  <c r="F184" i="8"/>
  <c r="G194" i="8"/>
  <c r="F194" i="8"/>
  <c r="F206" i="8"/>
  <c r="G206" i="8"/>
  <c r="L761" i="4"/>
  <c r="M766" i="4"/>
  <c r="H211" i="8" s="1"/>
  <c r="F213" i="8"/>
  <c r="G213" i="8"/>
  <c r="M771" i="4"/>
  <c r="H216" i="8" s="1"/>
  <c r="F220" i="8"/>
  <c r="G220" i="8"/>
  <c r="F225" i="8"/>
  <c r="G225" i="8"/>
  <c r="M780" i="4"/>
  <c r="H225" i="8" s="1"/>
  <c r="F232" i="8"/>
  <c r="G232" i="8"/>
  <c r="G840" i="8"/>
  <c r="F840" i="8"/>
  <c r="M803" i="4"/>
  <c r="H845" i="8" s="1"/>
  <c r="F237" i="8"/>
  <c r="G237" i="8"/>
  <c r="F239" i="8"/>
  <c r="G239" i="8"/>
  <c r="M822" i="4"/>
  <c r="H248" i="8" s="1"/>
  <c r="G254" i="8"/>
  <c r="F254" i="8"/>
  <c r="M835" i="4"/>
  <c r="H259" i="8" s="1"/>
  <c r="G267" i="8"/>
  <c r="F267" i="8"/>
  <c r="G269" i="8"/>
  <c r="F269" i="8"/>
  <c r="M854" i="4"/>
  <c r="H278" i="8" s="1"/>
  <c r="G286" i="8"/>
  <c r="F286" i="8"/>
  <c r="M867" i="4"/>
  <c r="H291" i="8" s="1"/>
  <c r="G299" i="8"/>
  <c r="F299" i="8"/>
  <c r="G301" i="8"/>
  <c r="F301" i="8"/>
  <c r="G305" i="8"/>
  <c r="F305" i="8"/>
  <c r="L881" i="4"/>
  <c r="G307" i="8"/>
  <c r="F307" i="8"/>
  <c r="L883" i="4"/>
  <c r="M885" i="4"/>
  <c r="H309" i="8" s="1"/>
  <c r="G1219" i="8"/>
  <c r="F1219" i="8"/>
  <c r="G1221" i="8"/>
  <c r="F1221" i="8"/>
  <c r="M890" i="4"/>
  <c r="H1221" i="8" s="1"/>
  <c r="G1228" i="8"/>
  <c r="F1228" i="8"/>
  <c r="L897" i="4"/>
  <c r="F1230" i="8"/>
  <c r="G1230" i="8"/>
  <c r="L899" i="4"/>
  <c r="M901" i="4"/>
  <c r="H1232" i="8" s="1"/>
  <c r="G1235" i="8"/>
  <c r="F1235" i="8"/>
  <c r="G1237" i="8"/>
  <c r="F1237" i="8"/>
  <c r="M906" i="4"/>
  <c r="H1237" i="8" s="1"/>
  <c r="L906" i="4"/>
  <c r="G1250" i="8"/>
  <c r="F1250" i="8"/>
  <c r="M919" i="4"/>
  <c r="H1250" i="8" s="1"/>
  <c r="L919" i="4"/>
  <c r="G1255" i="8"/>
  <c r="F1255" i="8"/>
  <c r="M924" i="4"/>
  <c r="H1255" i="8" s="1"/>
  <c r="L924" i="4"/>
  <c r="G857" i="8"/>
  <c r="F857" i="8"/>
  <c r="L937" i="4"/>
  <c r="G862" i="8"/>
  <c r="F862" i="8"/>
  <c r="M942" i="4"/>
  <c r="H862" i="8" s="1"/>
  <c r="G867" i="8"/>
  <c r="F867" i="8"/>
  <c r="L947" i="4"/>
  <c r="M952" i="4"/>
  <c r="H872" i="8" s="1"/>
  <c r="G878" i="8"/>
  <c r="F878" i="8"/>
  <c r="M965" i="4"/>
  <c r="H878" i="8" s="1"/>
  <c r="G881" i="8"/>
  <c r="F881" i="8"/>
  <c r="G883" i="8"/>
  <c r="F883" i="8"/>
  <c r="M970" i="4"/>
  <c r="H883" i="8" s="1"/>
  <c r="L970" i="4"/>
  <c r="F328" i="8"/>
  <c r="G328" i="8"/>
  <c r="M983" i="4"/>
  <c r="H328" i="8" s="1"/>
  <c r="L983" i="4"/>
  <c r="F333" i="8"/>
  <c r="G333" i="8"/>
  <c r="M988" i="4"/>
  <c r="H333" i="8" s="1"/>
  <c r="L988" i="4"/>
  <c r="G891" i="8"/>
  <c r="F891" i="8"/>
  <c r="L1001" i="4"/>
  <c r="G896" i="8"/>
  <c r="F896" i="8"/>
  <c r="M1006" i="4"/>
  <c r="H896" i="8" s="1"/>
  <c r="F342" i="8"/>
  <c r="G342" i="8"/>
  <c r="L1011" i="4"/>
  <c r="M1016" i="4"/>
  <c r="H347" i="8" s="1"/>
  <c r="F353" i="8"/>
  <c r="G353" i="8"/>
  <c r="M1022" i="4"/>
  <c r="H353" i="8" s="1"/>
  <c r="L1022" i="4"/>
  <c r="F371" i="8"/>
  <c r="G371" i="8"/>
  <c r="L1040" i="4"/>
  <c r="M1040" i="4"/>
  <c r="H371" i="8" s="1"/>
  <c r="F379" i="8"/>
  <c r="G379" i="8"/>
  <c r="L1048" i="4"/>
  <c r="M1048" i="4"/>
  <c r="H379" i="8" s="1"/>
  <c r="F404" i="8"/>
  <c r="G404" i="8"/>
  <c r="M1073" i="4"/>
  <c r="H404" i="8" s="1"/>
  <c r="L1073" i="4"/>
  <c r="F425" i="8"/>
  <c r="G425" i="8"/>
  <c r="M1094" i="4"/>
  <c r="H425" i="8" s="1"/>
  <c r="L1094" i="4"/>
  <c r="F428" i="8"/>
  <c r="G428" i="8"/>
  <c r="M1097" i="4"/>
  <c r="H428" i="8" s="1"/>
  <c r="L1097" i="4"/>
  <c r="F434" i="8"/>
  <c r="G434" i="8"/>
  <c r="M1113" i="4"/>
  <c r="H434" i="8" s="1"/>
  <c r="F458" i="8"/>
  <c r="G458" i="8"/>
  <c r="L1138" i="4"/>
  <c r="F486" i="8"/>
  <c r="G486" i="8"/>
  <c r="L1178" i="4"/>
  <c r="M1178" i="4"/>
  <c r="H486" i="8" s="1"/>
  <c r="F507" i="8"/>
  <c r="G507" i="8"/>
  <c r="M1199" i="4"/>
  <c r="H507" i="8" s="1"/>
  <c r="F509" i="8"/>
  <c r="G509" i="8"/>
  <c r="M1201" i="4"/>
  <c r="H509" i="8" s="1"/>
  <c r="L1201" i="4"/>
  <c r="F518" i="8"/>
  <c r="G518" i="8"/>
  <c r="L1210" i="4"/>
  <c r="M1210" i="4"/>
  <c r="H518" i="8" s="1"/>
  <c r="G929" i="8"/>
  <c r="F929" i="8"/>
  <c r="M1231" i="4"/>
  <c r="H929" i="8" s="1"/>
  <c r="F931" i="8"/>
  <c r="G931" i="8"/>
  <c r="M1233" i="4"/>
  <c r="H931" i="8" s="1"/>
  <c r="L1233" i="4"/>
  <c r="G940" i="8"/>
  <c r="F940" i="8"/>
  <c r="L1242" i="4"/>
  <c r="M1242" i="4"/>
  <c r="H940" i="8" s="1"/>
  <c r="F961" i="8"/>
  <c r="G961" i="8"/>
  <c r="M1263" i="4"/>
  <c r="H961" i="8" s="1"/>
  <c r="F530" i="8"/>
  <c r="G530" i="8"/>
  <c r="L1274" i="4"/>
  <c r="M1274" i="4"/>
  <c r="H530" i="8" s="1"/>
  <c r="F975" i="8"/>
  <c r="G975" i="8"/>
  <c r="M1295" i="4"/>
  <c r="H975" i="8" s="1"/>
  <c r="F551" i="8"/>
  <c r="G551" i="8"/>
  <c r="L1306" i="4"/>
  <c r="M1306" i="4"/>
  <c r="H551" i="8" s="1"/>
  <c r="G1179" i="8"/>
  <c r="F1179" i="8"/>
  <c r="G1187" i="8"/>
  <c r="F1187" i="8"/>
  <c r="G1195" i="8"/>
  <c r="F1195" i="8"/>
  <c r="G1203" i="8"/>
  <c r="F1203" i="8"/>
  <c r="G1211" i="8"/>
  <c r="F1211" i="8"/>
  <c r="F817" i="8"/>
  <c r="G817" i="8"/>
  <c r="G134" i="8"/>
  <c r="F134" i="8"/>
  <c r="G827" i="8"/>
  <c r="F827" i="8"/>
  <c r="G141" i="8"/>
  <c r="F141" i="8"/>
  <c r="G149" i="8"/>
  <c r="F149" i="8"/>
  <c r="G157" i="8"/>
  <c r="F157" i="8"/>
  <c r="G165" i="8"/>
  <c r="F165" i="8"/>
  <c r="G173" i="8"/>
  <c r="F173" i="8"/>
  <c r="G181" i="8"/>
  <c r="F181" i="8"/>
  <c r="G189" i="8"/>
  <c r="F189" i="8"/>
  <c r="F196" i="8"/>
  <c r="G196" i="8"/>
  <c r="F201" i="8"/>
  <c r="G201" i="8"/>
  <c r="M756" i="4"/>
  <c r="H201" i="8" s="1"/>
  <c r="F203" i="8"/>
  <c r="G203" i="8"/>
  <c r="F208" i="8"/>
  <c r="G208" i="8"/>
  <c r="F215" i="8"/>
  <c r="G215" i="8"/>
  <c r="G831" i="8"/>
  <c r="F831" i="8"/>
  <c r="G838" i="8"/>
  <c r="F838" i="8"/>
  <c r="M796" i="4"/>
  <c r="H838" i="8" s="1"/>
  <c r="L796" i="4"/>
  <c r="F842" i="8"/>
  <c r="G842" i="8"/>
  <c r="G844" i="8"/>
  <c r="F844" i="8"/>
  <c r="F241" i="8"/>
  <c r="G241" i="8"/>
  <c r="M815" i="4"/>
  <c r="H241" i="8" s="1"/>
  <c r="F243" i="8"/>
  <c r="G243" i="8"/>
  <c r="L817" i="4"/>
  <c r="G1217" i="8"/>
  <c r="F1217" i="8"/>
  <c r="M828" i="4"/>
  <c r="H1217" i="8" s="1"/>
  <c r="L828" i="4"/>
  <c r="G256" i="8"/>
  <c r="F256" i="8"/>
  <c r="G258" i="8"/>
  <c r="F258" i="8"/>
  <c r="G271" i="8"/>
  <c r="F271" i="8"/>
  <c r="M847" i="4"/>
  <c r="H271" i="8" s="1"/>
  <c r="G273" i="8"/>
  <c r="F273" i="8"/>
  <c r="L849" i="4"/>
  <c r="G284" i="8"/>
  <c r="F284" i="8"/>
  <c r="M860" i="4"/>
  <c r="H284" i="8" s="1"/>
  <c r="L860" i="4"/>
  <c r="G288" i="8"/>
  <c r="F288" i="8"/>
  <c r="G290" i="8"/>
  <c r="F290" i="8"/>
  <c r="G303" i="8"/>
  <c r="F303" i="8"/>
  <c r="M879" i="4"/>
  <c r="H303" i="8" s="1"/>
  <c r="F1240" i="8"/>
  <c r="G1240" i="8"/>
  <c r="M909" i="4"/>
  <c r="H1240" i="8" s="1"/>
  <c r="G1243" i="8"/>
  <c r="F1243" i="8"/>
  <c r="G1245" i="8"/>
  <c r="F1245" i="8"/>
  <c r="M914" i="4"/>
  <c r="H1245" i="8" s="1"/>
  <c r="L914" i="4"/>
  <c r="G1258" i="8"/>
  <c r="F1258" i="8"/>
  <c r="M927" i="4"/>
  <c r="H1258" i="8" s="1"/>
  <c r="L927" i="4"/>
  <c r="G852" i="8"/>
  <c r="F852" i="8"/>
  <c r="M932" i="4"/>
  <c r="H852" i="8" s="1"/>
  <c r="L932" i="4"/>
  <c r="G865" i="8"/>
  <c r="F865" i="8"/>
  <c r="L945" i="4"/>
  <c r="G870" i="8"/>
  <c r="F870" i="8"/>
  <c r="M950" i="4"/>
  <c r="H870" i="8" s="1"/>
  <c r="G875" i="8"/>
  <c r="F875" i="8"/>
  <c r="L955" i="4"/>
  <c r="F318" i="8"/>
  <c r="G318" i="8"/>
  <c r="M973" i="4"/>
  <c r="H318" i="8" s="1"/>
  <c r="F321" i="8"/>
  <c r="G321" i="8"/>
  <c r="F323" i="8"/>
  <c r="M978" i="4"/>
  <c r="H323" i="8" s="1"/>
  <c r="L978" i="4"/>
  <c r="F336" i="8"/>
  <c r="G336" i="8"/>
  <c r="M991" i="4"/>
  <c r="H336" i="8" s="1"/>
  <c r="L991" i="4"/>
  <c r="G886" i="8"/>
  <c r="F886" i="8"/>
  <c r="M996" i="4"/>
  <c r="H886" i="8" s="1"/>
  <c r="L996" i="4"/>
  <c r="G899" i="8"/>
  <c r="F899" i="8"/>
  <c r="L1009" i="4"/>
  <c r="F345" i="8"/>
  <c r="G345" i="8"/>
  <c r="M1014" i="4"/>
  <c r="H345" i="8" s="1"/>
  <c r="F350" i="8"/>
  <c r="G350" i="8"/>
  <c r="M1019" i="4"/>
  <c r="H350" i="8" s="1"/>
  <c r="L1019" i="4"/>
  <c r="F358" i="8"/>
  <c r="G358" i="8"/>
  <c r="M1027" i="4"/>
  <c r="H358" i="8" s="1"/>
  <c r="L1027" i="4"/>
  <c r="F361" i="8"/>
  <c r="G361" i="8"/>
  <c r="L1030" i="4"/>
  <c r="M1030" i="4"/>
  <c r="H361" i="8" s="1"/>
  <c r="F364" i="8"/>
  <c r="G364" i="8"/>
  <c r="M1033" i="4"/>
  <c r="H364" i="8" s="1"/>
  <c r="L1033" i="4"/>
  <c r="F369" i="8"/>
  <c r="G369" i="8"/>
  <c r="L1038" i="4"/>
  <c r="F385" i="8"/>
  <c r="G385" i="8"/>
  <c r="L1054" i="4"/>
  <c r="F393" i="8"/>
  <c r="G393" i="8"/>
  <c r="L1062" i="4"/>
  <c r="F401" i="8"/>
  <c r="G401" i="8"/>
  <c r="L1070" i="4"/>
  <c r="M1070" i="4"/>
  <c r="H401" i="8" s="1"/>
  <c r="F410" i="8"/>
  <c r="G410" i="8"/>
  <c r="M1079" i="4"/>
  <c r="H410" i="8" s="1"/>
  <c r="F412" i="8"/>
  <c r="M1081" i="4"/>
  <c r="H412" i="8" s="1"/>
  <c r="G412" i="8"/>
  <c r="L1081" i="4"/>
  <c r="F440" i="8"/>
  <c r="G440" i="8"/>
  <c r="M1119" i="4"/>
  <c r="H440" i="8" s="1"/>
  <c r="L1119" i="4"/>
  <c r="F501" i="8"/>
  <c r="M1193" i="4"/>
  <c r="H501" i="8" s="1"/>
  <c r="L1193" i="4"/>
  <c r="F504" i="8"/>
  <c r="G504" i="8"/>
  <c r="M1196" i="4"/>
  <c r="H504" i="8" s="1"/>
  <c r="F923" i="8"/>
  <c r="G923" i="8"/>
  <c r="M1225" i="4"/>
  <c r="H923" i="8" s="1"/>
  <c r="L1225" i="4"/>
  <c r="G926" i="8"/>
  <c r="F926" i="8"/>
  <c r="M1228" i="4"/>
  <c r="H926" i="8" s="1"/>
  <c r="F955" i="8"/>
  <c r="G955" i="8"/>
  <c r="M1257" i="4"/>
  <c r="H955" i="8" s="1"/>
  <c r="L1257" i="4"/>
  <c r="F958" i="8"/>
  <c r="G958" i="8"/>
  <c r="M1260" i="4"/>
  <c r="H958" i="8" s="1"/>
  <c r="F969" i="8"/>
  <c r="G969" i="8"/>
  <c r="M1289" i="4"/>
  <c r="H969" i="8" s="1"/>
  <c r="L1289" i="4"/>
  <c r="F972" i="8"/>
  <c r="G972" i="8"/>
  <c r="M1292" i="4"/>
  <c r="H972" i="8" s="1"/>
  <c r="F556" i="8"/>
  <c r="G556" i="8"/>
  <c r="M1321" i="4"/>
  <c r="H556" i="8" s="1"/>
  <c r="L1321" i="4"/>
  <c r="F562" i="8"/>
  <c r="G562" i="8"/>
  <c r="M1327" i="4"/>
  <c r="H562" i="8" s="1"/>
  <c r="F564" i="8"/>
  <c r="G564" i="8"/>
  <c r="M1329" i="4"/>
  <c r="H564" i="8" s="1"/>
  <c r="L1329" i="4"/>
  <c r="F363" i="8"/>
  <c r="G363" i="8"/>
  <c r="L1032" i="4"/>
  <c r="F365" i="8"/>
  <c r="G365" i="8"/>
  <c r="F391" i="8"/>
  <c r="G391" i="8"/>
  <c r="F395" i="8"/>
  <c r="L1064" i="4"/>
  <c r="G395" i="8"/>
  <c r="F397" i="8"/>
  <c r="G397" i="8"/>
  <c r="L1066" i="4"/>
  <c r="F416" i="8"/>
  <c r="G416" i="8"/>
  <c r="M1085" i="4"/>
  <c r="H416" i="8" s="1"/>
  <c r="G900" i="8"/>
  <c r="F900" i="8"/>
  <c r="L1098" i="4"/>
  <c r="G905" i="8"/>
  <c r="F905" i="8"/>
  <c r="G909" i="8"/>
  <c r="F909" i="8"/>
  <c r="M1107" i="4"/>
  <c r="H909" i="8" s="1"/>
  <c r="L1107" i="4"/>
  <c r="F437" i="8"/>
  <c r="G437" i="8"/>
  <c r="F469" i="8"/>
  <c r="M1149" i="4"/>
  <c r="H469" i="8" s="1"/>
  <c r="G913" i="8"/>
  <c r="F913" i="8"/>
  <c r="L1162" i="4"/>
  <c r="G918" i="8"/>
  <c r="F918" i="8"/>
  <c r="F479" i="8"/>
  <c r="G479" i="8"/>
  <c r="M1171" i="4"/>
  <c r="H479" i="8" s="1"/>
  <c r="L1171" i="4"/>
  <c r="F489" i="8"/>
  <c r="G489" i="8"/>
  <c r="M1181" i="4"/>
  <c r="H489" i="8" s="1"/>
  <c r="F511" i="8"/>
  <c r="G511" i="8"/>
  <c r="M1203" i="4"/>
  <c r="H511" i="8" s="1"/>
  <c r="L1203" i="4"/>
  <c r="F521" i="8"/>
  <c r="G521" i="8"/>
  <c r="M1213" i="4"/>
  <c r="H521" i="8" s="1"/>
  <c r="G933" i="8"/>
  <c r="F933" i="8"/>
  <c r="M1235" i="4"/>
  <c r="H933" i="8" s="1"/>
  <c r="L1235" i="4"/>
  <c r="F943" i="8"/>
  <c r="G943" i="8"/>
  <c r="M1245" i="4"/>
  <c r="H943" i="8" s="1"/>
  <c r="F965" i="8"/>
  <c r="G965" i="8"/>
  <c r="M1267" i="4"/>
  <c r="H965" i="8" s="1"/>
  <c r="L1267" i="4"/>
  <c r="F533" i="8"/>
  <c r="G533" i="8"/>
  <c r="M1277" i="4"/>
  <c r="H533" i="8" s="1"/>
  <c r="F544" i="8"/>
  <c r="G544" i="8"/>
  <c r="M1299" i="4"/>
  <c r="H544" i="8" s="1"/>
  <c r="L1299" i="4"/>
  <c r="F980" i="8"/>
  <c r="G980" i="8"/>
  <c r="M1309" i="4"/>
  <c r="H980" i="8" s="1"/>
  <c r="F566" i="8"/>
  <c r="G566" i="8"/>
  <c r="M1331" i="4"/>
  <c r="H566" i="8" s="1"/>
  <c r="L1331" i="4"/>
  <c r="F394" i="8"/>
  <c r="G394" i="8"/>
  <c r="F398" i="8"/>
  <c r="G398" i="8"/>
  <c r="M1067" i="4"/>
  <c r="H398" i="8" s="1"/>
  <c r="F400" i="8"/>
  <c r="G400" i="8"/>
  <c r="M1069" i="4"/>
  <c r="H400" i="8" s="1"/>
  <c r="F421" i="8"/>
  <c r="G421" i="8"/>
  <c r="L1090" i="4"/>
  <c r="F426" i="8"/>
  <c r="G426" i="8"/>
  <c r="G901" i="8"/>
  <c r="F901" i="8"/>
  <c r="M1099" i="4"/>
  <c r="H901" i="8" s="1"/>
  <c r="L1099" i="4"/>
  <c r="F429" i="8"/>
  <c r="G429" i="8"/>
  <c r="F461" i="8"/>
  <c r="G461" i="8"/>
  <c r="M1141" i="4"/>
  <c r="H461" i="8" s="1"/>
  <c r="F474" i="8"/>
  <c r="G474" i="8"/>
  <c r="L1154" i="4"/>
  <c r="G1263" i="8"/>
  <c r="F1263" i="8"/>
  <c r="G914" i="8"/>
  <c r="F914" i="8"/>
  <c r="M1163" i="4"/>
  <c r="H914" i="8" s="1"/>
  <c r="L1163" i="4"/>
  <c r="F480" i="8"/>
  <c r="G480" i="8"/>
  <c r="M1172" i="4"/>
  <c r="H480" i="8" s="1"/>
  <c r="F483" i="8"/>
  <c r="G483" i="8"/>
  <c r="F490" i="8"/>
  <c r="G490" i="8"/>
  <c r="M1182" i="4"/>
  <c r="H490" i="8" s="1"/>
  <c r="L1182" i="4"/>
  <c r="F502" i="8"/>
  <c r="G502" i="8"/>
  <c r="L1194" i="4"/>
  <c r="F512" i="8"/>
  <c r="G512" i="8"/>
  <c r="M1204" i="4"/>
  <c r="H512" i="8" s="1"/>
  <c r="F515" i="8"/>
  <c r="G515" i="8"/>
  <c r="F522" i="8"/>
  <c r="G522" i="8"/>
  <c r="M1214" i="4"/>
  <c r="H522" i="8" s="1"/>
  <c r="L1214" i="4"/>
  <c r="G924" i="8"/>
  <c r="F924" i="8"/>
  <c r="L1226" i="4"/>
  <c r="G934" i="8"/>
  <c r="F934" i="8"/>
  <c r="M1236" i="4"/>
  <c r="H934" i="8" s="1"/>
  <c r="G937" i="8"/>
  <c r="F937" i="8"/>
  <c r="F944" i="8"/>
  <c r="G944" i="8"/>
  <c r="M1246" i="4"/>
  <c r="H944" i="8" s="1"/>
  <c r="L1246" i="4"/>
  <c r="F956" i="8"/>
  <c r="G956" i="8"/>
  <c r="L1258" i="4"/>
  <c r="F966" i="8"/>
  <c r="G966" i="8"/>
  <c r="M1268" i="4"/>
  <c r="H966" i="8" s="1"/>
  <c r="F527" i="8"/>
  <c r="G527" i="8"/>
  <c r="F534" i="8"/>
  <c r="G534" i="8"/>
  <c r="M1278" i="4"/>
  <c r="H534" i="8" s="1"/>
  <c r="L1278" i="4"/>
  <c r="F970" i="8"/>
  <c r="G970" i="8"/>
  <c r="L1290" i="4"/>
  <c r="F545" i="8"/>
  <c r="G545" i="8"/>
  <c r="M1300" i="4"/>
  <c r="H545" i="8" s="1"/>
  <c r="F548" i="8"/>
  <c r="G548" i="8"/>
  <c r="F981" i="8"/>
  <c r="G981" i="8"/>
  <c r="M1310" i="4"/>
  <c r="H981" i="8" s="1"/>
  <c r="L1310" i="4"/>
  <c r="F557" i="8"/>
  <c r="G557" i="8"/>
  <c r="L1322" i="4"/>
  <c r="F567" i="8"/>
  <c r="G567" i="8"/>
  <c r="M1332" i="4"/>
  <c r="H567" i="8" s="1"/>
  <c r="F570" i="8"/>
  <c r="G570" i="8"/>
  <c r="F366" i="8"/>
  <c r="G366" i="8"/>
  <c r="M1035" i="4"/>
  <c r="H366" i="8" s="1"/>
  <c r="F368" i="8"/>
  <c r="G368" i="8"/>
  <c r="F386" i="8"/>
  <c r="G386" i="8"/>
  <c r="F390" i="8"/>
  <c r="G390" i="8"/>
  <c r="M1059" i="4"/>
  <c r="H390" i="8" s="1"/>
  <c r="F392" i="8"/>
  <c r="G392" i="8"/>
  <c r="M1061" i="4"/>
  <c r="H392" i="8" s="1"/>
  <c r="L1063" i="4"/>
  <c r="L1067" i="4"/>
  <c r="L1069" i="4"/>
  <c r="F415" i="8"/>
  <c r="G415" i="8"/>
  <c r="M1090" i="4"/>
  <c r="H421" i="8" s="1"/>
  <c r="L1095" i="4"/>
  <c r="L1108" i="4"/>
  <c r="F438" i="8"/>
  <c r="G438" i="8"/>
  <c r="M1117" i="4"/>
  <c r="H438" i="8" s="1"/>
  <c r="G910" i="8"/>
  <c r="F910" i="8"/>
  <c r="L1130" i="4"/>
  <c r="F455" i="8"/>
  <c r="G455" i="8"/>
  <c r="F459" i="8"/>
  <c r="M1139" i="4"/>
  <c r="H459" i="8" s="1"/>
  <c r="L1139" i="4"/>
  <c r="G459" i="8"/>
  <c r="L1141" i="4"/>
  <c r="F468" i="8"/>
  <c r="G468" i="8"/>
  <c r="M1154" i="4"/>
  <c r="H474" i="8" s="1"/>
  <c r="L1159" i="4"/>
  <c r="L1172" i="4"/>
  <c r="L1175" i="4"/>
  <c r="F495" i="8"/>
  <c r="G495" i="8"/>
  <c r="M1187" i="4"/>
  <c r="H495" i="8" s="1"/>
  <c r="L1187" i="4"/>
  <c r="M1194" i="4"/>
  <c r="H502" i="8" s="1"/>
  <c r="F505" i="8"/>
  <c r="G505" i="8"/>
  <c r="M1197" i="4"/>
  <c r="H505" i="8" s="1"/>
  <c r="L1204" i="4"/>
  <c r="L1207" i="4"/>
  <c r="G1266" i="8"/>
  <c r="F1266" i="8"/>
  <c r="M1219" i="4"/>
  <c r="H1266" i="8" s="1"/>
  <c r="L1219" i="4"/>
  <c r="M1226" i="4"/>
  <c r="H924" i="8" s="1"/>
  <c r="G927" i="8"/>
  <c r="F927" i="8"/>
  <c r="M1229" i="4"/>
  <c r="H927" i="8" s="1"/>
  <c r="L1236" i="4"/>
  <c r="L1239" i="4"/>
  <c r="F949" i="8"/>
  <c r="G949" i="8"/>
  <c r="M1251" i="4"/>
  <c r="H949" i="8" s="1"/>
  <c r="L1251" i="4"/>
  <c r="M1258" i="4"/>
  <c r="H956" i="8" s="1"/>
  <c r="F959" i="8"/>
  <c r="G959" i="8"/>
  <c r="M1261" i="4"/>
  <c r="H959" i="8" s="1"/>
  <c r="L1268" i="4"/>
  <c r="L1271" i="4"/>
  <c r="F539" i="8"/>
  <c r="G539" i="8"/>
  <c r="M1283" i="4"/>
  <c r="H539" i="8" s="1"/>
  <c r="L1283" i="4"/>
  <c r="M1290" i="4"/>
  <c r="H970" i="8" s="1"/>
  <c r="F973" i="8"/>
  <c r="G973" i="8"/>
  <c r="M1293" i="4"/>
  <c r="H973" i="8" s="1"/>
  <c r="L1300" i="4"/>
  <c r="L1303" i="4"/>
  <c r="F986" i="8"/>
  <c r="G986" i="8"/>
  <c r="M1315" i="4"/>
  <c r="H986" i="8" s="1"/>
  <c r="L1315" i="4"/>
  <c r="F560" i="8"/>
  <c r="G560" i="8"/>
  <c r="M1325" i="4"/>
  <c r="H560" i="8" s="1"/>
  <c r="L1332" i="4"/>
  <c r="L1035" i="4"/>
  <c r="L1037" i="4"/>
  <c r="F378" i="8"/>
  <c r="G378" i="8"/>
  <c r="F382" i="8"/>
  <c r="G382" i="8"/>
  <c r="M1051" i="4"/>
  <c r="H382" i="8" s="1"/>
  <c r="F384" i="8"/>
  <c r="G384" i="8"/>
  <c r="M1053" i="4"/>
  <c r="H384" i="8" s="1"/>
  <c r="L1055" i="4"/>
  <c r="L1059" i="4"/>
  <c r="L1061" i="4"/>
  <c r="M1063" i="4"/>
  <c r="H394" i="8" s="1"/>
  <c r="L1084" i="4"/>
  <c r="F424" i="8"/>
  <c r="G424" i="8"/>
  <c r="M1093" i="4"/>
  <c r="H424" i="8" s="1"/>
  <c r="M1095" i="4"/>
  <c r="H426" i="8" s="1"/>
  <c r="G908" i="8"/>
  <c r="F908" i="8"/>
  <c r="L1106" i="4"/>
  <c r="M1108" i="4"/>
  <c r="H429" i="8" s="1"/>
  <c r="F432" i="8"/>
  <c r="G432" i="8"/>
  <c r="F436" i="8"/>
  <c r="G436" i="8"/>
  <c r="M1115" i="4"/>
  <c r="H436" i="8" s="1"/>
  <c r="L1115" i="4"/>
  <c r="L1117" i="4"/>
  <c r="F445" i="8"/>
  <c r="G445" i="8"/>
  <c r="M1130" i="4"/>
  <c r="H910" i="8" s="1"/>
  <c r="L1135" i="4"/>
  <c r="L1148" i="4"/>
  <c r="G1261" i="8"/>
  <c r="F1261" i="8"/>
  <c r="M1157" i="4"/>
  <c r="H1261" i="8" s="1"/>
  <c r="M1159" i="4"/>
  <c r="H1263" i="8" s="1"/>
  <c r="F478" i="8"/>
  <c r="G478" i="8"/>
  <c r="L1170" i="4"/>
  <c r="M1175" i="4"/>
  <c r="H483" i="8" s="1"/>
  <c r="F488" i="8"/>
  <c r="G488" i="8"/>
  <c r="M1180" i="4"/>
  <c r="H488" i="8" s="1"/>
  <c r="F491" i="8"/>
  <c r="G491" i="8"/>
  <c r="F498" i="8"/>
  <c r="G498" i="8"/>
  <c r="M1190" i="4"/>
  <c r="H498" i="8" s="1"/>
  <c r="L1190" i="4"/>
  <c r="L1197" i="4"/>
  <c r="F510" i="8"/>
  <c r="G510" i="8"/>
  <c r="L1202" i="4"/>
  <c r="M1207" i="4"/>
  <c r="H515" i="8" s="1"/>
  <c r="F520" i="8"/>
  <c r="G520" i="8"/>
  <c r="M1212" i="4"/>
  <c r="H520" i="8" s="1"/>
  <c r="F523" i="8"/>
  <c r="G523" i="8"/>
  <c r="F920" i="8"/>
  <c r="G920" i="8"/>
  <c r="M1222" i="4"/>
  <c r="H920" i="8" s="1"/>
  <c r="L1222" i="4"/>
  <c r="L1229" i="4"/>
  <c r="G932" i="8"/>
  <c r="F932" i="8"/>
  <c r="L1234" i="4"/>
  <c r="M1239" i="4"/>
  <c r="H937" i="8" s="1"/>
  <c r="G942" i="8"/>
  <c r="F942" i="8"/>
  <c r="M1244" i="4"/>
  <c r="H942" i="8" s="1"/>
  <c r="F945" i="8"/>
  <c r="G945" i="8"/>
  <c r="F952" i="8"/>
  <c r="G952" i="8"/>
  <c r="M1254" i="4"/>
  <c r="H952" i="8" s="1"/>
  <c r="L1254" i="4"/>
  <c r="L1261" i="4"/>
  <c r="F964" i="8"/>
  <c r="G964" i="8"/>
  <c r="L1266" i="4"/>
  <c r="M1271" i="4"/>
  <c r="H527" i="8" s="1"/>
  <c r="F532" i="8"/>
  <c r="G532" i="8"/>
  <c r="M1276" i="4"/>
  <c r="H532" i="8" s="1"/>
  <c r="F535" i="8"/>
  <c r="G535" i="8"/>
  <c r="F542" i="8"/>
  <c r="G542" i="8"/>
  <c r="M1286" i="4"/>
  <c r="H542" i="8" s="1"/>
  <c r="L1286" i="4"/>
  <c r="L1293" i="4"/>
  <c r="F543" i="8"/>
  <c r="G543" i="8"/>
  <c r="L1298" i="4"/>
  <c r="M1303" i="4"/>
  <c r="H548" i="8" s="1"/>
  <c r="F979" i="8"/>
  <c r="G979" i="8"/>
  <c r="M1308" i="4"/>
  <c r="H979" i="8" s="1"/>
  <c r="F982" i="8"/>
  <c r="G982" i="8"/>
  <c r="F553" i="8"/>
  <c r="G553" i="8"/>
  <c r="M1318" i="4"/>
  <c r="H553" i="8" s="1"/>
  <c r="L1318" i="4"/>
  <c r="L1325" i="4"/>
  <c r="F565" i="8"/>
  <c r="G565" i="8"/>
  <c r="L1330" i="4"/>
  <c r="M1335" i="4"/>
  <c r="H570" i="8" s="1"/>
  <c r="G469" i="8"/>
  <c r="F357" i="8"/>
  <c r="G357" i="8"/>
  <c r="M1037" i="4"/>
  <c r="H368" i="8" s="1"/>
  <c r="F374" i="8"/>
  <c r="G374" i="8"/>
  <c r="M1043" i="4"/>
  <c r="H374" i="8" s="1"/>
  <c r="F376" i="8"/>
  <c r="G376" i="8"/>
  <c r="M1045" i="4"/>
  <c r="H376" i="8" s="1"/>
  <c r="L1047" i="4"/>
  <c r="L1051" i="4"/>
  <c r="L1053" i="4"/>
  <c r="M1055" i="4"/>
  <c r="H386" i="8" s="1"/>
  <c r="F407" i="8"/>
  <c r="G407" i="8"/>
  <c r="F411" i="8"/>
  <c r="G411" i="8"/>
  <c r="L1080" i="4"/>
  <c r="F413" i="8"/>
  <c r="G413" i="8"/>
  <c r="L1082" i="4"/>
  <c r="M1084" i="4"/>
  <c r="H415" i="8" s="1"/>
  <c r="F418" i="8"/>
  <c r="G418" i="8"/>
  <c r="F422" i="8"/>
  <c r="G422" i="8"/>
  <c r="M1091" i="4"/>
  <c r="H422" i="8" s="1"/>
  <c r="L1091" i="4"/>
  <c r="L1093" i="4"/>
  <c r="G902" i="8"/>
  <c r="F902" i="8"/>
  <c r="M1106" i="4"/>
  <c r="H908" i="8" s="1"/>
  <c r="L1111" i="4"/>
  <c r="L1124" i="4"/>
  <c r="F453" i="8"/>
  <c r="G453" i="8"/>
  <c r="M1133" i="4"/>
  <c r="H453" i="8" s="1"/>
  <c r="M1135" i="4"/>
  <c r="H455" i="8" s="1"/>
  <c r="F466" i="8"/>
  <c r="G466" i="8"/>
  <c r="L1146" i="4"/>
  <c r="M1148" i="4"/>
  <c r="H468" i="8" s="1"/>
  <c r="F471" i="8"/>
  <c r="G471" i="8"/>
  <c r="F475" i="8"/>
  <c r="G475" i="8"/>
  <c r="M1155" i="4"/>
  <c r="H475" i="8" s="1"/>
  <c r="L1155" i="4"/>
  <c r="L1157" i="4"/>
  <c r="F915" i="8"/>
  <c r="G915" i="8"/>
  <c r="M1170" i="4"/>
  <c r="H478" i="8" s="1"/>
  <c r="F481" i="8"/>
  <c r="G481" i="8"/>
  <c r="M1173" i="4"/>
  <c r="H481" i="8" s="1"/>
  <c r="L1180" i="4"/>
  <c r="L1183" i="4"/>
  <c r="F503" i="8"/>
  <c r="G503" i="8"/>
  <c r="M1195" i="4"/>
  <c r="H503" i="8" s="1"/>
  <c r="L1195" i="4"/>
  <c r="M1202" i="4"/>
  <c r="H510" i="8" s="1"/>
  <c r="F513" i="8"/>
  <c r="G513" i="8"/>
  <c r="M1205" i="4"/>
  <c r="H513" i="8" s="1"/>
  <c r="L1212" i="4"/>
  <c r="L1215" i="4"/>
  <c r="G925" i="8"/>
  <c r="F925" i="8"/>
  <c r="M1227" i="4"/>
  <c r="H925" i="8" s="1"/>
  <c r="L1227" i="4"/>
  <c r="M1234" i="4"/>
  <c r="H932" i="8" s="1"/>
  <c r="F935" i="8"/>
  <c r="G935" i="8"/>
  <c r="M1237" i="4"/>
  <c r="H935" i="8" s="1"/>
  <c r="L1244" i="4"/>
  <c r="L1247" i="4"/>
  <c r="F957" i="8"/>
  <c r="G957" i="8"/>
  <c r="M1259" i="4"/>
  <c r="H957" i="8" s="1"/>
  <c r="L1259" i="4"/>
  <c r="M1266" i="4"/>
  <c r="H964" i="8" s="1"/>
  <c r="F525" i="8"/>
  <c r="G525" i="8"/>
  <c r="M1269" i="4"/>
  <c r="H525" i="8" s="1"/>
  <c r="L1276" i="4"/>
  <c r="L1279" i="4"/>
  <c r="F971" i="8"/>
  <c r="M1291" i="4"/>
  <c r="H971" i="8" s="1"/>
  <c r="L1291" i="4"/>
  <c r="M1298" i="4"/>
  <c r="H543" i="8" s="1"/>
  <c r="F546" i="8"/>
  <c r="G546" i="8"/>
  <c r="M1301" i="4"/>
  <c r="H546" i="8" s="1"/>
  <c r="L1308" i="4"/>
  <c r="L1311" i="4"/>
  <c r="F558" i="8"/>
  <c r="G558" i="8"/>
  <c r="M1323" i="4"/>
  <c r="H558" i="8" s="1"/>
  <c r="L1323" i="4"/>
  <c r="M1330" i="4"/>
  <c r="H565" i="8" s="1"/>
  <c r="F568" i="8"/>
  <c r="G568" i="8"/>
  <c r="M1333" i="4"/>
  <c r="H568" i="8" s="1"/>
  <c r="G906" i="8"/>
  <c r="F906" i="8"/>
  <c r="F433" i="8"/>
  <c r="G433" i="8"/>
  <c r="F441" i="8"/>
  <c r="G441" i="8"/>
  <c r="F449" i="8"/>
  <c r="G449" i="8"/>
  <c r="F456" i="8"/>
  <c r="G456" i="8"/>
  <c r="F464" i="8"/>
  <c r="G464" i="8"/>
  <c r="F472" i="8"/>
  <c r="G472" i="8"/>
  <c r="G911" i="8"/>
  <c r="F911" i="8"/>
  <c r="G919" i="8"/>
  <c r="F919" i="8"/>
  <c r="F492" i="8"/>
  <c r="G492" i="8"/>
  <c r="F500" i="8"/>
  <c r="G500" i="8"/>
  <c r="F516" i="8"/>
  <c r="G516" i="8"/>
  <c r="F524" i="8"/>
  <c r="G524" i="8"/>
  <c r="G922" i="8"/>
  <c r="F922" i="8"/>
  <c r="G930" i="8"/>
  <c r="F930" i="8"/>
  <c r="G938" i="8"/>
  <c r="F938" i="8"/>
  <c r="F946" i="8"/>
  <c r="G946" i="8"/>
  <c r="F954" i="8"/>
  <c r="G954" i="8"/>
  <c r="F962" i="8"/>
  <c r="G962" i="8"/>
  <c r="F528" i="8"/>
  <c r="G528" i="8"/>
  <c r="F968" i="8"/>
  <c r="G968" i="8"/>
  <c r="F976" i="8"/>
  <c r="G976" i="8"/>
  <c r="F549" i="8"/>
  <c r="G549" i="8"/>
  <c r="F983" i="8"/>
  <c r="G983" i="8"/>
  <c r="F555" i="8"/>
  <c r="G555" i="8"/>
  <c r="F563" i="8"/>
  <c r="G563" i="8"/>
  <c r="F571" i="8"/>
  <c r="G571" i="8"/>
  <c r="L1088" i="4"/>
  <c r="L1096" i="4"/>
  <c r="L1104" i="4"/>
  <c r="L1112" i="4"/>
  <c r="L1120" i="4"/>
  <c r="L1128" i="4"/>
  <c r="L1136" i="4"/>
  <c r="L1144" i="4"/>
  <c r="L1152" i="4"/>
  <c r="L1160" i="4"/>
  <c r="L1168" i="4"/>
  <c r="L1176" i="4"/>
  <c r="L1184" i="4"/>
  <c r="L1192" i="4"/>
  <c r="L1200" i="4"/>
  <c r="L1208" i="4"/>
  <c r="L1216" i="4"/>
  <c r="L1224" i="4"/>
  <c r="L1232" i="4"/>
  <c r="L1240" i="4"/>
  <c r="L1248" i="4"/>
  <c r="L1256" i="4"/>
  <c r="L1264" i="4"/>
  <c r="L1272" i="4"/>
  <c r="L1280" i="4"/>
  <c r="L1288" i="4"/>
  <c r="L1296" i="4"/>
  <c r="L1304" i="4"/>
  <c r="L1312" i="4"/>
  <c r="L1320" i="4"/>
  <c r="L1328" i="4"/>
  <c r="L1336" i="4"/>
  <c r="G508" i="8"/>
  <c r="N145" i="3" l="1"/>
  <c r="O145" i="3" s="1"/>
  <c r="H149" i="4"/>
  <c r="J149" i="4" s="1"/>
  <c r="K149" i="4" s="1"/>
  <c r="H38" i="4"/>
  <c r="J38" i="4" s="1"/>
  <c r="K38" i="4" s="1"/>
  <c r="N38" i="3"/>
  <c r="O38" i="3" s="1"/>
  <c r="F583" i="8"/>
  <c r="G583" i="8"/>
  <c r="M81" i="4"/>
  <c r="H583" i="8" s="1"/>
  <c r="L81" i="4"/>
  <c r="H139" i="4"/>
  <c r="J139" i="4" s="1"/>
  <c r="K139" i="4" s="1"/>
  <c r="N135" i="3"/>
  <c r="O135" i="3" s="1"/>
  <c r="N101" i="3"/>
  <c r="O101" i="3" s="1"/>
  <c r="H103" i="4"/>
  <c r="J103" i="4" s="1"/>
  <c r="K103" i="4" s="1"/>
  <c r="G1269" i="8"/>
  <c r="F1269" i="8"/>
  <c r="M65" i="4"/>
  <c r="H1269" i="8" s="1"/>
  <c r="L65" i="4"/>
  <c r="F572" i="8"/>
  <c r="L30" i="4"/>
  <c r="G572" i="8"/>
  <c r="M30" i="4"/>
  <c r="H572" i="8" s="1"/>
  <c r="H109" i="4"/>
  <c r="J109" i="4" s="1"/>
  <c r="K109" i="4" s="1"/>
  <c r="N107" i="3"/>
  <c r="O107" i="3" s="1"/>
  <c r="H90" i="4"/>
  <c r="J90" i="4" s="1"/>
  <c r="K90" i="4" s="1"/>
  <c r="N88" i="3"/>
  <c r="O88" i="3" s="1"/>
  <c r="H57" i="4"/>
  <c r="J57" i="4" s="1"/>
  <c r="K57" i="4" s="1"/>
  <c r="N57" i="3"/>
  <c r="O57" i="3" s="1"/>
  <c r="H155" i="4"/>
  <c r="J155" i="4" s="1"/>
  <c r="K155" i="4" s="1"/>
  <c r="N151" i="3"/>
  <c r="O151" i="3" s="1"/>
  <c r="F55" i="8"/>
  <c r="G55" i="8"/>
  <c r="L140" i="4"/>
  <c r="M140" i="4"/>
  <c r="H55" i="8" s="1"/>
  <c r="N129" i="3"/>
  <c r="O129" i="3" s="1"/>
  <c r="H133" i="4"/>
  <c r="J133" i="4" s="1"/>
  <c r="K133" i="4" s="1"/>
  <c r="F48" i="8"/>
  <c r="G48" i="8"/>
  <c r="L42" i="4"/>
  <c r="M42" i="4"/>
  <c r="H48" i="8" s="1"/>
  <c r="N157" i="3"/>
  <c r="O157" i="3" s="1"/>
  <c r="H161" i="4"/>
  <c r="J161" i="4" s="1"/>
  <c r="K161" i="4" s="1"/>
  <c r="N43" i="3"/>
  <c r="O43" i="3" s="1"/>
  <c r="H43" i="4"/>
  <c r="J43" i="4" s="1"/>
  <c r="K43" i="4" s="1"/>
  <c r="N165" i="3"/>
  <c r="O165" i="3" s="1"/>
  <c r="H169" i="4"/>
  <c r="J169" i="4" s="1"/>
  <c r="K169" i="4" s="1"/>
  <c r="G1333" i="8"/>
  <c r="F1333" i="8"/>
  <c r="L165" i="4"/>
  <c r="M165" i="4"/>
  <c r="H1333" i="8" s="1"/>
  <c r="H128" i="4"/>
  <c r="J128" i="4" s="1"/>
  <c r="K128" i="4" s="1"/>
  <c r="N124" i="3"/>
  <c r="O124" i="3" s="1"/>
  <c r="H36" i="4"/>
  <c r="J36" i="4" s="1"/>
  <c r="K36" i="4" s="1"/>
  <c r="N36" i="3"/>
  <c r="O36" i="3" s="1"/>
  <c r="N91" i="3"/>
  <c r="O91" i="3" s="1"/>
  <c r="H93" i="4"/>
  <c r="J93" i="4" s="1"/>
  <c r="K93" i="4" s="1"/>
  <c r="F574" i="8"/>
  <c r="G574" i="8"/>
  <c r="M170" i="4"/>
  <c r="H574" i="8" s="1"/>
  <c r="L170" i="4"/>
  <c r="H136" i="4"/>
  <c r="J136" i="4" s="1"/>
  <c r="K136" i="4" s="1"/>
  <c r="N132" i="3"/>
  <c r="O132" i="3" s="1"/>
  <c r="H83" i="4"/>
  <c r="J83" i="4" s="1"/>
  <c r="K83" i="4" s="1"/>
  <c r="N81" i="3"/>
  <c r="O81" i="3" s="1"/>
  <c r="H53" i="4"/>
  <c r="J53" i="4" s="1"/>
  <c r="K53" i="4" s="1"/>
  <c r="N53" i="3"/>
  <c r="O53" i="3" s="1"/>
  <c r="N93" i="3"/>
  <c r="O93" i="3" s="1"/>
  <c r="H95" i="4"/>
  <c r="J95" i="4" s="1"/>
  <c r="K95" i="4" s="1"/>
  <c r="N160" i="3"/>
  <c r="O160" i="3" s="1"/>
  <c r="H164" i="4"/>
  <c r="J164" i="4" s="1"/>
  <c r="K164" i="4" s="1"/>
  <c r="H72" i="4"/>
  <c r="J72" i="4" s="1"/>
  <c r="K72" i="4" s="1"/>
  <c r="N72" i="3"/>
  <c r="O72" i="3" s="1"/>
  <c r="F13" i="8"/>
  <c r="G13" i="8"/>
  <c r="L34" i="4"/>
  <c r="M34" i="4"/>
  <c r="H13" i="8" s="1"/>
  <c r="N37" i="3"/>
  <c r="O37" i="3" s="1"/>
  <c r="H37" i="4"/>
  <c r="J37" i="4" s="1"/>
  <c r="K37" i="4" s="1"/>
  <c r="G1296" i="8"/>
  <c r="F1296" i="8"/>
  <c r="M52" i="4"/>
  <c r="H1296" i="8" s="1"/>
  <c r="L52" i="4"/>
  <c r="F7" i="8"/>
  <c r="G7" i="8"/>
  <c r="L20" i="4"/>
  <c r="M20" i="4"/>
  <c r="H7" i="8" s="1"/>
  <c r="F989" i="8"/>
  <c r="G989" i="8"/>
  <c r="M15" i="4"/>
  <c r="H989" i="8" s="1"/>
  <c r="L15" i="4"/>
  <c r="H25" i="4"/>
  <c r="J25" i="4" s="1"/>
  <c r="K25" i="4" s="1"/>
  <c r="N25" i="3"/>
  <c r="O25" i="3" s="1"/>
  <c r="H35" i="4"/>
  <c r="J35" i="4" s="1"/>
  <c r="K35" i="4" s="1"/>
  <c r="N35" i="3"/>
  <c r="O35" i="3" s="1"/>
  <c r="N32" i="3"/>
  <c r="O32" i="3" s="1"/>
  <c r="H32" i="4"/>
  <c r="J32" i="4" s="1"/>
  <c r="K32" i="4" s="1"/>
  <c r="G1290" i="8"/>
  <c r="F1290" i="8"/>
  <c r="L40" i="4"/>
  <c r="M40" i="4"/>
  <c r="H1290" i="8" s="1"/>
  <c r="H33" i="4"/>
  <c r="J33" i="4" s="1"/>
  <c r="K33" i="4" s="1"/>
  <c r="N33" i="3"/>
  <c r="O33" i="3" s="1"/>
  <c r="N89" i="3"/>
  <c r="O89" i="3" s="1"/>
  <c r="H91" i="4"/>
  <c r="J91" i="4" s="1"/>
  <c r="K91" i="4" s="1"/>
  <c r="H59" i="4"/>
  <c r="J59" i="4" s="1"/>
  <c r="K59" i="4" s="1"/>
  <c r="N59" i="3"/>
  <c r="O59" i="3" s="1"/>
  <c r="H79" i="4"/>
  <c r="J79" i="4" s="1"/>
  <c r="K79" i="4" s="1"/>
  <c r="N77" i="3"/>
  <c r="O77" i="3" s="1"/>
  <c r="N23" i="3"/>
  <c r="O23" i="3" s="1"/>
  <c r="H23" i="4"/>
  <c r="J23" i="4" s="1"/>
  <c r="K23" i="4" s="1"/>
  <c r="F16" i="8"/>
  <c r="G16" i="8"/>
  <c r="M55" i="4"/>
  <c r="H16" i="8" s="1"/>
  <c r="L55" i="4"/>
  <c r="H147" i="4"/>
  <c r="J147" i="4" s="1"/>
  <c r="K147" i="4" s="1"/>
  <c r="N143" i="3"/>
  <c r="O143" i="3" s="1"/>
  <c r="H7" i="4"/>
  <c r="J7" i="4" s="1"/>
  <c r="K7" i="4" s="1"/>
  <c r="N7" i="3"/>
  <c r="O7" i="3" s="1"/>
  <c r="H158" i="4"/>
  <c r="J158" i="4" s="1"/>
  <c r="K158" i="4" s="1"/>
  <c r="N154" i="3"/>
  <c r="O154" i="3" s="1"/>
  <c r="G1304" i="8"/>
  <c r="F1304" i="8"/>
  <c r="M60" i="4"/>
  <c r="H1304" i="8" s="1"/>
  <c r="L60" i="4"/>
  <c r="G1293" i="8"/>
  <c r="F1293" i="8"/>
  <c r="M84" i="4"/>
  <c r="H1293" i="8" s="1"/>
  <c r="L84" i="4"/>
  <c r="H102" i="4"/>
  <c r="J102" i="4" s="1"/>
  <c r="K102" i="4" s="1"/>
  <c r="N100" i="3"/>
  <c r="O100" i="3" s="1"/>
  <c r="F49" i="8"/>
  <c r="G49" i="8"/>
  <c r="L137" i="4"/>
  <c r="M137" i="4"/>
  <c r="H49" i="8" s="1"/>
  <c r="G1319" i="8"/>
  <c r="F1319" i="8"/>
  <c r="M127" i="4"/>
  <c r="H1319" i="8" s="1"/>
  <c r="L127" i="4"/>
  <c r="H171" i="4"/>
  <c r="J171" i="4" s="1"/>
  <c r="K171" i="4" s="1"/>
  <c r="N167" i="3"/>
  <c r="O167" i="3" s="1"/>
  <c r="N111" i="3"/>
  <c r="O111" i="3" s="1"/>
  <c r="H114" i="4"/>
  <c r="J114" i="4" s="1"/>
  <c r="K114" i="4" s="1"/>
  <c r="H31" i="4"/>
  <c r="J31" i="4" s="1"/>
  <c r="K31" i="4" s="1"/>
  <c r="N31" i="3"/>
  <c r="O31" i="3" s="1"/>
  <c r="H27" i="4"/>
  <c r="J27" i="4" s="1"/>
  <c r="K27" i="4" s="1"/>
  <c r="N27" i="3"/>
  <c r="O27" i="3" s="1"/>
  <c r="G1334" i="8"/>
  <c r="F1334" i="8"/>
  <c r="M167" i="4"/>
  <c r="H1334" i="8" s="1"/>
  <c r="L167" i="4"/>
  <c r="N87" i="3"/>
  <c r="O87" i="3" s="1"/>
  <c r="H89" i="4"/>
  <c r="J89" i="4" s="1"/>
  <c r="K89" i="4" s="1"/>
  <c r="H56" i="4"/>
  <c r="J56" i="4" s="1"/>
  <c r="K56" i="4" s="1"/>
  <c r="N56" i="3"/>
  <c r="O56" i="3" s="1"/>
  <c r="N21" i="3"/>
  <c r="O21" i="3" s="1"/>
  <c r="H21" i="4"/>
  <c r="J21" i="4" s="1"/>
  <c r="K21" i="4" s="1"/>
  <c r="H99" i="4"/>
  <c r="J99" i="4" s="1"/>
  <c r="K99" i="4" s="1"/>
  <c r="N97" i="3"/>
  <c r="O97" i="3" s="1"/>
  <c r="F995" i="8"/>
  <c r="G995" i="8"/>
  <c r="L41" i="4"/>
  <c r="M41" i="4"/>
  <c r="H995" i="8" s="1"/>
  <c r="F28" i="8"/>
  <c r="G28" i="8"/>
  <c r="M122" i="4"/>
  <c r="H28" i="8" s="1"/>
  <c r="L122" i="4"/>
  <c r="H77" i="4"/>
  <c r="J77" i="4" s="1"/>
  <c r="K77" i="4" s="1"/>
  <c r="N75" i="3"/>
  <c r="O75" i="3" s="1"/>
  <c r="N141" i="3"/>
  <c r="O141" i="3" s="1"/>
  <c r="H145" i="4"/>
  <c r="J145" i="4" s="1"/>
  <c r="K145" i="4" s="1"/>
  <c r="H6" i="4"/>
  <c r="J6" i="4" s="1"/>
  <c r="K6" i="4" s="1"/>
  <c r="N6" i="3"/>
  <c r="O6" i="3" s="1"/>
  <c r="F582" i="8"/>
  <c r="G582" i="8"/>
  <c r="L106" i="4"/>
  <c r="M106" i="4"/>
  <c r="H582" i="8" s="1"/>
  <c r="H8" i="4"/>
  <c r="J8" i="4" s="1"/>
  <c r="K8" i="4" s="1"/>
  <c r="N8" i="3"/>
  <c r="O8" i="3" s="1"/>
  <c r="F32" i="8"/>
  <c r="G32" i="8"/>
  <c r="L132" i="4"/>
  <c r="M132" i="4"/>
  <c r="H32" i="8" s="1"/>
  <c r="H126" i="4"/>
  <c r="J126" i="4" s="1"/>
  <c r="K126" i="4" s="1"/>
  <c r="N122" i="3"/>
  <c r="O122" i="3" s="1"/>
  <c r="N137" i="3"/>
  <c r="O137" i="3" s="1"/>
  <c r="H141" i="4"/>
  <c r="J141" i="4" s="1"/>
  <c r="K141" i="4" s="1"/>
  <c r="H61" i="4"/>
  <c r="J61" i="4" s="1"/>
  <c r="K61" i="4" s="1"/>
  <c r="N61" i="3"/>
  <c r="O61" i="3" s="1"/>
  <c r="H148" i="4"/>
  <c r="J148" i="4" s="1"/>
  <c r="K148" i="4" s="1"/>
  <c r="N144" i="3"/>
  <c r="O144" i="3" s="1"/>
  <c r="F25" i="8"/>
  <c r="M118" i="4"/>
  <c r="H25" i="8" s="1"/>
  <c r="G25" i="8"/>
  <c r="L118" i="4"/>
  <c r="N155" i="3"/>
  <c r="O155" i="3" s="1"/>
  <c r="H159" i="4"/>
  <c r="J159" i="4" s="1"/>
  <c r="K159" i="4" s="1"/>
  <c r="N92" i="3"/>
  <c r="O92" i="3" s="1"/>
  <c r="H94" i="4"/>
  <c r="J94" i="4" s="1"/>
  <c r="K94" i="4" s="1"/>
  <c r="H80" i="4"/>
  <c r="J80" i="4" s="1"/>
  <c r="K80" i="4" s="1"/>
  <c r="N78" i="3"/>
  <c r="O78" i="3" s="1"/>
  <c r="H54" i="4"/>
  <c r="J54" i="4" s="1"/>
  <c r="K54" i="4" s="1"/>
  <c r="N54" i="3"/>
  <c r="O54" i="3" s="1"/>
  <c r="H18" i="4"/>
  <c r="J18" i="4" s="1"/>
  <c r="K18" i="4" s="1"/>
  <c r="N18" i="3"/>
  <c r="O18" i="3" s="1"/>
  <c r="F24" i="8"/>
  <c r="G24" i="8"/>
  <c r="M117" i="4"/>
  <c r="H24" i="8" s="1"/>
  <c r="L117" i="4"/>
  <c r="H156" i="4"/>
  <c r="J156" i="4" s="1"/>
  <c r="K156" i="4" s="1"/>
  <c r="N152" i="3"/>
  <c r="O152" i="3" s="1"/>
  <c r="H104" i="4"/>
  <c r="J104" i="4" s="1"/>
  <c r="K104" i="4" s="1"/>
  <c r="N102" i="3"/>
  <c r="O102" i="3" s="1"/>
  <c r="H85" i="4"/>
  <c r="J85" i="4" s="1"/>
  <c r="K85" i="4" s="1"/>
  <c r="N83" i="3"/>
  <c r="O83" i="3" s="1"/>
  <c r="N146" i="3"/>
  <c r="O146" i="3" s="1"/>
  <c r="H150" i="4"/>
  <c r="J150" i="4" s="1"/>
  <c r="K150" i="4" s="1"/>
  <c r="H71" i="4"/>
  <c r="J71" i="4" s="1"/>
  <c r="K71" i="4" s="1"/>
  <c r="N71" i="3"/>
  <c r="O71" i="3" s="1"/>
  <c r="F997" i="8"/>
  <c r="G997" i="8"/>
  <c r="M13" i="4"/>
  <c r="H997" i="8" s="1"/>
  <c r="L13" i="4"/>
  <c r="F52" i="8"/>
  <c r="G52" i="8"/>
  <c r="M76" i="4"/>
  <c r="H52" i="8" s="1"/>
  <c r="L76" i="4"/>
  <c r="F59" i="8"/>
  <c r="G59" i="8"/>
  <c r="M49" i="4"/>
  <c r="H59" i="8" s="1"/>
  <c r="L49" i="4"/>
  <c r="N130" i="3"/>
  <c r="O130" i="3" s="1"/>
  <c r="H134" i="4"/>
  <c r="J134" i="4" s="1"/>
  <c r="K134" i="4" s="1"/>
  <c r="H166" i="4"/>
  <c r="J166" i="4" s="1"/>
  <c r="K166" i="4" s="1"/>
  <c r="N162" i="3"/>
  <c r="O162" i="3" s="1"/>
  <c r="G1307" i="8"/>
  <c r="F1307" i="8"/>
  <c r="M68" i="4"/>
  <c r="H1307" i="8" s="1"/>
  <c r="L68" i="4"/>
  <c r="N164" i="3"/>
  <c r="O164" i="3" s="1"/>
  <c r="H168" i="4"/>
  <c r="J168" i="4" s="1"/>
  <c r="K168" i="4" s="1"/>
  <c r="H51" i="4"/>
  <c r="J51" i="4" s="1"/>
  <c r="K51" i="4" s="1"/>
  <c r="N51" i="3"/>
  <c r="O51" i="3" s="1"/>
  <c r="H63" i="4"/>
  <c r="J63" i="4" s="1"/>
  <c r="K63" i="4" s="1"/>
  <c r="N63" i="3"/>
  <c r="O63" i="3" s="1"/>
  <c r="N108" i="3"/>
  <c r="O108" i="3" s="1"/>
  <c r="H111" i="4"/>
  <c r="J111" i="4" s="1"/>
  <c r="K111" i="4" s="1"/>
  <c r="H88" i="4"/>
  <c r="J88" i="4" s="1"/>
  <c r="K88" i="4" s="1"/>
  <c r="N86" i="3"/>
  <c r="O86" i="3" s="1"/>
  <c r="F22" i="8"/>
  <c r="L108" i="4"/>
  <c r="G22" i="8"/>
  <c r="M108" i="4"/>
  <c r="H22" i="8" s="1"/>
  <c r="H73" i="4"/>
  <c r="J73" i="4" s="1"/>
  <c r="K73" i="4" s="1"/>
  <c r="N73" i="3"/>
  <c r="O73" i="3" s="1"/>
  <c r="N139" i="3"/>
  <c r="O139" i="3" s="1"/>
  <c r="H143" i="4"/>
  <c r="J143" i="4" s="1"/>
  <c r="K143" i="4" s="1"/>
  <c r="G1326" i="8"/>
  <c r="F1326" i="8"/>
  <c r="L151" i="4"/>
  <c r="M151" i="4"/>
  <c r="H1326" i="8" s="1"/>
  <c r="G1275" i="8"/>
  <c r="F1275" i="8"/>
  <c r="L92" i="4"/>
  <c r="M92" i="4"/>
  <c r="H1275" i="8" s="1"/>
  <c r="N140" i="3"/>
  <c r="O140" i="3" s="1"/>
  <c r="H144" i="4"/>
  <c r="J144" i="4" s="1"/>
  <c r="K144" i="4" s="1"/>
  <c r="G1278" i="8"/>
  <c r="F1278" i="8"/>
  <c r="L100" i="4"/>
  <c r="M100" i="4"/>
  <c r="H1278" i="8" s="1"/>
  <c r="H160" i="4"/>
  <c r="J160" i="4" s="1"/>
  <c r="K160" i="4" s="1"/>
  <c r="N156" i="3"/>
  <c r="O156" i="3" s="1"/>
  <c r="N46" i="3"/>
  <c r="O46" i="3" s="1"/>
  <c r="H46" i="4"/>
  <c r="J46" i="4" s="1"/>
  <c r="K46" i="4" s="1"/>
  <c r="N153" i="3"/>
  <c r="O153" i="3" s="1"/>
  <c r="H157" i="4"/>
  <c r="J157" i="4" s="1"/>
  <c r="K157" i="4" s="1"/>
  <c r="H105" i="4"/>
  <c r="J105" i="4" s="1"/>
  <c r="K105" i="4" s="1"/>
  <c r="N103" i="3"/>
  <c r="O103" i="3" s="1"/>
  <c r="G1309" i="8"/>
  <c r="F1309" i="8"/>
  <c r="M78" i="4"/>
  <c r="H1309" i="8" s="1"/>
  <c r="L78" i="4"/>
  <c r="H28" i="4"/>
  <c r="J28" i="4" s="1"/>
  <c r="K28" i="4" s="1"/>
  <c r="N28" i="3"/>
  <c r="O28" i="3" s="1"/>
  <c r="N134" i="3"/>
  <c r="O134" i="3" s="1"/>
  <c r="H138" i="4"/>
  <c r="J138" i="4" s="1"/>
  <c r="K138" i="4" s="1"/>
  <c r="H96" i="4"/>
  <c r="J96" i="4" s="1"/>
  <c r="K96" i="4" s="1"/>
  <c r="N94" i="3"/>
  <c r="O94" i="3" s="1"/>
  <c r="N149" i="3"/>
  <c r="O149" i="3" s="1"/>
  <c r="H153" i="4"/>
  <c r="J153" i="4" s="1"/>
  <c r="K153" i="4" s="1"/>
  <c r="N159" i="3"/>
  <c r="O159" i="3" s="1"/>
  <c r="H163" i="4"/>
  <c r="J163" i="4" s="1"/>
  <c r="K163" i="4" s="1"/>
  <c r="H129" i="4"/>
  <c r="J129" i="4" s="1"/>
  <c r="K129" i="4" s="1"/>
  <c r="N125" i="3"/>
  <c r="O125" i="3" s="1"/>
  <c r="G1298" i="8"/>
  <c r="F1298" i="8"/>
  <c r="M12" i="4"/>
  <c r="H1298" i="8" s="1"/>
  <c r="L12" i="4"/>
  <c r="F994" i="8"/>
  <c r="G994" i="8"/>
  <c r="B30" i="7"/>
  <c r="M5" i="4"/>
  <c r="L5" i="4"/>
  <c r="B31" i="7" s="1"/>
  <c r="G1321" i="8"/>
  <c r="F1321" i="8"/>
  <c r="L135" i="4"/>
  <c r="M135" i="4"/>
  <c r="H1321" i="8" s="1"/>
  <c r="F5" i="8"/>
  <c r="M10" i="4"/>
  <c r="H5" i="8" s="1"/>
  <c r="G5" i="8"/>
  <c r="L10" i="4"/>
  <c r="G1294" i="8" l="1"/>
  <c r="F1294" i="8"/>
  <c r="M46" i="4"/>
  <c r="H1294" i="8" s="1"/>
  <c r="L46" i="4"/>
  <c r="F41" i="8"/>
  <c r="G41" i="8"/>
  <c r="L161" i="4"/>
  <c r="M161" i="4"/>
  <c r="H41" i="8" s="1"/>
  <c r="F14" i="8"/>
  <c r="G14" i="8"/>
  <c r="M51" i="4"/>
  <c r="H14" i="8" s="1"/>
  <c r="L51" i="4"/>
  <c r="F573" i="8"/>
  <c r="G573" i="8"/>
  <c r="M166" i="4"/>
  <c r="H573" i="8" s="1"/>
  <c r="L166" i="4"/>
  <c r="G1289" i="8"/>
  <c r="F1289" i="8"/>
  <c r="M71" i="4"/>
  <c r="H1289" i="8" s="1"/>
  <c r="L71" i="4"/>
  <c r="G1330" i="8"/>
  <c r="F1330" i="8"/>
  <c r="L156" i="4"/>
  <c r="M156" i="4"/>
  <c r="H1330" i="8" s="1"/>
  <c r="F993" i="8"/>
  <c r="G993" i="8"/>
  <c r="M54" i="4"/>
  <c r="H993" i="8" s="1"/>
  <c r="L54" i="4"/>
  <c r="G1271" i="8"/>
  <c r="F1271" i="8"/>
  <c r="M8" i="4"/>
  <c r="H1271" i="8" s="1"/>
  <c r="L8" i="4"/>
  <c r="G1302" i="8"/>
  <c r="F1302" i="8"/>
  <c r="M56" i="4"/>
  <c r="H1302" i="8" s="1"/>
  <c r="L56" i="4"/>
  <c r="F10" i="8"/>
  <c r="G10" i="8"/>
  <c r="L27" i="4"/>
  <c r="M27" i="4"/>
  <c r="H10" i="8" s="1"/>
  <c r="G1291" i="8"/>
  <c r="F1291" i="8"/>
  <c r="L102" i="4"/>
  <c r="M102" i="4"/>
  <c r="H1291" i="8" s="1"/>
  <c r="G1284" i="8"/>
  <c r="F1284" i="8"/>
  <c r="M59" i="4"/>
  <c r="H1284" i="8" s="1"/>
  <c r="L59" i="4"/>
  <c r="F15" i="8"/>
  <c r="G15" i="8"/>
  <c r="M53" i="4"/>
  <c r="H15" i="8" s="1"/>
  <c r="L53" i="4"/>
  <c r="G1311" i="8"/>
  <c r="F1311" i="8"/>
  <c r="L90" i="4"/>
  <c r="M90" i="4"/>
  <c r="H1311" i="8" s="1"/>
  <c r="F38" i="8"/>
  <c r="G38" i="8"/>
  <c r="L145" i="4"/>
  <c r="M145" i="4"/>
  <c r="H38" i="8" s="1"/>
  <c r="F36" i="8"/>
  <c r="G36" i="8"/>
  <c r="L143" i="4"/>
  <c r="M143" i="4"/>
  <c r="H36" i="8" s="1"/>
  <c r="F53" i="8"/>
  <c r="G53" i="8"/>
  <c r="M168" i="4"/>
  <c r="H53" i="8" s="1"/>
  <c r="L168" i="4"/>
  <c r="F34" i="8"/>
  <c r="L134" i="4"/>
  <c r="G34" i="8"/>
  <c r="M134" i="4"/>
  <c r="H34" i="8" s="1"/>
  <c r="G1325" i="8"/>
  <c r="F1325" i="8"/>
  <c r="L150" i="4"/>
  <c r="M150" i="4"/>
  <c r="H1325" i="8" s="1"/>
  <c r="G1310" i="8"/>
  <c r="F1310" i="8"/>
  <c r="L89" i="4"/>
  <c r="M89" i="4"/>
  <c r="H1310" i="8" s="1"/>
  <c r="F54" i="8"/>
  <c r="L91" i="4"/>
  <c r="M91" i="4"/>
  <c r="H54" i="8" s="1"/>
  <c r="G54" i="8"/>
  <c r="G1299" i="8"/>
  <c r="F1299" i="8"/>
  <c r="L32" i="4"/>
  <c r="M32" i="4"/>
  <c r="H1299" i="8" s="1"/>
  <c r="G1312" i="8"/>
  <c r="F1312" i="8"/>
  <c r="L93" i="4"/>
  <c r="M93" i="4"/>
  <c r="H1312" i="8" s="1"/>
  <c r="F35" i="8"/>
  <c r="G35" i="8"/>
  <c r="L141" i="4"/>
  <c r="M141" i="4"/>
  <c r="H35" i="8" s="1"/>
  <c r="F51" i="8"/>
  <c r="G51" i="8"/>
  <c r="L96" i="4"/>
  <c r="M96" i="4"/>
  <c r="H51" i="8" s="1"/>
  <c r="F996" i="8"/>
  <c r="G996" i="8"/>
  <c r="L160" i="4"/>
  <c r="M160" i="4"/>
  <c r="H996" i="8" s="1"/>
  <c r="F20" i="8"/>
  <c r="G20" i="8"/>
  <c r="L88" i="4"/>
  <c r="M88" i="4"/>
  <c r="H20" i="8" s="1"/>
  <c r="F576" i="8"/>
  <c r="M80" i="4"/>
  <c r="H576" i="8" s="1"/>
  <c r="L80" i="4"/>
  <c r="G576" i="8"/>
  <c r="F30" i="8"/>
  <c r="G30" i="8"/>
  <c r="L126" i="4"/>
  <c r="M126" i="4"/>
  <c r="H30" i="8" s="1"/>
  <c r="F581" i="8"/>
  <c r="G581" i="8"/>
  <c r="M77" i="4"/>
  <c r="H581" i="8" s="1"/>
  <c r="L77" i="4"/>
  <c r="F12" i="8"/>
  <c r="G12" i="8"/>
  <c r="L31" i="4"/>
  <c r="M31" i="4"/>
  <c r="H12" i="8" s="1"/>
  <c r="G1331" i="8"/>
  <c r="F1331" i="8"/>
  <c r="L158" i="4"/>
  <c r="M158" i="4"/>
  <c r="H1331" i="8" s="1"/>
  <c r="F56" i="8"/>
  <c r="G56" i="8"/>
  <c r="M72" i="4"/>
  <c r="H56" i="8" s="1"/>
  <c r="L72" i="4"/>
  <c r="G1274" i="8"/>
  <c r="F1274" i="8"/>
  <c r="L83" i="4"/>
  <c r="M83" i="4"/>
  <c r="H1274" i="8" s="1"/>
  <c r="G1285" i="8"/>
  <c r="F1285" i="8"/>
  <c r="L109" i="4"/>
  <c r="M109" i="4"/>
  <c r="H1285" i="8" s="1"/>
  <c r="G1328" i="8"/>
  <c r="F1328" i="8"/>
  <c r="L153" i="4"/>
  <c r="M153" i="4"/>
  <c r="H1328" i="8" s="1"/>
  <c r="H994" i="8"/>
  <c r="B32" i="7"/>
  <c r="G1295" i="8"/>
  <c r="F1295" i="8"/>
  <c r="L138" i="4"/>
  <c r="M138" i="4"/>
  <c r="H1295" i="8" s="1"/>
  <c r="F23" i="8"/>
  <c r="G23" i="8"/>
  <c r="L111" i="4"/>
  <c r="M111" i="4"/>
  <c r="H23" i="8" s="1"/>
  <c r="G1297" i="8"/>
  <c r="F1297" i="8"/>
  <c r="L94" i="4"/>
  <c r="M94" i="4"/>
  <c r="H1297" i="8" s="1"/>
  <c r="F50" i="8"/>
  <c r="M114" i="4"/>
  <c r="H50" i="8" s="1"/>
  <c r="L114" i="4"/>
  <c r="G50" i="8"/>
  <c r="F575" i="8"/>
  <c r="G575" i="8"/>
  <c r="L23" i="4"/>
  <c r="M23" i="4"/>
  <c r="H575" i="8" s="1"/>
  <c r="F47" i="8"/>
  <c r="G47" i="8"/>
  <c r="L37" i="4"/>
  <c r="M37" i="4"/>
  <c r="H47" i="8" s="1"/>
  <c r="F42" i="8"/>
  <c r="G42" i="8"/>
  <c r="L164" i="4"/>
  <c r="M164" i="4"/>
  <c r="H42" i="8" s="1"/>
  <c r="G1283" i="8"/>
  <c r="F1283" i="8"/>
  <c r="M169" i="4"/>
  <c r="H1283" i="8" s="1"/>
  <c r="L169" i="4"/>
  <c r="F578" i="8"/>
  <c r="G578" i="8"/>
  <c r="L103" i="4"/>
  <c r="M103" i="4"/>
  <c r="H578" i="8" s="1"/>
  <c r="G1292" i="8"/>
  <c r="F1292" i="8"/>
  <c r="L85" i="4"/>
  <c r="M85" i="4"/>
  <c r="H1292" i="8" s="1"/>
  <c r="G1314" i="8"/>
  <c r="F1314" i="8"/>
  <c r="L99" i="4"/>
  <c r="M99" i="4"/>
  <c r="H1314" i="8" s="1"/>
  <c r="F4" i="8"/>
  <c r="G4" i="8"/>
  <c r="M7" i="4"/>
  <c r="H4" i="8" s="1"/>
  <c r="L7" i="4"/>
  <c r="F998" i="8"/>
  <c r="G998" i="8"/>
  <c r="L33" i="4"/>
  <c r="M33" i="4"/>
  <c r="H998" i="8" s="1"/>
  <c r="G1282" i="8"/>
  <c r="F1282" i="8"/>
  <c r="L35" i="4"/>
  <c r="M35" i="4"/>
  <c r="H1282" i="8" s="1"/>
  <c r="F579" i="8"/>
  <c r="G579" i="8"/>
  <c r="L136" i="4"/>
  <c r="M136" i="4"/>
  <c r="H579" i="8" s="1"/>
  <c r="G1300" i="8"/>
  <c r="F1300" i="8"/>
  <c r="L36" i="4"/>
  <c r="M36" i="4"/>
  <c r="H1300" i="8" s="1"/>
  <c r="F39" i="8"/>
  <c r="G39" i="8"/>
  <c r="L155" i="4"/>
  <c r="M155" i="4"/>
  <c r="H39" i="8" s="1"/>
  <c r="G1288" i="8"/>
  <c r="F1288" i="8"/>
  <c r="L38" i="4"/>
  <c r="M38" i="4"/>
  <c r="H1288" i="8" s="1"/>
  <c r="F37" i="8"/>
  <c r="L144" i="4"/>
  <c r="G37" i="8"/>
  <c r="M144" i="4"/>
  <c r="H37" i="8" s="1"/>
  <c r="F44" i="8"/>
  <c r="G44" i="8"/>
  <c r="L129" i="4"/>
  <c r="M129" i="4"/>
  <c r="H44" i="8" s="1"/>
  <c r="G1316" i="8"/>
  <c r="F1316" i="8"/>
  <c r="L105" i="4"/>
  <c r="M105" i="4"/>
  <c r="H1316" i="8" s="1"/>
  <c r="F57" i="8"/>
  <c r="M73" i="4"/>
  <c r="H57" i="8" s="1"/>
  <c r="G57" i="8"/>
  <c r="L73" i="4"/>
  <c r="G1323" i="8"/>
  <c r="F1323" i="8"/>
  <c r="L148" i="4"/>
  <c r="M148" i="4"/>
  <c r="H1323" i="8" s="1"/>
  <c r="G1279" i="8"/>
  <c r="F1279" i="8"/>
  <c r="L163" i="4"/>
  <c r="M163" i="4"/>
  <c r="H1279" i="8" s="1"/>
  <c r="F40" i="8"/>
  <c r="G40" i="8"/>
  <c r="L157" i="4"/>
  <c r="M157" i="4"/>
  <c r="H40" i="8" s="1"/>
  <c r="G1332" i="8"/>
  <c r="F1332" i="8"/>
  <c r="L159" i="4"/>
  <c r="M159" i="4"/>
  <c r="H1332" i="8" s="1"/>
  <c r="G1270" i="8"/>
  <c r="F1270" i="8"/>
  <c r="L21" i="4"/>
  <c r="M21" i="4"/>
  <c r="H1270" i="8" s="1"/>
  <c r="F21" i="8"/>
  <c r="L95" i="4"/>
  <c r="G21" i="8"/>
  <c r="M95" i="4"/>
  <c r="H21" i="8" s="1"/>
  <c r="F45" i="8"/>
  <c r="G45" i="8"/>
  <c r="L43" i="4"/>
  <c r="M43" i="4"/>
  <c r="H45" i="8" s="1"/>
  <c r="F33" i="8"/>
  <c r="G33" i="8"/>
  <c r="L133" i="4"/>
  <c r="M133" i="4"/>
  <c r="H33" i="8" s="1"/>
  <c r="G1324" i="8"/>
  <c r="F1324" i="8"/>
  <c r="L149" i="4"/>
  <c r="M149" i="4"/>
  <c r="H1324" i="8" s="1"/>
  <c r="G1286" i="8"/>
  <c r="F1286" i="8"/>
  <c r="L28" i="4"/>
  <c r="M28" i="4"/>
  <c r="H1286" i="8" s="1"/>
  <c r="G1305" i="8"/>
  <c r="F1305" i="8"/>
  <c r="M63" i="4"/>
  <c r="H1305" i="8" s="1"/>
  <c r="L63" i="4"/>
  <c r="G1280" i="8"/>
  <c r="F1280" i="8"/>
  <c r="L104" i="4"/>
  <c r="M104" i="4"/>
  <c r="H1280" i="8" s="1"/>
  <c r="F6" i="8"/>
  <c r="G6" i="8"/>
  <c r="L18" i="4"/>
  <c r="M18" i="4"/>
  <c r="H6" i="8" s="1"/>
  <c r="F17" i="8"/>
  <c r="G17" i="8"/>
  <c r="M61" i="4"/>
  <c r="H17" i="8" s="1"/>
  <c r="L61" i="4"/>
  <c r="F46" i="8"/>
  <c r="G46" i="8"/>
  <c r="M6" i="4"/>
  <c r="H46" i="8" s="1"/>
  <c r="L6" i="4"/>
  <c r="G1335" i="8"/>
  <c r="F1335" i="8"/>
  <c r="M171" i="4"/>
  <c r="H1335" i="8" s="1"/>
  <c r="L171" i="4"/>
  <c r="F992" i="8"/>
  <c r="G992" i="8"/>
  <c r="L147" i="4"/>
  <c r="M147" i="4"/>
  <c r="H992" i="8" s="1"/>
  <c r="F580" i="8"/>
  <c r="G580" i="8"/>
  <c r="M79" i="4"/>
  <c r="H580" i="8" s="1"/>
  <c r="L79" i="4"/>
  <c r="F988" i="8"/>
  <c r="G988" i="8"/>
  <c r="L25" i="4"/>
  <c r="M25" i="4"/>
  <c r="H988" i="8" s="1"/>
  <c r="G1320" i="8"/>
  <c r="F1320" i="8"/>
  <c r="M128" i="4"/>
  <c r="H1320" i="8" s="1"/>
  <c r="L128" i="4"/>
  <c r="F43" i="8"/>
  <c r="G43" i="8"/>
  <c r="M57" i="4"/>
  <c r="H43" i="8" s="1"/>
  <c r="L57" i="4"/>
  <c r="G1322" i="8"/>
  <c r="F1322" i="8"/>
  <c r="L139" i="4"/>
  <c r="M139" i="4"/>
  <c r="H1322" i="8" s="1"/>
</calcChain>
</file>

<file path=xl/sharedStrings.xml><?xml version="1.0" encoding="utf-8"?>
<sst xmlns="http://schemas.openxmlformats.org/spreadsheetml/2006/main" count="21172" uniqueCount="3362">
  <si>
    <t>PARÂMETROS — ÂNCORA DE TODAS AS FÓRMULAS DO MOTOR</t>
  </si>
  <si>
    <t>Todas as abas referenciam esta aba. Altere aqui para propagar ao motor inteiro.</t>
  </si>
  <si>
    <t>BLOCO A — FÓRMULA IC (pesos oficiais FAP/MPS)</t>
  </si>
  <si>
    <t>A1 Peso Gravidade (w_G)</t>
  </si>
  <si>
    <t>0,50 — peso oficial Portaria FAP/MPS</t>
  </si>
  <si>
    <t>A2 Peso Frequência (w_F)</t>
  </si>
  <si>
    <t>0,35 — peso oficial Portaria FAP/MPS</t>
  </si>
  <si>
    <t>A3 Peso Custo (w_C)</t>
  </si>
  <si>
    <t>0,15 — peso oficial Portaria FAP/MPS</t>
  </si>
  <si>
    <t>A4 Verificação soma (= A1+A2+A3)</t>
  </si>
  <si>
    <t>Deve ser 1,00</t>
  </si>
  <si>
    <t>BLOCO B — PONTO DE REFERÊNCIA</t>
  </si>
  <si>
    <t>B1 IC de Referência (IC_ref)</t>
  </si>
  <si>
    <t>Mediana teórica da escala percentil 0–100</t>
  </si>
  <si>
    <t>BLOCO C — LIMITES DA RELATIVIDADE</t>
  </si>
  <si>
    <t>C1 Limite inferior (desagravo máximo)</t>
  </si>
  <si>
    <t>0,75 = desagravo de até 25%</t>
  </si>
  <si>
    <t>C2 Limite superior (agravo máximo)</t>
  </si>
  <si>
    <t>1,40 = agravo de até 40%</t>
  </si>
  <si>
    <t>BLOCO D — LIMIARES DAS CLASSES</t>
  </si>
  <si>
    <t>D1 Classe Preferencial ≤</t>
  </si>
  <si>
    <t>IC &lt; 43,75</t>
  </si>
  <si>
    <t>D2 Classe Baixo ≤</t>
  </si>
  <si>
    <t>IC 43,75–47,50</t>
  </si>
  <si>
    <t>D3 Classe Médio ≤</t>
  </si>
  <si>
    <t>IC 47,50–53,75</t>
  </si>
  <si>
    <t>D4 Classe Alto ≤</t>
  </si>
  <si>
    <t>IC 53,75–61,25</t>
  </si>
  <si>
    <t>D5 Classe Elevado (&gt; D4)</t>
  </si>
  <si>
    <t>IC &gt; 61,25</t>
  </si>
  <si>
    <t>BLOCO E — ESTATÍSTICAS DOS DADOS FAP (referência)</t>
  </si>
  <si>
    <t>E1 N observações (ICs &gt; 0)</t>
  </si>
  <si>
    <t>ICs válidos nos PDFs FAP vigências 2024+2025</t>
  </si>
  <si>
    <t>E2 IC Médio observado</t>
  </si>
  <si>
    <t>Média dos ICs calculados — referência analítica</t>
  </si>
  <si>
    <t>E3 IC Desvio Padrão</t>
  </si>
  <si>
    <t>Dispersão — usada no teste z</t>
  </si>
  <si>
    <t>E4 IC Mediana observada</t>
  </si>
  <si>
    <t>Mediana empírica</t>
  </si>
  <si>
    <t>E5 IC Mínimo observado</t>
  </si>
  <si>
    <t>E6 IC Máximo observado</t>
  </si>
  <si>
    <t>E7 IC Quartil 1 (Q1)</t>
  </si>
  <si>
    <t>E8 IC Quartil 3 (Q3)</t>
  </si>
  <si>
    <t>BLOCO F — TESTE Z (IC_ref=50 vs média observada)</t>
  </si>
  <si>
    <t>F1 Estatística z = (E2−B1) / (E3/√E1)</t>
  </si>
  <si>
    <t>z&gt;1,96 → rejeitar H0 α=5%</t>
  </si>
  <si>
    <t>F2 |z| &gt; 1,96?</t>
  </si>
  <si>
    <t>BLOCO G — CONTAGENS GERAIS</t>
  </si>
  <si>
    <t>G1 Total subclasses CNAE</t>
  </si>
  <si>
    <t>G2 Subclasses com FAP calculado</t>
  </si>
  <si>
    <t>G3 Subclasses com fallback CNAE-STG</t>
  </si>
  <si>
    <t>G4 Divisões com conflito intra-grupo</t>
  </si>
  <si>
    <t>Veja aba AUDITORIA</t>
  </si>
  <si>
    <t>METODOLOGIA — MOTOR DE CÁLCULO DE RELATIVIDADES POR CNAE | VIDA CAPITAL GLOBAL</t>
  </si>
  <si>
    <t>Fundamentos, Fórmulas e Análise Crítica | STG Seguros S.A. — 2026</t>
  </si>
  <si>
    <t>1. OBJETIVO</t>
  </si>
  <si>
    <t>Propósito</t>
  </si>
  <si>
    <t>Calcular, com base nos dados públicos FAP/MPS, agravos e desagravos sobre a taxa pura do produto Vida Capital Global em função da atividade econômica (CNAE) do estipulante.</t>
  </si>
  <si>
    <t>Fórmula de aplicação</t>
  </si>
  <si>
    <t>TP_ajustada = TP_base × Relatividade_CNAE</t>
  </si>
  <si>
    <t>2. FONTE DOS DADOS</t>
  </si>
  <si>
    <t>FAP / Ministério da Previdência Social</t>
  </si>
  <si>
    <t>Percentis de Frequência, Gravidade e Custo por subclasse CNAE 2.3. Publicados anualmente no portal gov.br/previdencia. Cobertura: ~3,4 milhões de estabelecimentos brasileiros.</t>
  </si>
  <si>
    <t>Vigência 2024 — dados 2021-2022</t>
  </si>
  <si>
    <t>Portaria Interministerial MPS/MF nº 1, de 20/09/2023</t>
  </si>
  <si>
    <t>Vigência 2025 — dados 2022-2023</t>
  </si>
  <si>
    <t>Portaria Interministerial MPS/MF nº 4, de 10/09/2024</t>
  </si>
  <si>
    <t>3. FÓRMULA DO ÍNDICE COMPOSTO (IC)</t>
  </si>
  <si>
    <t>IC = w_G × P_Gravidade + w_F × P_Frequência + w_C × P_Custo</t>
  </si>
  <si>
    <t>Pesos (parâmetros A1–A3 da aba 01_PARÂMETROS)</t>
  </si>
  <si>
    <t>w_G=0,50 | w_F=0,35 | w_C=0,15 | Soma=1,00 (fórmula oficial FAP)</t>
  </si>
  <si>
    <t>Escala de IC</t>
  </si>
  <si>
    <t>0 a 100. Quanto maior, maior a acidentalidade relativa da subclasse.</t>
  </si>
  <si>
    <t>4. PONTO DE REFERÊNCIA IC_ref = 50</t>
  </si>
  <si>
    <t>Definição</t>
  </si>
  <si>
    <t>IC_ref=50 é o ponto médio teórico da escala de percentis [0,100] — mediana teórica da distribuição uniforme.</t>
  </si>
  <si>
    <t>Por que 50 e não a média das subclasses disponíveis?</t>
  </si>
  <si>
    <t>Os PDFs FAP cobrem ~163 subclasses concentradas em agropecuária e extrativismo — setores acima da média de acidentalidade. Usar a média dessas subclasses como referência criaria viés de seleção: agravos subestimados, desagravos superestimados. IC_ref=50 é transparente, defensável e independente da amostra.</t>
  </si>
  <si>
    <t>5. CÁLCULO DA RELATIVIDADE</t>
  </si>
  <si>
    <t>Relatividade Bruta</t>
  </si>
  <si>
    <t>Relat_bruta = IC_médio / IC_ref</t>
  </si>
  <si>
    <t>IC Médio</t>
  </si>
  <si>
    <t>Média simples dos ICs dos dois anos disponíveis (2023 e 2024)</t>
  </si>
  <si>
    <t>Relatividade Final</t>
  </si>
  <si>
    <t>Relat_final = MAX(C1 ; MIN(C2 ; Relat_bruta)) — parâmetros C1=0,75 e C2=1,40 na aba 01_PARÂMETROS</t>
  </si>
  <si>
    <t>Ajuste sobre a TP</t>
  </si>
  <si>
    <t>Ajuste_% = (Relat_final − 1,00) × 100</t>
  </si>
  <si>
    <t>6. ANÁLISE CRÍTICA — CONFLITOS INTRA-DIVISÃO</t>
  </si>
  <si>
    <t>O que são conflitos</t>
  </si>
  <si>
    <t>Subclasses da mesma divisão CNAE com classes de risco opostas (ex: Preferencial e Elevado dentro de 08.10).</t>
  </si>
  <si>
    <t>Fazem sentido?</t>
  </si>
  <si>
    <t>MAJORITARIAMENTE SIM. Dentro de uma divisão, diferentes subclasses têm natureza de trabalho radicalmente diferente:
  • Extração em frente de lavra (alto risco) vs. beneficiamento em galpão (menor risco)
  • Pesca oceânica (alto) vs. apoio à pesca em escritório (baixo)
  • Criação intensiva (alto) vs. criação extensiva (baixo)</t>
  </si>
  <si>
    <t>Casos para revisão</t>
  </si>
  <si>
    <t>Alguns conflitos podem decorrer de amostras pequenas no FAP (IC instável). A aba 06_AUDITORIA_CONSISTÊNCIA identifica e classifica cada conflito com flag de alerta.</t>
  </si>
  <si>
    <t>Regra adotada</t>
  </si>
  <si>
    <t>Cada subclasse mantém sua relatividade calculada individualmente pelo FAP. NÃO se aplica correção automática. Correções manuais devem ser documentadas e aprovadas pelo atuário responsável.</t>
  </si>
  <si>
    <t>7. TRATAMENTO SEM DADOS FAP</t>
  </si>
  <si>
    <t>Fallback</t>
  </si>
  <si>
    <t>Subclasse sem dados FAP usa o coeficiente CNAE-STG original: Baixo=0,90 | Médio=1,00 | Alto=1,15</t>
  </si>
  <si>
    <t>8. RASTREABILIDADE</t>
  </si>
  <si>
    <t>Todos os números são calculados por fórmula</t>
  </si>
  <si>
    <t>Nenhum valor foi colado como constante no motor. Todas as células de resultado referenciam a aba 01_PARÂMETROS ou a aba 03_FONTE_FAP.</t>
  </si>
  <si>
    <t>Cadeia de dependências</t>
  </si>
  <si>
    <t>01_PARÂMETROS → 03_FONTE_FAP → 04_MOTOR_CÁLCULO → 05_RESULTADOS</t>
  </si>
  <si>
    <t>Para auditar um número</t>
  </si>
  <si>
    <t>Selecione a célula → Ctrl+[ para seguir dependentes | Ctrl+] para ver precedentes</t>
  </si>
  <si>
    <t>9. REVISÃO</t>
  </si>
  <si>
    <t>Periodicidade</t>
  </si>
  <si>
    <t>Anual — setembro, com publicação dos novos percentis FAP pelo MPS</t>
  </si>
  <si>
    <t>Responsável</t>
  </si>
  <si>
    <t>Atuário Responsável Técnico | MIBA 2664 | STG Seguros S.A.</t>
  </si>
  <si>
    <t>FONTE DE DADOS — FAP / MPS | Percentis de Frequência, Gravidade e Custo por CNAE</t>
  </si>
  <si>
    <t>Portarias MPS/MF nº1/2023 (vigência 2024) e nº4/2024 (vigência 2025) | IC = w_G×Grav + w_F×Freq + w_C×Custo</t>
  </si>
  <si>
    <t>IDENTIFICAÇÃO</t>
  </si>
  <si>
    <t>▶ FAP VIGÊNCIA 2024 (dados 2021–2022)</t>
  </si>
  <si>
    <t>▶ FAP VIGÊNCIA 2025 (dados 2022–2023)</t>
  </si>
  <si>
    <t>▶ RESULTADO</t>
  </si>
  <si>
    <t>CNAE</t>
  </si>
  <si>
    <t>Descrição Subclasse</t>
  </si>
  <si>
    <t>P_Freq</t>
  </si>
  <si>
    <t>P_Grav</t>
  </si>
  <si>
    <t>P_Custo</t>
  </si>
  <si>
    <t>IC 2023
(fórmula)</t>
  </si>
  <si>
    <t>Válido?</t>
  </si>
  <si>
    <t>IC 2024
(fórmula)</t>
  </si>
  <si>
    <t>IC Médio
(fórmula)</t>
  </si>
  <si>
    <t>Relat. Bruta
(fórmula)</t>
  </si>
  <si>
    <t>Relat. Final
(fórmula)</t>
  </si>
  <si>
    <t>01.11-3/01</t>
  </si>
  <si>
    <t>Cultivo de arroz</t>
  </si>
  <si>
    <t>01.11-3/02</t>
  </si>
  <si>
    <t>Cultivo de milho</t>
  </si>
  <si>
    <t>01.11-3/03</t>
  </si>
  <si>
    <t>Cultivo de trigo</t>
  </si>
  <si>
    <t>01.11-3/99</t>
  </si>
  <si>
    <t>Cultivo de outros cereais não especificados anteriormente</t>
  </si>
  <si>
    <t>01.12-1/01</t>
  </si>
  <si>
    <t>Cultivo de algodão herbáceo</t>
  </si>
  <si>
    <t>01.12-1/02</t>
  </si>
  <si>
    <t>Cultivo de juta</t>
  </si>
  <si>
    <t>01.12-1/99</t>
  </si>
  <si>
    <t>Cultivo de outras fibras de lavoura temporária não especificadas anteriormente</t>
  </si>
  <si>
    <t>01.13-0/00</t>
  </si>
  <si>
    <t>Cultivo de cana-de-açúcar</t>
  </si>
  <si>
    <t>01.14-8/00</t>
  </si>
  <si>
    <t>Cultivo de fumo</t>
  </si>
  <si>
    <t>01.15-6/00</t>
  </si>
  <si>
    <t>Cultivo de soja</t>
  </si>
  <si>
    <t>01.16-4/01</t>
  </si>
  <si>
    <t>Cultivo de amendoim</t>
  </si>
  <si>
    <t>01.16-4/02</t>
  </si>
  <si>
    <t>Cultivo de girassol</t>
  </si>
  <si>
    <t>01.16-4/03</t>
  </si>
  <si>
    <t>Cultivo de mamona</t>
  </si>
  <si>
    <t>01.16-4/99</t>
  </si>
  <si>
    <t>Cultivo de outras oleaginosas de lavoura temporária não especificadas anteriormente</t>
  </si>
  <si>
    <t>01.19-9/01</t>
  </si>
  <si>
    <t>Cultivo de abacaxi</t>
  </si>
  <si>
    <t>01.19-9/02</t>
  </si>
  <si>
    <t>Cultivo de alho</t>
  </si>
  <si>
    <t>01.19-9/03</t>
  </si>
  <si>
    <t>Cultivo de batata-inglesa</t>
  </si>
  <si>
    <t>01.19-9/04</t>
  </si>
  <si>
    <t>Cultivo de cebola</t>
  </si>
  <si>
    <t>01.19-9/05</t>
  </si>
  <si>
    <t>Cultivo de feijão</t>
  </si>
  <si>
    <t>01.19-9/06</t>
  </si>
  <si>
    <t>Cultivo de mandioca</t>
  </si>
  <si>
    <t>01.19-9/07</t>
  </si>
  <si>
    <t>Cultivo de melão</t>
  </si>
  <si>
    <t>01.19-9/08</t>
  </si>
  <si>
    <t>Cultivo de melancia</t>
  </si>
  <si>
    <t>01.19-9/09</t>
  </si>
  <si>
    <t>Cultivo de tomate rasteiro</t>
  </si>
  <si>
    <t>01.19-9/99</t>
  </si>
  <si>
    <t>Cultivo de outras plantas de lavoura temporária não especificadas anteriormente</t>
  </si>
  <si>
    <t>01.21-1/01</t>
  </si>
  <si>
    <t>Horticultura, exceto morango</t>
  </si>
  <si>
    <t>01.21-1/02</t>
  </si>
  <si>
    <t>Cultivo de morango</t>
  </si>
  <si>
    <t>01.22-9/00</t>
  </si>
  <si>
    <t>Cultivo de flores e plantas ornamentais</t>
  </si>
  <si>
    <t>01.31-8/00</t>
  </si>
  <si>
    <t>Cultivo de laranja</t>
  </si>
  <si>
    <t>01.32-6/00</t>
  </si>
  <si>
    <t>Cultivo de uva</t>
  </si>
  <si>
    <t>01.33-4/01</t>
  </si>
  <si>
    <t>Cultivo de açaí</t>
  </si>
  <si>
    <t>01.33-4/02</t>
  </si>
  <si>
    <t>Cultivo de banana</t>
  </si>
  <si>
    <t>01.33-4/03</t>
  </si>
  <si>
    <t>Cultivo de caju</t>
  </si>
  <si>
    <t>01.33-4/04</t>
  </si>
  <si>
    <t>Cultivo de cítricos, exceto laranja</t>
  </si>
  <si>
    <t>01.33-4/05</t>
  </si>
  <si>
    <t>Cultivo de coco-da-baía</t>
  </si>
  <si>
    <t>01.33-4/06</t>
  </si>
  <si>
    <t>Cultivo de guaraná</t>
  </si>
  <si>
    <t>01.33-4/07</t>
  </si>
  <si>
    <t>Cultivo de maçã</t>
  </si>
  <si>
    <t>01.33-4/08</t>
  </si>
  <si>
    <t>Cultivo de mamão</t>
  </si>
  <si>
    <t>01.33-4/09</t>
  </si>
  <si>
    <t>Cultivo de maracujá</t>
  </si>
  <si>
    <t>01.33-4/10</t>
  </si>
  <si>
    <t>Cultivo de manga</t>
  </si>
  <si>
    <t>01.33-4/11</t>
  </si>
  <si>
    <t>Cultivo de pêssego</t>
  </si>
  <si>
    <t>01.33-4/99</t>
  </si>
  <si>
    <t>Cultivo de frutas de lavoura permanente não especificadas anteriormente</t>
  </si>
  <si>
    <t>01.34-2/00</t>
  </si>
  <si>
    <t>Cultivo de café</t>
  </si>
  <si>
    <t>01.35-1/00</t>
  </si>
  <si>
    <t>Cultivo de cacau</t>
  </si>
  <si>
    <t>01.39-3/01</t>
  </si>
  <si>
    <t>Cultivo de chá-da-índia</t>
  </si>
  <si>
    <t>01.39-3/02</t>
  </si>
  <si>
    <t>Cultivo de erva-mate</t>
  </si>
  <si>
    <t>01.39-3/03</t>
  </si>
  <si>
    <t>Cultivo de pimenta-do-reino</t>
  </si>
  <si>
    <t>01.39-3/04</t>
  </si>
  <si>
    <t>Cultivo de plantas para condimento, exceto pimenta-do-reino</t>
  </si>
  <si>
    <t>01.39-3/05</t>
  </si>
  <si>
    <t>Cultivo de dendê</t>
  </si>
  <si>
    <t>01.39-3/06</t>
  </si>
  <si>
    <t>Cultivo de seringueira</t>
  </si>
  <si>
    <t>01.39-3/99</t>
  </si>
  <si>
    <t>Cultivo de outras plantas de lavoura permanente não especificadas anteriormente</t>
  </si>
  <si>
    <t>01.41-5/01</t>
  </si>
  <si>
    <t>Produção de sementes certificadas, exceto de forrageiras para pasto</t>
  </si>
  <si>
    <t>01.41-5/02</t>
  </si>
  <si>
    <t>Produção de sementes certificadas de forrageiras para formação de pasto</t>
  </si>
  <si>
    <t>01.42-3/00</t>
  </si>
  <si>
    <t>Produção de mudas e outras formas de propagação vegetal, certificadas</t>
  </si>
  <si>
    <t>01.51-2/01</t>
  </si>
  <si>
    <t>Criação de bovinos para corte</t>
  </si>
  <si>
    <t>01.51-2/02</t>
  </si>
  <si>
    <t>Criação de bovinos para leite</t>
  </si>
  <si>
    <t>01.51-2/03</t>
  </si>
  <si>
    <t>Criação de bovinos, exceto para corte e leite</t>
  </si>
  <si>
    <t>01.52-1/01</t>
  </si>
  <si>
    <t>Criação de bufalinos</t>
  </si>
  <si>
    <t>01.52-1/02</t>
  </si>
  <si>
    <t>Criação de equinos</t>
  </si>
  <si>
    <t>01.52-1/03</t>
  </si>
  <si>
    <t>Criação de asininos e muares</t>
  </si>
  <si>
    <t>01.53-9/01</t>
  </si>
  <si>
    <t>Criação de caprinos</t>
  </si>
  <si>
    <t>01.53-9/02</t>
  </si>
  <si>
    <t>Criação de ovinos, inclusive para produção de lã</t>
  </si>
  <si>
    <t>01.54-7/00</t>
  </si>
  <si>
    <t>Criação de suínos</t>
  </si>
  <si>
    <t>01.55-5/01</t>
  </si>
  <si>
    <t>Criação de frangos para corte</t>
  </si>
  <si>
    <t>01.55-5/02</t>
  </si>
  <si>
    <t>Produção de pintos de um dia</t>
  </si>
  <si>
    <t>01.55-5/03</t>
  </si>
  <si>
    <t>Criação de outros galináceos, exceto para corte</t>
  </si>
  <si>
    <t>01.55-5/04</t>
  </si>
  <si>
    <t>Criação de aves, exceto galináceos</t>
  </si>
  <si>
    <t>01.55-5/05</t>
  </si>
  <si>
    <t>Produção de ovos</t>
  </si>
  <si>
    <t>01.59-8/01</t>
  </si>
  <si>
    <t>Apicultura</t>
  </si>
  <si>
    <t>01.59-8/02</t>
  </si>
  <si>
    <t>Criação de animais de estimação</t>
  </si>
  <si>
    <t>01.59-8/99</t>
  </si>
  <si>
    <t>Criação de outros animais não especificados anteriormente</t>
  </si>
  <si>
    <t>01.61-0/01</t>
  </si>
  <si>
    <t>Serviço de pulverização e controle de pragas agrícolas</t>
  </si>
  <si>
    <t>01.61-0/02</t>
  </si>
  <si>
    <t>Serviço de poda de árvores para lavouras</t>
  </si>
  <si>
    <t>01.61-0/03</t>
  </si>
  <si>
    <t>Serviço de preparação de terreno, cultivo e colheita</t>
  </si>
  <si>
    <t>01.61-0/99</t>
  </si>
  <si>
    <t>Atividades de apoio à agricultura não especificadas anteriormente</t>
  </si>
  <si>
    <t>01.62-8/01</t>
  </si>
  <si>
    <t>Serviço de inseminação artificial em animais</t>
  </si>
  <si>
    <t>01.62-8/02</t>
  </si>
  <si>
    <t>Serviço de tosquiamento de ovinos</t>
  </si>
  <si>
    <t>01.62-8/03</t>
  </si>
  <si>
    <t>Serviço de manejo de animais</t>
  </si>
  <si>
    <t>01.62-8/99</t>
  </si>
  <si>
    <t>Atividades de apoio à pecuária não especificadas anteriormente</t>
  </si>
  <si>
    <t>01.63-6/00</t>
  </si>
  <si>
    <t>Atividades de pós-colheita</t>
  </si>
  <si>
    <t>01.70-9/00</t>
  </si>
  <si>
    <t>Caça e serviços relacionados</t>
  </si>
  <si>
    <t>02.10-1/01</t>
  </si>
  <si>
    <t>Cultivo de eucalipto</t>
  </si>
  <si>
    <t>02.10-1/02</t>
  </si>
  <si>
    <t>Cultivo de acácia-negra</t>
  </si>
  <si>
    <t>02.10-1/03</t>
  </si>
  <si>
    <t>Cultivo de pinus</t>
  </si>
  <si>
    <t>02.10-1/04</t>
  </si>
  <si>
    <t>Cultivo de teca</t>
  </si>
  <si>
    <t>02.10-1/05</t>
  </si>
  <si>
    <t>Cultivo de espécies madeireiras, exceto eucalipto, acácia-negra, pinus e teca</t>
  </si>
  <si>
    <t>02.10-1/06</t>
  </si>
  <si>
    <t>Cultivo de mudas em viveiros florestais</t>
  </si>
  <si>
    <t>02.10-1/07</t>
  </si>
  <si>
    <t>Extração de madeira em florestas plantadas</t>
  </si>
  <si>
    <t>02.10-1/08</t>
  </si>
  <si>
    <t>Produção de carvão vegetal - florestas plantadas</t>
  </si>
  <si>
    <t>02.10-1/09</t>
  </si>
  <si>
    <t>Produção de casca de acácia-negra - florestas plantadas</t>
  </si>
  <si>
    <t>02.10-1/99</t>
  </si>
  <si>
    <t>Produção de produtos não madeireiros não especificados anteriormente em florestas plantadas</t>
  </si>
  <si>
    <t>02.20-9/01</t>
  </si>
  <si>
    <t>Extração de madeira em florestas nativas</t>
  </si>
  <si>
    <t>02.20-9/02</t>
  </si>
  <si>
    <t>Produção de carvão vegetal - florestas nativas</t>
  </si>
  <si>
    <t>02.20-9/03</t>
  </si>
  <si>
    <t>Coleta de castanha-do-pará em florestas nativas</t>
  </si>
  <si>
    <t>02.20-9/04</t>
  </si>
  <si>
    <t>Coleta de látex em florestas nativas</t>
  </si>
  <si>
    <t>02.20-9/05</t>
  </si>
  <si>
    <t>Coleta de palmito em florestas nativas</t>
  </si>
  <si>
    <t>02.20-9/06</t>
  </si>
  <si>
    <t>Conservação de florestas nativas</t>
  </si>
  <si>
    <t>02.20-9/99</t>
  </si>
  <si>
    <t>Coleta de produtos não madeireiros não especificados anteriormente em florestas nativas</t>
  </si>
  <si>
    <t>02.30-6/00</t>
  </si>
  <si>
    <t>Atividades de apoio à produção florestal</t>
  </si>
  <si>
    <t>03.11-6/01</t>
  </si>
  <si>
    <t>Pesca de peixes em água salgada</t>
  </si>
  <si>
    <t>03.11-6/02</t>
  </si>
  <si>
    <t>Pesca de crustáceos e moluscos em água salgada</t>
  </si>
  <si>
    <t>03.11-6/03</t>
  </si>
  <si>
    <t>Coleta de outros produtos marinhos</t>
  </si>
  <si>
    <t>03.11-6/04</t>
  </si>
  <si>
    <t>Atividades de apoio à pesca em água salgada</t>
  </si>
  <si>
    <t>03.12-4/01</t>
  </si>
  <si>
    <t>Pesca de peixes em água doce</t>
  </si>
  <si>
    <t>03.12-4/03</t>
  </si>
  <si>
    <t>Coleta de outros produtos aquáticos de água doce</t>
  </si>
  <si>
    <t>03.12-4/04</t>
  </si>
  <si>
    <t>Atividades de apoio à pesca em água doce</t>
  </si>
  <si>
    <t>03.21-3/01</t>
  </si>
  <si>
    <t>Criação de peixes em água salgada e salobra</t>
  </si>
  <si>
    <t>03.21-3/02</t>
  </si>
  <si>
    <t>Criação de camarões em água salgada e salobra</t>
  </si>
  <si>
    <t>03.21-3/03</t>
  </si>
  <si>
    <t>Criação de ostras e mexilhões em água salgada e salobra</t>
  </si>
  <si>
    <t>03.21-3/04</t>
  </si>
  <si>
    <t>Criação de peixes ornamentais em água salgada e salobra</t>
  </si>
  <si>
    <t>03.21-3/05</t>
  </si>
  <si>
    <t>Atividades de apoio à aquicultura em água salgada e salobra</t>
  </si>
  <si>
    <t>03.21-3/99</t>
  </si>
  <si>
    <t>Cultivos e semicultivos da aquicultura em água salgada e salobra não especificados anteriormente</t>
  </si>
  <si>
    <t>03.22-1/01</t>
  </si>
  <si>
    <t>Criação de peixes em água doce</t>
  </si>
  <si>
    <t>03.22-1/02</t>
  </si>
  <si>
    <t>Criação de camarões em água doce</t>
  </si>
  <si>
    <t>03.22-1/04</t>
  </si>
  <si>
    <t>Criação de peixes ornamentais em água doce</t>
  </si>
  <si>
    <t>03.22-1/05</t>
  </si>
  <si>
    <t>Ranicultura</t>
  </si>
  <si>
    <t>03.22-1/06</t>
  </si>
  <si>
    <t>Criação de jacaré</t>
  </si>
  <si>
    <t>03.22-1/07</t>
  </si>
  <si>
    <t>Atividades de apoio à aquicultura em água doce</t>
  </si>
  <si>
    <t>03.22-1/99</t>
  </si>
  <si>
    <t>Cultivos e semicultivos da aquicultura em água doce não especificados anteriormente</t>
  </si>
  <si>
    <t>05.00-3/01</t>
  </si>
  <si>
    <t>Extração de carvão mineral</t>
  </si>
  <si>
    <t>05.00-3/02</t>
  </si>
  <si>
    <t>Beneficiamento de carvão mineral</t>
  </si>
  <si>
    <t>06.00-0/01</t>
  </si>
  <si>
    <t>Extração de petróleo e gás natural</t>
  </si>
  <si>
    <t>06.00-0/02</t>
  </si>
  <si>
    <t>Extração e beneficiamento de xisto</t>
  </si>
  <si>
    <t>06.00-0/03</t>
  </si>
  <si>
    <t>Extração e beneficiamento de areias betuminosas</t>
  </si>
  <si>
    <t>07.10-3/01</t>
  </si>
  <si>
    <t>Extração de minério de ferro</t>
  </si>
  <si>
    <t>07.10-3/02</t>
  </si>
  <si>
    <t>Pelotização, sinterização e outros beneficiamentos de minério de ferro</t>
  </si>
  <si>
    <t>07.21-9/01</t>
  </si>
  <si>
    <t>Extração de minério de alumínio</t>
  </si>
  <si>
    <t>07.21-9/02</t>
  </si>
  <si>
    <t>Beneficiamento de minério de alumínio</t>
  </si>
  <si>
    <t>07.22-7/01</t>
  </si>
  <si>
    <t>Extração de minério de estanho</t>
  </si>
  <si>
    <t>07.22-7/02</t>
  </si>
  <si>
    <t>Beneficiamento de minério de estanho</t>
  </si>
  <si>
    <t>07.23-5/01</t>
  </si>
  <si>
    <t>Extração de minério de manganês</t>
  </si>
  <si>
    <t>07.23-5/02</t>
  </si>
  <si>
    <t>Beneficiamento de minério de manganês</t>
  </si>
  <si>
    <t>07.24-3/01</t>
  </si>
  <si>
    <t>Extração de minério de metais preciosos</t>
  </si>
  <si>
    <t>07.24-3/02</t>
  </si>
  <si>
    <t>Beneficiamento de minério de metais preciosos</t>
  </si>
  <si>
    <t>07.25-1/00</t>
  </si>
  <si>
    <t>Extração de minerais radioativos</t>
  </si>
  <si>
    <t>N/D</t>
  </si>
  <si>
    <t>07.29-4/01</t>
  </si>
  <si>
    <t>Extração de minérios de nióbio e titânio</t>
  </si>
  <si>
    <t>07.29-4/02</t>
  </si>
  <si>
    <t>Extração de minério de tungstênio</t>
  </si>
  <si>
    <t>07.29-4/03</t>
  </si>
  <si>
    <t>Extração de minério de níquel</t>
  </si>
  <si>
    <t>07.29-4/04</t>
  </si>
  <si>
    <t>Extração de minérios de cobre, chumbo, zinco e outros minerais metálicos não ferrosos não especificados anteriormente</t>
  </si>
  <si>
    <t>07.29-4/05</t>
  </si>
  <si>
    <t>Beneficiamento de minérios de cobre, chumbo, zinco e outros minerais metálicos não ferrosos não especificados anteriormente</t>
  </si>
  <si>
    <t>08.10-0/01</t>
  </si>
  <si>
    <t>Extração de ardósia e beneficiamento associado</t>
  </si>
  <si>
    <t>08.10-0/02</t>
  </si>
  <si>
    <t>Extração de granito e beneficiamento associado</t>
  </si>
  <si>
    <t>08.10-0/03</t>
  </si>
  <si>
    <t>Extração de mármore e beneficiamento associado</t>
  </si>
  <si>
    <t>08.10-0/04</t>
  </si>
  <si>
    <t>Extração de calcário e dolomita e beneficiamento associado</t>
  </si>
  <si>
    <t>08.10-0/05</t>
  </si>
  <si>
    <t>Extração de gesso e caulim</t>
  </si>
  <si>
    <t>08.10-0/06</t>
  </si>
  <si>
    <t>Extração de areia, cascalho ou pedregulho e beneficiamento associado</t>
  </si>
  <si>
    <t>08.10-0/07</t>
  </si>
  <si>
    <t>Extração de argila e beneficiamento associado</t>
  </si>
  <si>
    <t>08.10-0/08</t>
  </si>
  <si>
    <t>Extração de saibro e beneficiamento associado</t>
  </si>
  <si>
    <t>08.10-0/09</t>
  </si>
  <si>
    <t>Extração de basalto e beneficiamento associado</t>
  </si>
  <si>
    <t>08.10-0/10</t>
  </si>
  <si>
    <t>Beneficiamento de gesso e caulim associado à extração</t>
  </si>
  <si>
    <t>08.10-0/99</t>
  </si>
  <si>
    <t>Extração e britamento de pedras e outros materiais para construção e beneficiamento associado</t>
  </si>
  <si>
    <t>08.91-6/00</t>
  </si>
  <si>
    <t>Extração de minerais para fabricação de adubos, fertilizantes e outros produtos químicos</t>
  </si>
  <si>
    <t>08.92-4/01</t>
  </si>
  <si>
    <t>Extração de sal marinho</t>
  </si>
  <si>
    <t>08.92-4/02</t>
  </si>
  <si>
    <t>Extração de sal-gema</t>
  </si>
  <si>
    <t>08.92-4/03</t>
  </si>
  <si>
    <t>Refino e outros tratamentos do sal</t>
  </si>
  <si>
    <t>08.93-2/00</t>
  </si>
  <si>
    <t>Extração de gemas (pedras preciosas e semipreciosas)</t>
  </si>
  <si>
    <t>08.99-1/01</t>
  </si>
  <si>
    <t>Extração de grafita</t>
  </si>
  <si>
    <t>08.99-1/02</t>
  </si>
  <si>
    <t>Extração de quartzo</t>
  </si>
  <si>
    <t>08.99-1/03</t>
  </si>
  <si>
    <t>Extração de amianto</t>
  </si>
  <si>
    <t>08.99-1/99</t>
  </si>
  <si>
    <t>Extração de outros minerais não metálicos não especificados anteriormente</t>
  </si>
  <si>
    <t>09.10-6/00</t>
  </si>
  <si>
    <t>Atividades de apoio à extração de petróleo e gás natural</t>
  </si>
  <si>
    <t>09.90-4/01</t>
  </si>
  <si>
    <t>Atividades de apoio à extração de minério de ferro</t>
  </si>
  <si>
    <t>09.90-4/02</t>
  </si>
  <si>
    <t>Atividades de apoio à extração de minerais metálicos não ferrosos</t>
  </si>
  <si>
    <t>09.90-4/03</t>
  </si>
  <si>
    <t>Atividades de apoio à extração de minerais não metálicos</t>
  </si>
  <si>
    <t>MOTOR DE CÁLCULO — RELATIVIDADES CNAE | VIDA CAPITAL GLOBAL | STG SEGUROS</t>
  </si>
  <si>
    <t>Todos os valores são calculados por fórmula — sem constantes coladas. Parâmetros em 01_PARÂMETROS.</t>
  </si>
  <si>
    <t>FAP — ÍNDICES COMPOSTOS</t>
  </si>
  <si>
    <t>RELATIVIDADE</t>
  </si>
  <si>
    <t>RESULTADO FINAL</t>
  </si>
  <si>
    <t>Cód.CNAE</t>
  </si>
  <si>
    <t>Sec.</t>
  </si>
  <si>
    <t>Div.</t>
  </si>
  <si>
    <t>Class.
CNAE</t>
  </si>
  <si>
    <t>IC
2023</t>
  </si>
  <si>
    <t>IC
2024</t>
  </si>
  <si>
    <t>IC
Médio</t>
  </si>
  <si>
    <t>IC_ref
(param.)</t>
  </si>
  <si>
    <t>Relat.
Bruta</t>
  </si>
  <si>
    <t>Relat.
Final</t>
  </si>
  <si>
    <t>Ajuste %</t>
  </si>
  <si>
    <t>Classe</t>
  </si>
  <si>
    <t>Fonte</t>
  </si>
  <si>
    <t>Flag
Conflito</t>
  </si>
  <si>
    <t>0111-3/01</t>
  </si>
  <si>
    <t>A</t>
  </si>
  <si>
    <t>AGRICULTURA, PEC</t>
  </si>
  <si>
    <t>Médio</t>
  </si>
  <si>
    <t>FAP/MPS</t>
  </si>
  <si>
    <t>0111-3/02</t>
  </si>
  <si>
    <t>0111-3/03</t>
  </si>
  <si>
    <t>0111-3/99</t>
  </si>
  <si>
    <t>0112-1/01</t>
  </si>
  <si>
    <t>0112-1/02</t>
  </si>
  <si>
    <t>0112-1/99</t>
  </si>
  <si>
    <t>—</t>
  </si>
  <si>
    <t>CNAE-STG</t>
  </si>
  <si>
    <t>0113-0/00</t>
  </si>
  <si>
    <t>0114-8/00</t>
  </si>
  <si>
    <t>0115-6/00</t>
  </si>
  <si>
    <t>0116-4/01</t>
  </si>
  <si>
    <t>0116-4/02</t>
  </si>
  <si>
    <t>0116-4/03</t>
  </si>
  <si>
    <t>0116-4/99</t>
  </si>
  <si>
    <t>0119-9/01</t>
  </si>
  <si>
    <t>0119-9/02</t>
  </si>
  <si>
    <t>0119-9/03</t>
  </si>
  <si>
    <t>0119-9/04</t>
  </si>
  <si>
    <t>0119-9/05</t>
  </si>
  <si>
    <t>0119-9/06</t>
  </si>
  <si>
    <t>0119-9/07</t>
  </si>
  <si>
    <t>0119-9/08</t>
  </si>
  <si>
    <t>0119-9/09</t>
  </si>
  <si>
    <t>0119-9/99</t>
  </si>
  <si>
    <t>0121-1/01</t>
  </si>
  <si>
    <t>0121-1/02</t>
  </si>
  <si>
    <t>0122-9/00</t>
  </si>
  <si>
    <t>0131-8/00</t>
  </si>
  <si>
    <t>0132-6/00</t>
  </si>
  <si>
    <t>0133-4/01</t>
  </si>
  <si>
    <t>0133-4/02</t>
  </si>
  <si>
    <t>0133-4/03</t>
  </si>
  <si>
    <t>0133-4/04</t>
  </si>
  <si>
    <t>0133-4/05</t>
  </si>
  <si>
    <t>0133-4/06</t>
  </si>
  <si>
    <t>0133-4/07</t>
  </si>
  <si>
    <t>0133-4/08</t>
  </si>
  <si>
    <t>0133-4/09</t>
  </si>
  <si>
    <t>0133-4/10</t>
  </si>
  <si>
    <t>0133-4/11</t>
  </si>
  <si>
    <t>0133-4/99</t>
  </si>
  <si>
    <t>0134-2/00</t>
  </si>
  <si>
    <t>0135-1/00</t>
  </si>
  <si>
    <t>0139-3/01</t>
  </si>
  <si>
    <t>0139-3/02</t>
  </si>
  <si>
    <t>0139-3/03</t>
  </si>
  <si>
    <t>0139-3/04</t>
  </si>
  <si>
    <t>0139-3/05</t>
  </si>
  <si>
    <t>0139-3/06</t>
  </si>
  <si>
    <t>0139-3/99</t>
  </si>
  <si>
    <t>0141-5/01</t>
  </si>
  <si>
    <t>0141-5/02</t>
  </si>
  <si>
    <t>0142-3/00</t>
  </si>
  <si>
    <t>0151-2/01</t>
  </si>
  <si>
    <t>0151-2/02</t>
  </si>
  <si>
    <t>0151-2/03</t>
  </si>
  <si>
    <t>0152-1/01</t>
  </si>
  <si>
    <t>0152-1/02</t>
  </si>
  <si>
    <t>0152-1/03</t>
  </si>
  <si>
    <t>0153-9/01</t>
  </si>
  <si>
    <t>0153-9/02</t>
  </si>
  <si>
    <t>0154-7/00</t>
  </si>
  <si>
    <t>0155-5/01</t>
  </si>
  <si>
    <t>0155-5/02</t>
  </si>
  <si>
    <t>0155-5/03</t>
  </si>
  <si>
    <t>0155-5/04</t>
  </si>
  <si>
    <t>0155-5/05</t>
  </si>
  <si>
    <t>0159-8/01</t>
  </si>
  <si>
    <t>0159-8/02</t>
  </si>
  <si>
    <t>0159-8/03</t>
  </si>
  <si>
    <t>Criação de escargô</t>
  </si>
  <si>
    <t>0159-8/04</t>
  </si>
  <si>
    <t>Criação de bicho-da-seda</t>
  </si>
  <si>
    <t>0159-8/99</t>
  </si>
  <si>
    <t>0161-0/01</t>
  </si>
  <si>
    <t>0161-0/02</t>
  </si>
  <si>
    <t>0161-0/03</t>
  </si>
  <si>
    <t>0161-0/99</t>
  </si>
  <si>
    <t>0162-8/01</t>
  </si>
  <si>
    <t>0162-8/02</t>
  </si>
  <si>
    <t>0162-8/03</t>
  </si>
  <si>
    <t>0162-8/99</t>
  </si>
  <si>
    <t>0163-6/00</t>
  </si>
  <si>
    <t>0170-9/00</t>
  </si>
  <si>
    <t>0210-1/01</t>
  </si>
  <si>
    <t>PRODUÇÃO FLOREST</t>
  </si>
  <si>
    <t>Alto</t>
  </si>
  <si>
    <t>0210-1/02</t>
  </si>
  <si>
    <t>0210-1/03</t>
  </si>
  <si>
    <t>0210-1/04</t>
  </si>
  <si>
    <t>0210-1/05</t>
  </si>
  <si>
    <t>0210-1/06</t>
  </si>
  <si>
    <t>0210-1/07</t>
  </si>
  <si>
    <t>0210-1/08</t>
  </si>
  <si>
    <t>0210-1/09</t>
  </si>
  <si>
    <t>0210-1/99</t>
  </si>
  <si>
    <t>0220-9/01</t>
  </si>
  <si>
    <t>0220-9/02</t>
  </si>
  <si>
    <t>0220-9/03</t>
  </si>
  <si>
    <t>0220-9/04</t>
  </si>
  <si>
    <t>0220-9/05</t>
  </si>
  <si>
    <t>0220-9/06</t>
  </si>
  <si>
    <t>0220-9/99</t>
  </si>
  <si>
    <t>0230-6/00</t>
  </si>
  <si>
    <t>0311-6/01</t>
  </si>
  <si>
    <t>PESCA E AQÜICULT</t>
  </si>
  <si>
    <t>0311-6/02</t>
  </si>
  <si>
    <t>0311-6/03</t>
  </si>
  <si>
    <t>0311-6/04</t>
  </si>
  <si>
    <t>0312-4/01</t>
  </si>
  <si>
    <t>0312-4/02</t>
  </si>
  <si>
    <t>Pesca de crustáceos e moluscos em água doce</t>
  </si>
  <si>
    <t>0312-4/03</t>
  </si>
  <si>
    <t>0312-4/04</t>
  </si>
  <si>
    <t>0321-3/01</t>
  </si>
  <si>
    <t>0321-3/02</t>
  </si>
  <si>
    <t>0321-3/03</t>
  </si>
  <si>
    <t>0321-3/04</t>
  </si>
  <si>
    <t>0321-3/05</t>
  </si>
  <si>
    <t>0321-3/99</t>
  </si>
  <si>
    <t>0322-1/01</t>
  </si>
  <si>
    <t>0322-1/02</t>
  </si>
  <si>
    <t>0322-1/03</t>
  </si>
  <si>
    <t>Criação de ostras e mexilhões em água doce</t>
  </si>
  <si>
    <t>0322-1/04</t>
  </si>
  <si>
    <t>0322-1/05</t>
  </si>
  <si>
    <t>0322-1/06</t>
  </si>
  <si>
    <t>0322-1/07</t>
  </si>
  <si>
    <t>0322-1/99</t>
  </si>
  <si>
    <t>0500-3/01</t>
  </si>
  <si>
    <t>B</t>
  </si>
  <si>
    <t>EXTRAÇÃO DE CARV</t>
  </si>
  <si>
    <t>0500-3/02</t>
  </si>
  <si>
    <t>0600-0/01</t>
  </si>
  <si>
    <t>EXTRAÇÃO DE PETR</t>
  </si>
  <si>
    <t>0600-0/02</t>
  </si>
  <si>
    <t>0600-0/03</t>
  </si>
  <si>
    <t>0710-3/01</t>
  </si>
  <si>
    <t>EXTRAÇÃO DE MINE</t>
  </si>
  <si>
    <t>0710-3/02</t>
  </si>
  <si>
    <t>0721-9/01</t>
  </si>
  <si>
    <t>0721-9/02</t>
  </si>
  <si>
    <t>0722-7/01</t>
  </si>
  <si>
    <t>0722-7/02</t>
  </si>
  <si>
    <t>0723-5/01</t>
  </si>
  <si>
    <t>0723-5/02</t>
  </si>
  <si>
    <t>0724-3/01</t>
  </si>
  <si>
    <t>0724-3/02</t>
  </si>
  <si>
    <t>0725-1/00</t>
  </si>
  <si>
    <t>0729-4/01</t>
  </si>
  <si>
    <t>0729-4/02</t>
  </si>
  <si>
    <t>0729-4/03</t>
  </si>
  <si>
    <t>0729-4/04</t>
  </si>
  <si>
    <t>0729-4/05</t>
  </si>
  <si>
    <t>0810-0/01</t>
  </si>
  <si>
    <t>0810-0/02</t>
  </si>
  <si>
    <t>0810-0/03</t>
  </si>
  <si>
    <t>0810-0/04</t>
  </si>
  <si>
    <t>0810-0/05</t>
  </si>
  <si>
    <t>0810-0/06</t>
  </si>
  <si>
    <t>0810-0/07</t>
  </si>
  <si>
    <t>0810-0/08</t>
  </si>
  <si>
    <t>0810-0/09</t>
  </si>
  <si>
    <t>0810-0/10</t>
  </si>
  <si>
    <t>0810-0/99</t>
  </si>
  <si>
    <t>0891-6/00</t>
  </si>
  <si>
    <t>0892-4/01</t>
  </si>
  <si>
    <t>0892-4/02</t>
  </si>
  <si>
    <t>0892-4/03</t>
  </si>
  <si>
    <t>0893-2/00</t>
  </si>
  <si>
    <t>0899-1/01</t>
  </si>
  <si>
    <t>0899-1/02</t>
  </si>
  <si>
    <t>0899-1/03</t>
  </si>
  <si>
    <t>0899-1/99</t>
  </si>
  <si>
    <t>0910-6/00</t>
  </si>
  <si>
    <t>ATIVIDADES DE AP</t>
  </si>
  <si>
    <t>0990-4/01</t>
  </si>
  <si>
    <t>0990-4/02</t>
  </si>
  <si>
    <t>0990-4/03</t>
  </si>
  <si>
    <t>1011-2/01</t>
  </si>
  <si>
    <t>C</t>
  </si>
  <si>
    <t>Frigorífico - abate de bovinos</t>
  </si>
  <si>
    <t>FABRICAÇÃO DE PR</t>
  </si>
  <si>
    <t>1011-2/02</t>
  </si>
  <si>
    <t>Frigorífico - abate de equinos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</si>
  <si>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</si>
  <si>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</si>
  <si>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</si>
  <si>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</si>
  <si>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</si>
  <si>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</si>
  <si>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</si>
  <si>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</si>
  <si>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</si>
  <si>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</si>
  <si>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</si>
  <si>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</si>
  <si>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</si>
  <si>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</si>
  <si>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</si>
  <si>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</si>
  <si>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</si>
  <si>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</si>
  <si>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</si>
  <si>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</si>
  <si>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</si>
  <si>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</si>
  <si>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</si>
  <si>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</si>
  <si>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</si>
  <si>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</si>
  <si>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</si>
  <si>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</si>
  <si>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</si>
  <si>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</si>
  <si>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</si>
  <si>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</si>
  <si>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</si>
  <si>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</si>
  <si>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</si>
  <si>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</si>
  <si>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</si>
  <si>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 comestíveis de animais</t>
  </si>
  <si>
    <t>1051-1/00</t>
  </si>
  <si>
    <t>Preparação do leite</t>
  </si>
  <si>
    <t>1052-0/00</t>
  </si>
  <si>
    <t>Fabricação de laticínios</t>
  </si>
  <si>
    <t>1053-8/00</t>
  </si>
  <si>
    <t>Fabricação de sorvetes e outros gelados comestíveis</t>
  </si>
  <si>
    <t>1061-9/01</t>
  </si>
  <si>
    <t>Beneficiamento de arroz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</si>
  <si>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</si>
  <si>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</si>
  <si>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</si>
  <si>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</si>
  <si>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</si>
  <si>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</si>
  <si>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</si>
  <si>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</si>
  <si>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</si>
  <si>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</si>
  <si>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</si>
  <si>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</si>
  <si>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</si>
  <si>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</si>
  <si>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</si>
  <si>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</si>
  <si>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</si>
  <si>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</si>
  <si>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</si>
  <si>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</si>
  <si>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</si>
  <si>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</si>
  <si>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</si>
  <si>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</si>
  <si>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</si>
  <si>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</si>
  <si>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</si>
  <si>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</si>
  <si>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</si>
  <si>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</si>
  <si>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</si>
  <si>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</si>
  <si>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</si>
  <si>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</si>
  <si>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1092-9/00</t>
  </si>
  <si>
    <t>Fabricação de biscoitos e bolachas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</si>
  <si>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</si>
  <si>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</si>
  <si>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</si>
  <si>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</si>
  <si>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</si>
  <si>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</si>
  <si>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</si>
  <si>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</si>
  <si>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</si>
  <si>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</si>
  <si>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</si>
  <si>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</si>
  <si>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</si>
  <si>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pós-alimentícios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</si>
  <si>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</si>
  <si>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</si>
  <si>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</si>
  <si>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</si>
  <si>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</si>
  <si>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</si>
  <si>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</si>
  <si>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</si>
  <si>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</si>
  <si>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</si>
  <si>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</si>
  <si>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</si>
  <si>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</si>
  <si>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</si>
  <si>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FABRICAÇÃO DE BE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</si>
  <si>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</si>
  <si>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</si>
  <si>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</si>
  <si>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</si>
  <si>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</si>
  <si>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</si>
  <si>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</si>
  <si>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</si>
  <si>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</si>
  <si>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</si>
  <si>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</si>
  <si>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</si>
  <si>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</si>
  <si>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</si>
  <si>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</si>
  <si>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</si>
  <si>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</si>
  <si>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</si>
  <si>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</si>
  <si>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 alcoólicas não especificadas anteriormente</t>
  </si>
  <si>
    <t>1210-7/00</t>
  </si>
  <si>
    <t>Processamento industrial do fumo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</si>
  <si>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</si>
  <si>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</si>
  <si>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</si>
  <si>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</si>
  <si>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</si>
  <si>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</si>
  <si>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</si>
  <si>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</si>
  <si>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</si>
  <si>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</si>
  <si>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</si>
  <si>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</si>
  <si>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</si>
  <si>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</si>
  <si>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</si>
  <si>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</si>
  <si>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</si>
  <si>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</si>
  <si>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</si>
  <si>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</si>
  <si>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</si>
  <si>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</si>
  <si>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</si>
  <si>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</si>
  <si>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</si>
  <si>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</si>
  <si>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</si>
  <si>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</si>
  <si>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</si>
  <si>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</si>
  <si>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</si>
  <si>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</si>
  <si>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</si>
  <si>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</si>
  <si>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</si>
  <si>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</si>
  <si>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</si>
  <si>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</si>
  <si>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</si>
  <si>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</si>
  <si>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</si>
  <si>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</si>
  <si>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CONFECÇÃO DE ART</t>
  </si>
  <si>
    <t>Baixo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</si>
  <si>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</si>
  <si>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</si>
  <si>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</si>
  <si>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</si>
  <si>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</si>
  <si>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</si>
  <si>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</si>
  <si>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</si>
  <si>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</si>
  <si>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</si>
  <si>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</si>
  <si>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</si>
  <si>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</si>
  <si>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</si>
  <si>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</si>
  <si>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</si>
  <si>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</si>
  <si>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</si>
  <si>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</si>
  <si>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</si>
  <si>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</si>
  <si>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</si>
  <si>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PREPARAÇÃO DE CO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</si>
  <si>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</si>
  <si>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</si>
  <si>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</si>
  <si>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</si>
  <si>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</si>
  <si>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</si>
  <si>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</si>
  <si>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</si>
  <si>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</si>
  <si>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</si>
  <si>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</si>
  <si>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</si>
  <si>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</si>
  <si>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
anteriormente</t>
  </si>
  <si>
    <t>1540-8/00</t>
  </si>
  <si>
    <t>Fabricação de partes para calçados, de qualquer material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</si>
  <si>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</si>
  <si>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</si>
  <si>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</si>
  <si>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</si>
  <si>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</si>
  <si>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</si>
  <si>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</si>
  <si>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</si>
  <si>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</si>
  <si>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</si>
  <si>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</si>
  <si>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</si>
  <si>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</si>
  <si>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</si>
  <si>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</si>
  <si>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</si>
  <si>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</si>
  <si>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</si>
  <si>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</si>
  <si>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</si>
  <si>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</si>
  <si>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</si>
  <si>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FABRICAÇÃO DE CE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</si>
  <si>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</si>
  <si>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</si>
  <si>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</si>
  <si>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</si>
  <si>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</si>
  <si>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</si>
  <si>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</si>
  <si>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</si>
  <si>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</si>
  <si>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</si>
  <si>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</si>
  <si>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</si>
  <si>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</si>
  <si>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</si>
  <si>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</si>
  <si>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</si>
  <si>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</si>
  <si>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</si>
  <si>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</si>
  <si>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</si>
  <si>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</si>
  <si>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</si>
  <si>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</si>
  <si>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</si>
  <si>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IMPRESSÃO E REPR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</si>
  <si>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</si>
  <si>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</si>
  <si>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</si>
  <si>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</si>
  <si>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</si>
  <si>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</si>
  <si>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</si>
  <si>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</si>
  <si>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</si>
  <si>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</si>
  <si>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</si>
  <si>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</si>
  <si>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</si>
  <si>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</si>
  <si>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</si>
  <si>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</si>
  <si>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</si>
  <si>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</si>
  <si>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</si>
  <si>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</si>
  <si>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</si>
  <si>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</si>
  <si>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FABRICAÇÃO DE CO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</si>
  <si>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</si>
  <si>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</si>
  <si>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</si>
  <si>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</si>
  <si>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</si>
  <si>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</si>
  <si>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</si>
  <si>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</si>
  <si>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</si>
  <si>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</si>
  <si>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</si>
  <si>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</si>
  <si>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</si>
  <si>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</si>
  <si>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2012-6/00</t>
  </si>
  <si>
    <t>Fabricação de intermediários para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</si>
  <si>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</si>
  <si>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</si>
  <si>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</si>
  <si>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</si>
  <si>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</si>
  <si>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</si>
  <si>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</si>
  <si>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</si>
  <si>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</si>
  <si>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</si>
  <si>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</si>
  <si>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</si>
  <si>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</si>
  <si>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</si>
  <si>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</si>
  <si>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</si>
  <si>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</si>
  <si>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</si>
  <si>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</si>
  <si>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</si>
  <si>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</si>
  <si>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</si>
  <si>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</si>
  <si>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</si>
  <si>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</si>
  <si>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</si>
  <si>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</si>
  <si>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</si>
  <si>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</si>
  <si>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</si>
  <si>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</si>
  <si>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</si>
  <si>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</si>
  <si>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</si>
  <si>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</si>
  <si>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</si>
  <si>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</si>
  <si>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</si>
  <si>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</si>
  <si>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</si>
  <si>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</si>
  <si>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</si>
  <si>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</si>
  <si>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</si>
  <si>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</si>
  <si>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</si>
  <si>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</si>
  <si>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</si>
  <si>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</si>
  <si>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</si>
  <si>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</si>
  <si>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</si>
  <si>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</si>
  <si>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</si>
  <si>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</si>
  <si>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</si>
  <si>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</si>
  <si>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</si>
  <si>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</si>
  <si>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</si>
  <si>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</si>
  <si>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</si>
  <si>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</si>
  <si>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</si>
  <si>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</si>
  <si>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</si>
  <si>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</si>
  <si>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</si>
  <si>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</si>
  <si>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</si>
  <si>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2212-9/00</t>
  </si>
  <si>
    <t>Reforma de pneumáticos usados</t>
  </si>
  <si>
    <t>2219-6/00</t>
  </si>
  <si>
    <t>Fabricação de artefatos de borracha não especificados 
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</si>
  <si>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</si>
  <si>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</si>
  <si>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</si>
  <si>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</si>
  <si>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</si>
  <si>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</si>
  <si>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</si>
  <si>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</si>
  <si>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</si>
  <si>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</si>
  <si>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</si>
  <si>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</si>
  <si>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</si>
  <si>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</si>
  <si>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</si>
  <si>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</si>
  <si>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</si>
  <si>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</si>
  <si>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</si>
  <si>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</si>
  <si>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</si>
  <si>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</si>
  <si>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</si>
  <si>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</si>
  <si>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</si>
  <si>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</si>
  <si>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</si>
  <si>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</si>
  <si>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</si>
  <si>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</si>
  <si>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</si>
  <si>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</si>
  <si>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</si>
  <si>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</si>
  <si>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</si>
  <si>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</si>
  <si>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</si>
  <si>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</si>
  <si>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</si>
  <si>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</si>
  <si>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</si>
  <si>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</si>
  <si>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</si>
  <si>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 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</si>
  <si>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</si>
  <si>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</si>
  <si>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</si>
  <si>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</si>
  <si>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</si>
  <si>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</si>
  <si>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</si>
  <si>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</si>
  <si>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</si>
  <si>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</si>
  <si>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</si>
  <si>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</si>
  <si>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</si>
  <si>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 metálicos não especificados anteriormente</t>
  </si>
  <si>
    <t>2411-3/00</t>
  </si>
  <si>
    <t>Produção de ferro-gusa</t>
  </si>
  <si>
    <t>METALURGIA</t>
  </si>
  <si>
    <t>2412-1/00</t>
  </si>
  <si>
    <t>Produção de ferroligas</t>
  </si>
  <si>
    <t>2421-1/00</t>
  </si>
  <si>
    <t>Produção de semiacabados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</si>
  <si>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</si>
  <si>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</si>
  <si>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</si>
  <si>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</si>
  <si>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</si>
  <si>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</si>
  <si>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</si>
  <si>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</si>
  <si>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</si>
  <si>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</si>
  <si>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</si>
  <si>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</si>
  <si>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</si>
  <si>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</si>
  <si>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</si>
  <si>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</si>
  <si>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</si>
  <si>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</si>
  <si>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</si>
  <si>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</si>
  <si>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</si>
  <si>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</si>
  <si>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</si>
  <si>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</si>
  <si>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</si>
  <si>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</si>
  <si>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</si>
  <si>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</si>
  <si>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</si>
  <si>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Fabricação de ânodos para galvanoplastia</t>
  </si>
  <si>
    <t>2449-1/99</t>
  </si>
  <si>
    <t>Metalurgia de outros metais não ferrosos e suas ligas não especificados anteriormente</t>
  </si>
  <si>
    <t>2451-2/00</t>
  </si>
  <si>
    <t>Fundição de ferro e aço</t>
  </si>
  <si>
    <t>2452-1/00</t>
  </si>
  <si>
    <t>Fundição de metais não ferrosos e suas ligas</t>
  </si>
  <si>
    <t>2511-0/00</t>
  </si>
  <si>
    <t>Fabricação de estruturas metálicas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</si>
  <si>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</si>
  <si>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</si>
  <si>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</si>
  <si>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</si>
  <si>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</si>
  <si>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</si>
  <si>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</si>
  <si>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</si>
  <si>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</si>
  <si>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</si>
  <si>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</si>
  <si>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 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</si>
  <si>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</si>
  <si>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</si>
  <si>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</si>
  <si>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</si>
  <si>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</si>
  <si>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torneiria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</si>
  <si>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</si>
  <si>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</si>
  <si>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</si>
  <si>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</si>
  <si>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</si>
  <si>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</si>
  <si>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</si>
  <si>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</si>
  <si>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</si>
  <si>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</si>
  <si>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</si>
  <si>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</si>
  <si>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</si>
  <si>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</si>
  <si>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</si>
  <si>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</si>
  <si>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</si>
  <si>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</si>
  <si>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</si>
  <si>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</si>
  <si>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</si>
  <si>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</si>
  <si>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</si>
  <si>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</si>
  <si>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</si>
  <si>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</si>
  <si>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</si>
  <si>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</si>
  <si>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FABRICAÇÃO DE EQ</t>
  </si>
  <si>
    <t>2621-3/00</t>
  </si>
  <si>
    <t>Fabricação de equipamentos de informática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</si>
  <si>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</si>
  <si>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</si>
  <si>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</si>
  <si>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</si>
  <si>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</si>
  <si>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</si>
  <si>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</si>
  <si>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</si>
  <si>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2651-5/00</t>
  </si>
  <si>
    <t>Fabricação de aparelhos e equipamentos de medida, teste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</si>
  <si>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</si>
  <si>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</si>
  <si>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</si>
  <si>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</si>
  <si>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</si>
  <si>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</si>
  <si>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</si>
  <si>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</si>
  <si>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</si>
  <si>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</si>
  <si>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2710-4/01</t>
  </si>
  <si>
    <t>Fabricação de geradores de corrente contínua e alternada, peças e acessórios</t>
  </si>
  <si>
    <t>FABRICAÇÃO DE MÁ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</si>
  <si>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</si>
  <si>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</si>
  <si>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</si>
  <si>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</si>
  <si>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</si>
  <si>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</si>
  <si>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</si>
  <si>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</si>
  <si>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</si>
  <si>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</si>
  <si>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</si>
  <si>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</si>
  <si>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</si>
  <si>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</si>
  <si>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</si>
  <si>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</si>
  <si>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</si>
  <si>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</si>
  <si>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</si>
  <si>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</si>
  <si>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</si>
  <si>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</si>
  <si>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</si>
  <si>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</si>
  <si>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</si>
  <si>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</si>
  <si>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</si>
  <si>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</si>
  <si>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</si>
  <si>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</si>
  <si>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</si>
  <si>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</si>
  <si>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</si>
  <si>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</si>
  <si>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</si>
  <si>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</si>
  <si>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</si>
  <si>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</si>
  <si>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</si>
  <si>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</si>
  <si>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</si>
  <si>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 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</si>
  <si>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</si>
  <si>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</si>
  <si>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</si>
  <si>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</si>
  <si>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</si>
  <si>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 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</si>
  <si>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</si>
  <si>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</si>
  <si>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</si>
  <si>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</si>
  <si>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</si>
  <si>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</si>
  <si>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</si>
  <si>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</si>
  <si>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</si>
  <si>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</si>
  <si>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</si>
  <si>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 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</si>
  <si>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</si>
  <si>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</si>
  <si>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</si>
  <si>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 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</si>
  <si>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</si>
  <si>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</si>
  <si>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</si>
  <si>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</si>
  <si>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</si>
  <si>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</si>
  <si>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</si>
  <si>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</si>
  <si>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</si>
  <si>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</si>
  <si>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</si>
  <si>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</si>
  <si>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</si>
  <si>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</si>
  <si>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</si>
  <si>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</si>
  <si>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</si>
  <si>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</si>
  <si>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</si>
  <si>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</si>
  <si>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</si>
  <si>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</si>
  <si>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</si>
  <si>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</si>
  <si>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</si>
  <si>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</si>
  <si>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</si>
  <si>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</si>
  <si>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</si>
  <si>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</si>
  <si>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</si>
  <si>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</si>
  <si>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</si>
  <si>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</si>
  <si>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FABRICAÇÃO DE VE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</si>
  <si>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</si>
  <si>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</si>
  <si>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</si>
  <si>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</si>
  <si>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</si>
  <si>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</si>
  <si>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</si>
  <si>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</si>
  <si>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</si>
  <si>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</si>
  <si>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</si>
  <si>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</si>
  <si>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</si>
  <si>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</si>
  <si>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</si>
  <si>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</si>
  <si>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</si>
  <si>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</si>
  <si>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</si>
  <si>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</si>
  <si>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</si>
  <si>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</si>
  <si>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</si>
  <si>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</si>
  <si>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</si>
  <si>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</si>
  <si>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</si>
  <si>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</si>
  <si>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</si>
  <si>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</si>
  <si>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</si>
  <si>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</si>
  <si>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FABRICAÇÃO DE OU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</si>
  <si>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</si>
  <si>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</si>
  <si>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</si>
  <si>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</si>
  <si>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</si>
  <si>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</si>
  <si>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3032-6/00</t>
  </si>
  <si>
    <t>Fabricação de peças e acessórios para veículos ferroviários</t>
  </si>
  <si>
    <t>3041-5/00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</si>
  <si>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</si>
  <si>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</si>
  <si>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</si>
  <si>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</si>
  <si>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</si>
  <si>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3091-1/01</t>
  </si>
  <si>
    <t>Fabricação de motocicletas</t>
  </si>
  <si>
    <t>3091-1/02</t>
  </si>
  <si>
    <t>Fabricação de peças e acessórios para motocicletas</t>
  </si>
  <si>
    <t>3092-0/00</t>
  </si>
  <si>
    <t>Fabricação de bicicletas e triciclos não 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</si>
  <si>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</si>
  <si>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</si>
  <si>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</si>
  <si>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</si>
  <si>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FABRICAÇÃO DE MÓ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</si>
  <si>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</si>
  <si>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</si>
  <si>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</si>
  <si>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</si>
  <si>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</si>
  <si>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</si>
  <si>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</si>
  <si>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</si>
  <si>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</si>
  <si>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</si>
  <si>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</si>
  <si>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</si>
  <si>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</si>
  <si>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</si>
  <si>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</si>
  <si>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</si>
  <si>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3230-2/00</t>
  </si>
  <si>
    <t>Fabricação de artefatos para pesca e esporte</t>
  </si>
  <si>
    <t>3240-0/01</t>
  </si>
  <si>
    <t>Fabricação de jogos eletrônicos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</si>
  <si>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</si>
  <si>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</si>
  <si>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</si>
  <si>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</si>
  <si>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</si>
  <si>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</si>
  <si>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</si>
  <si>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 eletrônicos e utensílios para uso médico, cirúrgico, odontológico e de laboratório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</si>
  <si>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</si>
  <si>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</si>
  <si>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</si>
  <si>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</si>
  <si>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</si>
  <si>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</si>
  <si>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</si>
  <si>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</si>
  <si>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</si>
  <si>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</si>
  <si>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</si>
  <si>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</si>
  <si>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</si>
  <si>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</si>
  <si>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</si>
  <si>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</si>
  <si>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</si>
  <si>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</si>
  <si>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</si>
  <si>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</si>
  <si>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</si>
  <si>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</si>
  <si>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</si>
  <si>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</si>
  <si>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</si>
  <si>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</si>
  <si>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</si>
  <si>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</si>
  <si>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</si>
  <si>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</si>
  <si>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</si>
  <si>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</si>
  <si>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</si>
  <si>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</si>
  <si>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</si>
  <si>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</si>
  <si>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MANUTENÇÃO, REPA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</si>
  <si>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</si>
  <si>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</si>
  <si>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</si>
  <si>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</si>
  <si>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</si>
  <si>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</si>
  <si>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</si>
  <si>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</si>
  <si>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</si>
  <si>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</si>
  <si>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</si>
  <si>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</si>
  <si>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</si>
  <si>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 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</si>
  <si>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</si>
  <si>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</si>
  <si>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</si>
  <si>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</si>
  <si>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</si>
  <si>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</si>
  <si>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</si>
  <si>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</si>
  <si>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</si>
  <si>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</si>
  <si>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</si>
  <si>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</si>
  <si>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</si>
  <si>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</si>
  <si>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</si>
  <si>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 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</si>
  <si>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</si>
  <si>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</si>
  <si>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</si>
  <si>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</si>
  <si>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</si>
  <si>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</si>
  <si>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</si>
  <si>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</si>
  <si>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</si>
  <si>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</si>
  <si>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</si>
  <si>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</si>
  <si>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</si>
  <si>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</si>
  <si>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</si>
  <si>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</si>
  <si>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</si>
  <si>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</si>
  <si>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</si>
  <si>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</si>
  <si>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</si>
  <si>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</si>
  <si>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</si>
  <si>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</si>
  <si>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</si>
  <si>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</si>
  <si>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</si>
  <si>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</si>
  <si>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</si>
  <si>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</si>
  <si>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</si>
  <si>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</si>
  <si>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</si>
  <si>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</si>
  <si>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</si>
  <si>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</si>
  <si>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</si>
  <si>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</si>
  <si>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</si>
  <si>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</si>
  <si>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</si>
  <si>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</si>
  <si>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</si>
  <si>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</si>
  <si>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</si>
  <si>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</si>
  <si>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</si>
  <si>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D</t>
  </si>
  <si>
    <t>Geração de energia elétrica</t>
  </si>
  <si>
    <t>ELETRICIDADE, GÁ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</si>
  <si>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</si>
  <si>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</si>
  <si>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</si>
  <si>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</si>
  <si>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</si>
  <si>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</si>
  <si>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</si>
  <si>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</si>
  <si>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</si>
  <si>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</si>
  <si>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</si>
  <si>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</si>
  <si>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</si>
  <si>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</si>
  <si>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</si>
  <si>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E</t>
  </si>
  <si>
    <t>Captação, tratamento e distribuição de água</t>
  </si>
  <si>
    <t>CAPTAÇÃO, TRATAM</t>
  </si>
  <si>
    <t>3600-6/02</t>
  </si>
  <si>
    <t>Distribuição de água por caminhões</t>
  </si>
  <si>
    <t>3701-1/00</t>
  </si>
  <si>
    <t>Gestão de redes de esgoto</t>
  </si>
  <si>
    <t>ESGOTO E ATIVIDA</t>
  </si>
  <si>
    <t>3702-9/00</t>
  </si>
  <si>
    <t>Atividades relacionadas a esgoto, exceto a gestão de redes</t>
  </si>
  <si>
    <t>3811-4/00</t>
  </si>
  <si>
    <t>Coleta de resíduos não perigosos</t>
  </si>
  <si>
    <t>COLETA, TRATAMEN</t>
  </si>
  <si>
    <t>3812-2/00</t>
  </si>
  <si>
    <t>Coleta de resíduos perigosos</t>
  </si>
  <si>
    <t>3821-1/00</t>
  </si>
  <si>
    <t>Tratamento e disposição de resíduos não 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</si>
  <si>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</si>
  <si>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</si>
  <si>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</si>
  <si>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</si>
  <si>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</si>
  <si>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</si>
  <si>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</si>
  <si>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</si>
  <si>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</si>
  <si>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</si>
  <si>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</si>
  <si>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</si>
  <si>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</si>
  <si>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</si>
  <si>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 xml:space="preserve">DESCONTAMINAÇÃO </t>
  </si>
  <si>
    <t>4110-7/00</t>
  </si>
  <si>
    <t>F</t>
  </si>
  <si>
    <t>Incorporação de empreendimentos imobiliários</t>
  </si>
  <si>
    <t>CONSTRUÇÃO DE ED</t>
  </si>
  <si>
    <t>4120-4/00</t>
  </si>
  <si>
    <t>Construção de edifícios</t>
  </si>
  <si>
    <t>4211-1/01</t>
  </si>
  <si>
    <t>Construção de rodovias e ferrovias</t>
  </si>
  <si>
    <t>OBRAS DE INFRAES</t>
  </si>
  <si>
    <t>4211-1/02</t>
  </si>
  <si>
    <t>Pintura para sinalização em pistas rodoviárias e aeroportos</t>
  </si>
  <si>
    <t>4212-0/00</t>
  </si>
  <si>
    <t>Construção de obras de arte especiais</t>
  </si>
  <si>
    <t>4213-8/00</t>
  </si>
  <si>
    <t>Obras de urbanização - ruas, praças e calçadas</t>
  </si>
  <si>
    <t>4221-9/01</t>
  </si>
  <si>
    <t>Construção de barragens e represas para geração de energia 
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</si>
  <si>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</si>
  <si>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</si>
  <si>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</si>
  <si>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</si>
  <si>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</si>
  <si>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</si>
  <si>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</si>
  <si>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</si>
  <si>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</si>
  <si>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</si>
  <si>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</si>
  <si>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</si>
  <si>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</si>
  <si>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</si>
  <si>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</si>
  <si>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</si>
  <si>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</si>
  <si>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</si>
  <si>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</si>
  <si>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</si>
  <si>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</si>
  <si>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</si>
  <si>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</si>
  <si>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</si>
  <si>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</si>
  <si>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</si>
  <si>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SERVIÇOS ESPECIA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</si>
  <si>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</si>
  <si>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</si>
  <si>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</si>
  <si>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</si>
  <si>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</si>
  <si>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</si>
  <si>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</si>
  <si>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</si>
  <si>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</si>
  <si>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</si>
  <si>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</si>
  <si>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</si>
  <si>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</si>
  <si>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</si>
  <si>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</si>
  <si>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</si>
  <si>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</si>
  <si>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</si>
  <si>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</si>
  <si>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</si>
  <si>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</si>
  <si>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</si>
  <si>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</si>
  <si>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</si>
  <si>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</si>
  <si>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</si>
  <si>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</si>
  <si>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</si>
  <si>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</si>
  <si>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</si>
  <si>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</si>
  <si>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</si>
  <si>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</si>
  <si>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</si>
  <si>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</si>
  <si>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</si>
  <si>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</si>
  <si>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</si>
  <si>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</si>
  <si>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</si>
  <si>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</si>
  <si>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</si>
  <si>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</si>
  <si>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</si>
  <si>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</si>
  <si>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</si>
  <si>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</si>
  <si>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</si>
  <si>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</si>
  <si>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</si>
  <si>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</si>
  <si>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</si>
  <si>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</si>
  <si>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</si>
  <si>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</si>
  <si>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G</t>
  </si>
  <si>
    <t>Comércio a varejo de automóveis, camionetas e utilitários novos</t>
  </si>
  <si>
    <t>COMÉRCIO E REPAR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</si>
  <si>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</si>
  <si>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</si>
  <si>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</si>
  <si>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</si>
  <si>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</si>
  <si>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</si>
  <si>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</si>
  <si>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semireboques novos e usados</t>
  </si>
  <si>
    <t>4511-1/06</t>
  </si>
  <si>
    <t>Comércio por atacado de ônibus e micro-ônibus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</si>
  <si>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</si>
  <si>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</si>
  <si>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</si>
  <si>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</si>
  <si>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</si>
  <si>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</si>
  <si>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</si>
  <si>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</si>
  <si>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</si>
  <si>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</si>
  <si>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</si>
  <si>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</si>
  <si>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</si>
  <si>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</si>
  <si>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</si>
  <si>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</si>
  <si>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</si>
  <si>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</si>
  <si>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</si>
  <si>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</si>
  <si>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</si>
  <si>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</si>
  <si>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</si>
  <si>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 de 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</si>
  <si>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</si>
  <si>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</si>
  <si>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</si>
  <si>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</si>
  <si>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</si>
  <si>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 de 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</si>
  <si>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</si>
  <si>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</si>
  <si>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</si>
  <si>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</si>
  <si>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</si>
  <si>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</si>
  <si>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</si>
  <si>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</si>
  <si>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</si>
  <si>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</si>
  <si>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</si>
  <si>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</si>
  <si>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</si>
  <si>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</si>
  <si>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</si>
  <si>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</si>
  <si>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</si>
  <si>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</si>
  <si>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</si>
  <si>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</si>
  <si>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</si>
  <si>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</si>
  <si>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COMÉRCIO POR ATA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</si>
  <si>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</si>
  <si>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</si>
  <si>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</si>
  <si>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</si>
  <si>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</si>
  <si>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</si>
  <si>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</si>
  <si>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</si>
  <si>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</si>
  <si>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</si>
  <si>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</si>
  <si>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</si>
  <si>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</si>
  <si>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</si>
  <si>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</si>
  <si>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</si>
  <si>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</si>
  <si>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</si>
  <si>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</si>
  <si>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</si>
  <si>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</si>
  <si>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</si>
  <si>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</si>
  <si>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</si>
  <si>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</si>
  <si>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</si>
  <si>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</si>
  <si>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</si>
  <si>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</si>
  <si>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 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</si>
  <si>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</si>
  <si>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</si>
  <si>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</si>
  <si>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</si>
  <si>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</si>
  <si>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</si>
  <si>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</si>
  <si>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</si>
  <si>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</si>
  <si>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</si>
  <si>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</si>
  <si>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</si>
  <si>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</si>
  <si>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</si>
  <si>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</si>
  <si>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</si>
  <si>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</si>
  <si>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</si>
  <si>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</si>
  <si>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</si>
  <si>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</si>
  <si>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</si>
  <si>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</si>
  <si>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</si>
  <si>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</si>
  <si>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</si>
  <si>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</si>
  <si>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</si>
  <si>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</si>
  <si>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</si>
  <si>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</si>
  <si>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</si>
  <si>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</si>
  <si>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</si>
  <si>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</si>
  <si>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</si>
  <si>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</si>
  <si>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</si>
  <si>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</si>
  <si>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</si>
  <si>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</si>
  <si>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</si>
  <si>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</si>
  <si>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</si>
  <si>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</si>
  <si>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</si>
  <si>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</si>
  <si>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</si>
  <si>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</si>
  <si>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</si>
  <si>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</si>
  <si>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</si>
  <si>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</si>
  <si>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</si>
  <si>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</si>
  <si>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</si>
  <si>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</si>
  <si>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</si>
  <si>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</si>
  <si>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</si>
  <si>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</si>
  <si>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</si>
  <si>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</si>
  <si>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</si>
  <si>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</si>
  <si>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</si>
  <si>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</si>
  <si>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</si>
  <si>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</si>
  <si>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</si>
  <si>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</si>
  <si>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</si>
  <si>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</si>
  <si>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</si>
  <si>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</si>
  <si>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</si>
  <si>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</si>
  <si>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</si>
  <si>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</si>
  <si>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</si>
  <si>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</si>
  <si>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</si>
  <si>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</si>
  <si>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</si>
  <si>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</si>
  <si>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</si>
  <si>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</si>
  <si>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</si>
  <si>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</si>
  <si>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</si>
  <si>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</si>
  <si>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</si>
  <si>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</si>
  <si>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</si>
  <si>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</si>
  <si>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</si>
  <si>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</si>
  <si>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</si>
  <si>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</si>
  <si>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</si>
  <si>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</si>
  <si>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</si>
  <si>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</si>
  <si>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</si>
  <si>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</si>
  <si>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</si>
  <si>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</si>
  <si>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</si>
  <si>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</si>
  <si>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</si>
  <si>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</si>
  <si>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</si>
  <si>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</si>
  <si>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</si>
  <si>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</si>
  <si>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</si>
  <si>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</si>
  <si>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</si>
  <si>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</si>
  <si>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</si>
  <si>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</si>
  <si>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</si>
  <si>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</si>
  <si>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</si>
  <si>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</si>
  <si>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</si>
  <si>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</si>
  <si>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</si>
  <si>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</si>
  <si>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</si>
  <si>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</si>
  <si>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</si>
  <si>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</si>
  <si>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</si>
  <si>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</si>
  <si>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</si>
  <si>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</si>
  <si>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</si>
  <si>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</si>
  <si>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</si>
  <si>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</si>
  <si>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</si>
  <si>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</si>
  <si>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</si>
  <si>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</si>
  <si>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</si>
  <si>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</si>
  <si>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</si>
  <si>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</si>
  <si>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</si>
  <si>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</si>
  <si>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</si>
  <si>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</si>
  <si>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</si>
  <si>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</si>
  <si>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</si>
  <si>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</si>
  <si>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</si>
  <si>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</si>
  <si>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</si>
  <si>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</si>
  <si>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</si>
  <si>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</si>
  <si>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</si>
  <si>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</si>
  <si>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</si>
  <si>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</si>
  <si>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</si>
  <si>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</si>
  <si>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</si>
  <si>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</si>
  <si>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</si>
  <si>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</si>
  <si>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liquefeito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</si>
  <si>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</si>
  <si>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</si>
  <si>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</si>
  <si>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</si>
  <si>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</si>
  <si>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</si>
  <si>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</si>
  <si>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</si>
  <si>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</si>
  <si>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</si>
  <si>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</si>
  <si>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</si>
  <si>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</si>
  <si>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</si>
  <si>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</si>
  <si>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</si>
  <si>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</si>
  <si>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</si>
  <si>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</si>
  <si>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</si>
  <si>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</si>
  <si>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</si>
  <si>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</si>
  <si>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</si>
  <si>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</si>
  <si>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</si>
  <si>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</si>
  <si>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</si>
  <si>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</si>
  <si>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</si>
  <si>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</si>
  <si>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</si>
  <si>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</si>
  <si>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</si>
  <si>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COMÉRCIO VAREJIS</t>
  </si>
  <si>
    <t>4711-3/02</t>
  </si>
  <si>
    <t>Comércio varejista de mercadorias em geral, com predominância de produtos alimentícios - supermercados</t>
  </si>
  <si>
    <t>4712-1/00</t>
  </si>
  <si>
    <t>Comércio varejista de mercadorias em geral, com predominância de produtos alimentícios - minimercados, mercearias e armazéns</t>
  </si>
  <si>
    <t>4713-0/02</t>
  </si>
  <si>
    <t>Lojas de variedades, exceto lojas de departamentos ou magazines</t>
  </si>
  <si>
    <t>4713-0/04</t>
  </si>
  <si>
    <t>Lojas de departamentos ou magazines, exceto lojas francas (Duty free)</t>
  </si>
  <si>
    <t>4713-0/05</t>
  </si>
  <si>
    <t>Lojas francas (Duty Free) de aeroportos, portos e em fronteiras terrestres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</si>
  <si>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</si>
  <si>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</si>
  <si>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</si>
  <si>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</si>
  <si>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</si>
  <si>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</si>
  <si>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</si>
  <si>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</si>
  <si>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4722-9/02</t>
  </si>
  <si>
    <t>Peixaria</t>
  </si>
  <si>
    <t>4723-7/00</t>
  </si>
  <si>
    <t>Comércio varejista de bebidas</t>
  </si>
  <si>
    <t>4724-5/00</t>
  </si>
  <si>
    <t>Comércio varejista de hortifrutigranjeiros</t>
  </si>
  <si>
    <t>4729-6/01</t>
  </si>
  <si>
    <t>Tabacaria</t>
  </si>
  <si>
    <t>4729-6/02</t>
  </si>
  <si>
    <t>Comércio varejista de mercadorias em 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</si>
  <si>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</si>
  <si>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</si>
  <si>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</si>
  <si>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</si>
  <si>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4732-6/00</t>
  </si>
  <si>
    <t>Comércio varejista de lubrificantes</t>
  </si>
  <si>
    <t>4741-5/00</t>
  </si>
  <si>
    <t>Comércio varejista de tintas e materiais para pintura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</si>
  <si>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</si>
  <si>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</si>
  <si>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</si>
  <si>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</si>
  <si>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</si>
  <si>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</si>
  <si>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</si>
  <si>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</si>
  <si>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</si>
  <si>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</si>
  <si>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</si>
  <si>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</si>
  <si>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</si>
  <si>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</si>
  <si>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</si>
  <si>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</si>
  <si>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</si>
  <si>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</si>
  <si>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</si>
  <si>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</si>
  <si>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</si>
  <si>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</si>
  <si>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</si>
  <si>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</si>
  <si>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</si>
  <si>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</si>
  <si>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</si>
  <si>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</si>
  <si>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</si>
  <si>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</si>
  <si>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</si>
  <si>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</si>
  <si>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</si>
  <si>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</si>
  <si>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</si>
  <si>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</si>
  <si>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</si>
  <si>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</si>
  <si>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</si>
  <si>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</si>
  <si>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</si>
  <si>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</si>
  <si>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</si>
  <si>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</si>
  <si>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</si>
  <si>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</si>
  <si>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</si>
  <si>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</si>
  <si>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</si>
  <si>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</si>
  <si>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</si>
  <si>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</si>
  <si>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</si>
  <si>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</si>
  <si>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</si>
  <si>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</si>
  <si>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</si>
  <si>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</si>
  <si>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</si>
  <si>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</si>
  <si>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</si>
  <si>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</si>
  <si>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</si>
  <si>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</si>
  <si>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</si>
  <si>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</si>
  <si>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</si>
  <si>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</si>
  <si>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</si>
  <si>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</si>
  <si>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</si>
  <si>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</si>
  <si>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</si>
  <si>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</si>
  <si>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4773-3/00</t>
  </si>
  <si>
    <t>Comércio varejista de artigos médicos e ortopédicos</t>
  </si>
  <si>
    <t>4774-1/00</t>
  </si>
  <si>
    <t>Comércio varejista de artigos de óptica</t>
  </si>
  <si>
    <t>4781-4/00</t>
  </si>
  <si>
    <t>Comércio varejista de artigos do vestuário e acessórios</t>
  </si>
  <si>
    <t>4782-2/01</t>
  </si>
  <si>
    <t>Comércio varejista de calçados</t>
  </si>
  <si>
    <t>4782-2/02</t>
  </si>
  <si>
    <t>Comércio varejista de artigos de viagem</t>
  </si>
  <si>
    <t>4783-1/01</t>
  </si>
  <si>
    <t>Comércio varejista de artigos de joalheria</t>
  </si>
  <si>
    <t>4783-1/02</t>
  </si>
  <si>
    <t>Comércio varejista de artigos de relojoaria</t>
  </si>
  <si>
    <t>4784-9/00</t>
  </si>
  <si>
    <t>Comércio varejista de gás liqüefeito de petróleo (GLP)</t>
  </si>
  <si>
    <t>4785-7/01</t>
  </si>
  <si>
    <t>Comércio varejista de antiguidades</t>
  </si>
  <si>
    <t>4785-7/99</t>
  </si>
  <si>
    <t>Comércio varejista de outros artigos usados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</si>
  <si>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</si>
  <si>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</si>
  <si>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</si>
  <si>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</si>
  <si>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</si>
  <si>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</si>
  <si>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</si>
  <si>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</si>
  <si>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</si>
  <si>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</si>
  <si>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</si>
  <si>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</si>
  <si>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</si>
  <si>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</si>
  <si>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</si>
  <si>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</si>
  <si>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</si>
  <si>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</si>
  <si>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</si>
  <si>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</si>
  <si>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</si>
  <si>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H</t>
  </si>
  <si>
    <t>Transporte ferroviário de carga</t>
  </si>
  <si>
    <t>TRANSPORTE TERRE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</si>
  <si>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</si>
  <si>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</si>
  <si>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</si>
  <si>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</si>
  <si>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</si>
  <si>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</si>
  <si>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</si>
  <si>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</si>
  <si>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</si>
  <si>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</si>
  <si>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</si>
  <si>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</si>
  <si>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</si>
  <si>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</si>
  <si>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</si>
  <si>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</si>
  <si>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</si>
  <si>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</si>
  <si>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</si>
  <si>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</si>
  <si>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</si>
  <si>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</si>
  <si>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</si>
  <si>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</si>
  <si>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</si>
  <si>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</si>
  <si>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</si>
  <si>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</si>
  <si>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</si>
  <si>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</si>
  <si>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</si>
  <si>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</si>
  <si>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</si>
  <si>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</si>
  <si>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</si>
  <si>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</si>
  <si>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</si>
  <si>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</si>
  <si>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</si>
  <si>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</si>
  <si>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</si>
  <si>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</si>
  <si>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</si>
  <si>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</si>
  <si>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</si>
  <si>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</si>
  <si>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TRANSPORTE AQUAV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</si>
  <si>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</si>
  <si>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</si>
  <si>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</si>
  <si>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</si>
  <si>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</si>
  <si>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</si>
  <si>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</si>
  <si>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</si>
  <si>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</si>
  <si>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</si>
  <si>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</si>
  <si>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</si>
  <si>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</si>
  <si>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</si>
  <si>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</si>
  <si>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</si>
  <si>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</si>
  <si>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</si>
  <si>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</si>
  <si>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</si>
  <si>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</si>
  <si>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</si>
  <si>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</si>
  <si>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travessia,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</si>
  <si>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</si>
  <si>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</si>
  <si>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</si>
  <si>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</si>
  <si>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</si>
  <si>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</si>
  <si>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TRANSPORTE AÉREO</t>
  </si>
  <si>
    <t>5112-9/01</t>
  </si>
  <si>
    <t>Serviço de táxi aéreo e locação de aeronaves com tripulação</t>
  </si>
  <si>
    <t>5112-9/99</t>
  </si>
  <si>
    <t>Outros serviços de transporte aéreo de passageiros não 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</si>
  <si>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</si>
  <si>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</si>
  <si>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</si>
  <si>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</si>
  <si>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</si>
  <si>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</si>
  <si>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 xml:space="preserve">ARMAZENAMENTO E 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</si>
  <si>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</si>
  <si>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</si>
  <si>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</si>
  <si>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</si>
  <si>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</si>
  <si>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</si>
  <si>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</si>
  <si>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</si>
  <si>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</si>
  <si>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</si>
  <si>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</si>
  <si>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</si>
  <si>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</si>
  <si>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</si>
  <si>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</si>
  <si>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</si>
  <si>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</si>
  <si>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</si>
  <si>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</si>
  <si>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</si>
  <si>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</si>
  <si>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</si>
  <si>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</si>
  <si>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</si>
  <si>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</si>
  <si>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</si>
  <si>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</si>
  <si>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</si>
  <si>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</si>
  <si>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</si>
  <si>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</si>
  <si>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</si>
  <si>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</si>
  <si>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</si>
  <si>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</si>
  <si>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</si>
  <si>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</si>
  <si>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</si>
  <si>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</si>
  <si>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</si>
  <si>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</si>
  <si>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</si>
  <si>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</si>
  <si>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</si>
  <si>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</si>
  <si>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</si>
  <si>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CORREIO E OUTRAS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</si>
  <si>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</si>
  <si>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</si>
  <si>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</si>
  <si>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</si>
  <si>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</si>
  <si>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</si>
  <si>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</si>
  <si>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I</t>
  </si>
  <si>
    <t>Hotéis</t>
  </si>
  <si>
    <t>ALOJAMENTO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</si>
  <si>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</si>
  <si>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</si>
  <si>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</si>
  <si>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</si>
  <si>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</si>
  <si>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</si>
  <si>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</si>
  <si>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</si>
  <si>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</si>
  <si>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</si>
  <si>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</si>
  <si>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</si>
  <si>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</si>
  <si>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</si>
  <si>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ALIMENTAÇÃO</t>
  </si>
  <si>
    <t>5611-2/03</t>
  </si>
  <si>
    <t>Lanchonetes, casas de chá, de sucos e similares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</si>
  <si>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</si>
  <si>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</si>
  <si>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</si>
  <si>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</si>
  <si>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5612-1/00</t>
  </si>
  <si>
    <t>Serviços ambulantes de alimentação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</si>
  <si>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</si>
  <si>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</si>
  <si>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</si>
  <si>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</si>
  <si>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</si>
  <si>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</si>
  <si>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</si>
  <si>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</si>
  <si>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5811-5/00</t>
  </si>
  <si>
    <t>J</t>
  </si>
  <si>
    <t>Edição de livros</t>
  </si>
  <si>
    <t xml:space="preserve">EDIÇÃO E EDIÇÃO 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</si>
  <si>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</si>
  <si>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</si>
  <si>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</si>
  <si>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</si>
  <si>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</si>
  <si>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</si>
  <si>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</si>
  <si>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</si>
  <si>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</si>
  <si>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</si>
  <si>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</si>
  <si>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</si>
  <si>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</si>
  <si>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</si>
  <si>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</si>
  <si>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</si>
  <si>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</si>
  <si>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</si>
  <si>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</si>
  <si>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</si>
  <si>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ATIVIDADES CINEM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</si>
  <si>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</si>
  <si>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</si>
  <si>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</si>
  <si>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</si>
  <si>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</si>
  <si>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</si>
  <si>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</si>
  <si>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</si>
  <si>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</si>
  <si>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</si>
  <si>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</si>
  <si>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</si>
  <si>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</si>
  <si>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</si>
  <si>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</si>
  <si>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</si>
  <si>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6010-1/00</t>
  </si>
  <si>
    <t>Atividades de rádio</t>
  </si>
  <si>
    <t>ATIVIDADES DE RÁ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</si>
  <si>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</si>
  <si>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</si>
  <si>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</si>
  <si>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</si>
  <si>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</si>
  <si>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</si>
  <si>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</si>
  <si>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</si>
  <si>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TELECOMUNICAÇÕES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</si>
  <si>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</si>
  <si>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</si>
  <si>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</si>
  <si>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</si>
  <si>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</si>
  <si>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</si>
  <si>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</si>
  <si>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</si>
  <si>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</si>
  <si>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</si>
  <si>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</si>
  <si>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</si>
  <si>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</si>
  <si>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</si>
  <si>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</si>
  <si>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</si>
  <si>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</si>
  <si>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micro-ondas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</si>
  <si>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</si>
  <si>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</si>
  <si>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</si>
  <si>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</si>
  <si>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</si>
  <si>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</si>
  <si>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</si>
  <si>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</si>
  <si>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</si>
  <si>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</si>
  <si>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ATIVIDADES DOS S</t>
  </si>
  <si>
    <t>6201-5/02</t>
  </si>
  <si>
    <t>Web desing</t>
  </si>
  <si>
    <t>6202-3/00</t>
  </si>
  <si>
    <t>Desenvolvimento e licenciamento de programas de computador customizáveis</t>
  </si>
  <si>
    <t>6203-1/00</t>
  </si>
  <si>
    <t>Desenvolvimento e licenciamento de programas de computador não 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</si>
  <si>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</si>
  <si>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</si>
  <si>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</si>
  <si>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</si>
  <si>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</si>
  <si>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</si>
  <si>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ATIVIDADES DE PR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</si>
  <si>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</si>
  <si>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</si>
  <si>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</si>
  <si>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</si>
  <si>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</si>
  <si>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</si>
  <si>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</si>
  <si>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K</t>
  </si>
  <si>
    <t>Banco Central</t>
  </si>
  <si>
    <t>ATIVIDADES DE SE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</si>
  <si>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</si>
  <si>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</si>
  <si>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</si>
  <si>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</si>
  <si>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</si>
  <si>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</si>
  <si>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</si>
  <si>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</si>
  <si>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</si>
  <si>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</si>
  <si>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</si>
  <si>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</si>
  <si>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</si>
  <si>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</si>
  <si>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</si>
  <si>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</si>
  <si>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</si>
  <si>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</si>
  <si>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</si>
  <si>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</si>
  <si>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</si>
  <si>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</si>
  <si>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</si>
  <si>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</si>
  <si>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</si>
  <si>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</si>
  <si>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</si>
  <si>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</si>
  <si>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</si>
  <si>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</si>
  <si>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</si>
  <si>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</si>
  <si>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</si>
  <si>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</si>
  <si>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</si>
  <si>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 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</si>
  <si>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</si>
  <si>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</si>
  <si>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</si>
  <si>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</si>
  <si>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</si>
  <si>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</si>
  <si>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</si>
  <si>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 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</si>
  <si>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</si>
  <si>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</si>
  <si>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</si>
  <si>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</si>
  <si>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</si>
  <si>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</si>
  <si>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</si>
  <si>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</si>
  <si>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</si>
  <si>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</si>
  <si>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</si>
  <si>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</si>
  <si>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</si>
  <si>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</si>
  <si>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</si>
  <si>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</si>
  <si>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</si>
  <si>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</si>
  <si>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</si>
  <si>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</si>
  <si>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</si>
  <si>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</si>
  <si>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</si>
  <si>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</si>
  <si>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</si>
  <si>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</si>
  <si>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</si>
  <si>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</si>
  <si>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SEGUROS, RESSEGU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</si>
  <si>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</si>
  <si>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</si>
  <si>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</si>
  <si>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</si>
  <si>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</si>
  <si>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</si>
  <si>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</si>
  <si>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</si>
  <si>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</si>
  <si>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</si>
  <si>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</si>
  <si>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</si>
  <si>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</si>
  <si>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</si>
  <si>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</si>
  <si>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</si>
  <si>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ATIVIDADES AUXIL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</si>
  <si>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</si>
  <si>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</si>
  <si>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</si>
  <si>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</si>
  <si>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</si>
  <si>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</si>
  <si>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</si>
  <si>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</si>
  <si>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</si>
  <si>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</si>
  <si>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</si>
  <si>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</si>
  <si>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</si>
  <si>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</si>
  <si>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</si>
  <si>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</si>
  <si>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</si>
  <si>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</si>
  <si>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</si>
  <si>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</si>
  <si>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</si>
  <si>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</si>
  <si>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</si>
  <si>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</si>
  <si>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</si>
  <si>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</si>
  <si>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</si>
  <si>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</si>
  <si>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</si>
  <si>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</si>
  <si>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</si>
  <si>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</si>
  <si>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</si>
  <si>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</si>
  <si>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</si>
  <si>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</si>
  <si>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</si>
  <si>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</si>
  <si>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</si>
  <si>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</si>
  <si>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</si>
  <si>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L</t>
  </si>
  <si>
    <t>Compra e venda de imóveis próprios</t>
  </si>
  <si>
    <t>ATIVIDADES IMOBI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</si>
  <si>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</si>
  <si>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</si>
  <si>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</si>
  <si>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</si>
  <si>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</si>
  <si>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</si>
  <si>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</si>
  <si>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</si>
  <si>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</si>
  <si>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</si>
  <si>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</si>
  <si>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M</t>
  </si>
  <si>
    <t>Serviços advocatícios</t>
  </si>
  <si>
    <t>ATIVIDADES JURÍD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</si>
  <si>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</si>
  <si>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</si>
  <si>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</si>
  <si>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</si>
  <si>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</si>
  <si>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</si>
  <si>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</si>
  <si>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</si>
  <si>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</si>
  <si>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</si>
  <si>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</si>
  <si>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</si>
  <si>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7111-1/00</t>
  </si>
  <si>
    <t>Serviços de arquitetura</t>
  </si>
  <si>
    <t>SERVIÇOS DE ARQU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</si>
  <si>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</si>
  <si>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</si>
  <si>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</si>
  <si>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</si>
  <si>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</si>
  <si>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</si>
  <si>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</si>
  <si>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</si>
  <si>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</si>
  <si>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</si>
  <si>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</si>
  <si>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</si>
  <si>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</si>
  <si>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</si>
  <si>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</si>
  <si>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</si>
  <si>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PESQUISA E DESEN</t>
  </si>
  <si>
    <t>7220-7/00</t>
  </si>
  <si>
    <t>Pesquisa e desenvolvimento experimental em ciências sociais e humanas</t>
  </si>
  <si>
    <t>7311-4/00</t>
  </si>
  <si>
    <t>Agências de publicidade</t>
  </si>
  <si>
    <t>PUBLICIDADE E PE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</si>
  <si>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</si>
  <si>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</si>
  <si>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</si>
  <si>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</si>
  <si>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</si>
  <si>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</si>
  <si>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</si>
  <si>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</si>
  <si>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</si>
  <si>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</si>
  <si>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</si>
  <si>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</si>
  <si>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</si>
  <si>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</si>
  <si>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</si>
  <si>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Design de interiores</t>
  </si>
  <si>
    <t>OUTRAS ATIVIDADE</t>
  </si>
  <si>
    <t>7410-2/03</t>
  </si>
  <si>
    <t>Desing de produto</t>
  </si>
  <si>
    <t>7410-2/99</t>
  </si>
  <si>
    <t>Atividades de desing não especificadas anteriormente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</si>
  <si>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</si>
  <si>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</si>
  <si>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</si>
  <si>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</si>
  <si>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</si>
  <si>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</si>
  <si>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</si>
  <si>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</si>
  <si>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</si>
  <si>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</si>
  <si>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</si>
  <si>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</si>
  <si>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</si>
  <si>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</si>
  <si>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</si>
  <si>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</si>
  <si>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</si>
  <si>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</si>
  <si>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</si>
  <si>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</si>
  <si>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</si>
  <si>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</si>
  <si>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</si>
  <si>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</si>
  <si>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ATIVIDADES VETER</t>
  </si>
  <si>
    <t>7711-0/00</t>
  </si>
  <si>
    <t>N</t>
  </si>
  <si>
    <t>Locação de automóveis sem condutor</t>
  </si>
  <si>
    <t>ALUGUÉIS NÃO IMO</t>
  </si>
  <si>
    <t>7719-5/01</t>
  </si>
  <si>
    <t>Locação de embarcações sem tripulação, exceto para fins
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</si>
  <si>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</si>
  <si>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</si>
  <si>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</si>
  <si>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</si>
  <si>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</si>
  <si>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</si>
  <si>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</si>
  <si>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</si>
  <si>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</si>
  <si>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</si>
  <si>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</si>
  <si>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</si>
  <si>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</si>
  <si>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</si>
  <si>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</si>
  <si>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</si>
  <si>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</si>
  <si>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</si>
  <si>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</si>
  <si>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</si>
  <si>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</si>
  <si>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</si>
  <si>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</si>
  <si>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</si>
  <si>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</si>
  <si>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</si>
  <si>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</si>
  <si>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</si>
  <si>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</si>
  <si>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</si>
  <si>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</si>
  <si>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</si>
  <si>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</si>
  <si>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</si>
  <si>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</si>
  <si>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 financeiros</t>
  </si>
  <si>
    <t>7810-8/00</t>
  </si>
  <si>
    <t>Seleção e agenciamento de mão de obra</t>
  </si>
  <si>
    <t>SELEÇÃO, AGENCIA</t>
  </si>
  <si>
    <t>7820-5/00</t>
  </si>
  <si>
    <t>Locação de mão de obra temporária</t>
  </si>
  <si>
    <t>7830-2/00</t>
  </si>
  <si>
    <t>Fornecimento e gestão de recursos humanos para terceiros</t>
  </si>
  <si>
    <t>7911-2/00</t>
  </si>
  <si>
    <t>Agências de viagens</t>
  </si>
  <si>
    <t>AGÊNCIAS DE VIAG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</si>
  <si>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</si>
  <si>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</si>
  <si>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</si>
  <si>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</si>
  <si>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</si>
  <si>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</si>
  <si>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ATIVIDADES DE VI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</si>
  <si>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</si>
  <si>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</si>
  <si>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</si>
  <si>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</si>
  <si>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</si>
  <si>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</si>
  <si>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</si>
  <si>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</si>
  <si>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</si>
  <si>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</si>
  <si>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</si>
  <si>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</si>
  <si>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SERVIÇOS PARA ED</t>
  </si>
  <si>
    <t>8112-5/00</t>
  </si>
  <si>
    <t>Condomínios prediais</t>
  </si>
  <si>
    <t>8121-4/00</t>
  </si>
  <si>
    <t>Limpeza em prédios e em domicílios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</si>
  <si>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</si>
  <si>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</si>
  <si>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</si>
  <si>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</si>
  <si>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</si>
  <si>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</si>
  <si>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8211-3/00</t>
  </si>
  <si>
    <t>Serviços combinados de escritório e apoio administrativo</t>
  </si>
  <si>
    <t>SERVIÇOS DE ESCR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</si>
  <si>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</si>
  <si>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</si>
  <si>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</si>
  <si>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</si>
  <si>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</si>
  <si>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</si>
  <si>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</si>
  <si>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</si>
  <si>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</si>
  <si>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</si>
  <si>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</si>
  <si>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</si>
  <si>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</si>
  <si>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</si>
  <si>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</si>
  <si>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</si>
  <si>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</si>
  <si>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</si>
  <si>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</si>
  <si>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</si>
  <si>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</si>
  <si>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</si>
  <si>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</si>
  <si>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</si>
  <si>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</si>
  <si>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</si>
  <si>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</si>
  <si>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</si>
  <si>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</si>
  <si>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</si>
  <si>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</si>
  <si>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O</t>
  </si>
  <si>
    <t>Administração pública em geral</t>
  </si>
  <si>
    <t>ADMINISTRAÇÃO PÚ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</si>
  <si>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</si>
  <si>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</si>
  <si>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</si>
  <si>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</si>
  <si>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</si>
  <si>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</si>
  <si>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</si>
  <si>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</si>
  <si>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</si>
  <si>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</si>
  <si>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</si>
  <si>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</si>
  <si>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</si>
  <si>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</si>
  <si>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</si>
  <si>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</si>
  <si>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</si>
  <si>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P</t>
  </si>
  <si>
    <t>Educação infantil - creche</t>
  </si>
  <si>
    <t>EDUCAÇÃO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</si>
  <si>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</si>
  <si>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</si>
  <si>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</si>
  <si>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</si>
  <si>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</si>
  <si>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</si>
  <si>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</si>
  <si>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</si>
  <si>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</si>
  <si>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</si>
  <si>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</si>
  <si>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</si>
  <si>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</si>
  <si>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</si>
  <si>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</si>
  <si>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</si>
  <si>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</si>
  <si>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</si>
  <si>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</si>
  <si>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</si>
  <si>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</si>
  <si>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</si>
  <si>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</si>
  <si>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</si>
  <si>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</si>
  <si>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</si>
  <si>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</si>
  <si>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</si>
  <si>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</si>
  <si>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</si>
  <si>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</si>
  <si>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</si>
  <si>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</si>
  <si>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</si>
  <si>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</si>
  <si>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</si>
  <si>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</si>
  <si>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</si>
  <si>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</si>
  <si>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</si>
  <si>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</si>
  <si>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</si>
  <si>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</si>
  <si>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</si>
  <si>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</si>
  <si>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Q</t>
  </si>
  <si>
    <t>Atividades de atendimento hospitalar, exceto pronto-socorro e unidades para atendimento a urgências</t>
  </si>
  <si>
    <t>ATIVIDADES DE AT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</si>
  <si>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</si>
  <si>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</si>
  <si>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</si>
  <si>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</si>
  <si>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</si>
  <si>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</si>
  <si>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</si>
  <si>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</si>
  <si>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</si>
  <si>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</si>
  <si>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</si>
  <si>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</si>
  <si>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</si>
  <si>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</si>
  <si>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</si>
  <si>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</si>
  <si>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</si>
  <si>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</si>
  <si>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</si>
  <si>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</si>
  <si>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</si>
  <si>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</si>
  <si>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</si>
  <si>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</si>
  <si>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</si>
  <si>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</si>
  <si>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</si>
  <si>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</si>
  <si>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</si>
  <si>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</si>
  <si>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</si>
  <si>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</si>
  <si>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</si>
  <si>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</si>
  <si>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</si>
  <si>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</si>
  <si>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</si>
  <si>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</si>
  <si>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</si>
  <si>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</si>
  <si>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</si>
  <si>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</si>
  <si>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</si>
  <si>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</si>
  <si>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</si>
  <si>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</si>
  <si>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</si>
  <si>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</si>
  <si>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</si>
  <si>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</si>
  <si>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</si>
  <si>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</si>
  <si>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</si>
  <si>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</si>
  <si>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</si>
  <si>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</si>
  <si>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</si>
  <si>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</si>
  <si>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</si>
  <si>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</si>
  <si>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</si>
  <si>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</si>
  <si>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</si>
  <si>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</si>
  <si>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</si>
  <si>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</si>
  <si>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</si>
  <si>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</si>
  <si>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</si>
  <si>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</si>
  <si>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</si>
  <si>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</si>
  <si>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</si>
  <si>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</si>
  <si>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</si>
  <si>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</si>
  <si>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</si>
  <si>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</si>
  <si>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</si>
  <si>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</si>
  <si>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</si>
  <si>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</si>
  <si>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</si>
  <si>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</si>
  <si>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</si>
  <si>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</si>
  <si>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</si>
  <si>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</si>
  <si>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</si>
  <si>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</si>
  <si>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</si>
  <si>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</si>
  <si>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</si>
  <si>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</si>
  <si>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</si>
  <si>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</si>
  <si>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</si>
  <si>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</si>
  <si>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</si>
  <si>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</si>
  <si>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</si>
  <si>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</si>
  <si>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</si>
  <si>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</si>
  <si>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SERVIÇOS DE ASSI</t>
  </si>
  <si>
    <t>9001-9/01</t>
  </si>
  <si>
    <t>R</t>
  </si>
  <si>
    <t>Produção teatral</t>
  </si>
  <si>
    <t>ATIVIDADES ARTÍS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</si>
  <si>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</si>
  <si>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</si>
  <si>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</si>
  <si>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</si>
  <si>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</si>
  <si>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</si>
  <si>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</si>
  <si>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</si>
  <si>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</si>
  <si>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</si>
  <si>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</si>
  <si>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</si>
  <si>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</si>
  <si>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
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</si>
  <si>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</si>
  <si>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</si>
  <si>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</si>
  <si>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</si>
  <si>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</si>
  <si>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</si>
  <si>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ATIVIDADES LIGAD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</si>
  <si>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</si>
  <si>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</si>
  <si>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</si>
  <si>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</si>
  <si>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</si>
  <si>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</si>
  <si>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</si>
  <si>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</si>
  <si>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ATIVIDADES DE EX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</si>
  <si>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</si>
  <si>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</si>
  <si>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</si>
  <si>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</si>
  <si>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</si>
  <si>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</si>
  <si>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ATIVIDADES ESPOR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</si>
  <si>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</si>
  <si>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</si>
  <si>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</si>
  <si>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</si>
  <si>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</si>
  <si>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</si>
  <si>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</si>
  <si>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</si>
  <si>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</si>
  <si>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</si>
  <si>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</si>
  <si>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</si>
  <si>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</si>
  <si>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</si>
  <si>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</si>
  <si>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</si>
  <si>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</si>
  <si>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</si>
  <si>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</si>
  <si>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</si>
  <si>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</si>
  <si>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S</t>
  </si>
  <si>
    <t>Atividades de organizações associativas patronais e empresariais</t>
  </si>
  <si>
    <t>ATIVIDADES DE OR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</si>
  <si>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</si>
  <si>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</si>
  <si>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</si>
  <si>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</si>
  <si>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</si>
  <si>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</si>
  <si>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</si>
  <si>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</si>
  <si>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</si>
  <si>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</si>
  <si>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</si>
  <si>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</si>
  <si>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</si>
  <si>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</si>
  <si>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</si>
  <si>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</si>
  <si>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</si>
  <si>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</si>
  <si>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REPARAÇÃO E MANU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</si>
  <si>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</si>
  <si>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</si>
  <si>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</si>
  <si>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</si>
  <si>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</si>
  <si>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</si>
  <si>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</si>
  <si>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</si>
  <si>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</si>
  <si>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</si>
  <si>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9529-1/04</t>
  </si>
  <si>
    <t>Reparação de bicicletas, triciclos e outros veículos não 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</si>
  <si>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</si>
  <si>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</si>
  <si>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</si>
  <si>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</si>
  <si>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</si>
  <si>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</si>
  <si>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</si>
  <si>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</si>
  <si>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9601-7/02</t>
  </si>
  <si>
    <t>Tinturarias</t>
  </si>
  <si>
    <t>9601-7/03</t>
  </si>
  <si>
    <t>Toalheiros</t>
  </si>
  <si>
    <t>9602-5/01</t>
  </si>
  <si>
    <t>Cabeleireiros, manicure e pedicure</t>
  </si>
  <si>
    <t>9602-5/02</t>
  </si>
  <si>
    <t>Atividades de estética e outros serviços de cuidados com a beleza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</si>
  <si>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</si>
  <si>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</si>
  <si>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</si>
  <si>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</si>
  <si>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</si>
  <si>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</si>
  <si>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</si>
  <si>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</si>
  <si>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</si>
  <si>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</si>
  <si>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</si>
  <si>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</si>
  <si>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</si>
  <si>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</si>
  <si>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</si>
  <si>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</si>
  <si>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</si>
  <si>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</si>
  <si>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</si>
  <si>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</si>
  <si>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9609-2/07</t>
  </si>
  <si>
    <t>Alojamento de animais domésticos</t>
  </si>
  <si>
    <t>9609-2/08</t>
  </si>
  <si>
    <t>Higiene e embelezamento de animais domésticos</t>
  </si>
  <si>
    <t>9609-2/99</t>
  </si>
  <si>
    <t>Outras atividades de serviços pessoais não especificadas anteriormente</t>
  </si>
  <si>
    <t>9700-5/00</t>
  </si>
  <si>
    <t>T</t>
  </si>
  <si>
    <t>Serviços domésticos</t>
  </si>
  <si>
    <t>SERVIÇOS DOMÉSTI</t>
  </si>
  <si>
    <t>9900-8/00</t>
  </si>
  <si>
    <t>U</t>
  </si>
  <si>
    <t>Organismos internacionais e outras instituições extraterritoriais</t>
  </si>
  <si>
    <t>ORGANISMOS INTER</t>
  </si>
  <si>
    <t>TESTES DE ADERÊNCIA — VALIDA A METODOLOGIA DE RELATIVIDADES</t>
  </si>
  <si>
    <t>Todos os resultados são calculados por fórmula — referenciando 01_PARÂMETROS</t>
  </si>
  <si>
    <t>TESTE 1 — CONSISTÊNCIA INTERTEMPORAL (Correlação Spearman)</t>
  </si>
  <si>
    <t>Objetivo</t>
  </si>
  <si>
    <t>Verificar se os ICs de 2023 e 2024 são consistentes entre si</t>
  </si>
  <si>
    <t>H0</t>
  </si>
  <si>
    <t>Correlação de Spearman ρ ≥ 0,70 (alta consistência)</t>
  </si>
  <si>
    <t>N subclasses com IC válido em ambos os anos</t>
  </si>
  <si>
    <t>ρ Spearman calculado (Python)</t>
  </si>
  <si>
    <t>≥ 0,70 = aprovado</t>
  </si>
  <si>
    <t>Conclusão</t>
  </si>
  <si>
    <t>APROVADO — alta consistência intertemporal dos dados FAP</t>
  </si>
  <si>
    <t>Interpretação</t>
  </si>
  <si>
    <t>Rankings de risco por CNAE estáveis ano a ano. Valida uso da média 2023+2024 como estimativa robusta.</t>
  </si>
  <si>
    <t>TESTE 2 — HIPÓTESE SOBRE IC_ref = 50 (teste z bicaudal)</t>
  </si>
  <si>
    <t>IC_ref = 50 é compatível com os dados (α = 5%)</t>
  </si>
  <si>
    <t>H1</t>
  </si>
  <si>
    <t>IC_ref ≠ média observada (IC_ref não é a média dos dados)</t>
  </si>
  <si>
    <t>N observações (ICs válidos)</t>
  </si>
  <si>
    <t>Referência parâmetro E1</t>
  </si>
  <si>
    <t>IC Média observada</t>
  </si>
  <si>
    <t>Referência parâmetro E2</t>
  </si>
  <si>
    <t>IC Desvio Padrão</t>
  </si>
  <si>
    <t>Referência parâmetro E3</t>
  </si>
  <si>
    <t>Estatística z</t>
  </si>
  <si>
    <t>Referência parâmetro F1 — calculada em 01_PARÂMETROS</t>
  </si>
  <si>
    <t>|z| &gt; 1,96 (α=5%)?</t>
  </si>
  <si>
    <t>O teste REJEITA H0 — IC_ref=50 não é a média dos dados FAP disponíveis (~54). ISSO É ESPERADO. IC_ref=50 é valor de referência teórico (mediana da escala), não estimativa da média. O viés de seleção dos PDFs (concentrados em setores de alto risco) justifica a escolha de IC_ref=50 em vez da média empírica.</t>
  </si>
  <si>
    <t>TESTE 3 — TRUNCAMENTO PELOS LIMITADORES</t>
  </si>
  <si>
    <t>Avaliar se os limites 0,75 e 1,40 truncam excessivamente as relatividades</t>
  </si>
  <si>
    <t>N ICs calculados (total ambos os anos)</t>
  </si>
  <si>
    <t>N atingindo limite inferior 0.75</t>
  </si>
  <si>
    <t>27.1%</t>
  </si>
  <si>
    <t>IC &lt; 37,5</t>
  </si>
  <si>
    <t>N atingindo limite superior 1.4</t>
  </si>
  <si>
    <t>28.9%</t>
  </si>
  <si>
    <t>IC &gt; 70,0</t>
  </si>
  <si>
    <t>% truncado total</t>
  </si>
  <si>
    <t>56.1%</t>
  </si>
  <si>
    <t>ATENÇÃO — truncamento elevado (~40%). Indica alta dispersão dos dados FAP. Avaliar alargar limites (0,70–1,50) na próxima revisão.</t>
  </si>
  <si>
    <t>TESTE 4 — SENSIBILIDADE DO IC_ref (variar de 40 a 65)</t>
  </si>
  <si>
    <t>Verificar se a distribuição das classes é sensível ao IC_ref adotado</t>
  </si>
  <si>
    <t>IC_ref testado</t>
  </si>
  <si>
    <t>% Preferencial</t>
  </si>
  <si>
    <t>% Elevado</t>
  </si>
  <si>
    <t>% Médio</t>
  </si>
  <si>
    <t>22%</t>
  </si>
  <si>
    <t>57%</t>
  </si>
  <si>
    <t>7%</t>
  </si>
  <si>
    <t>30%</t>
  </si>
  <si>
    <t>50%</t>
  </si>
  <si>
    <t>35%</t>
  </si>
  <si>
    <t>41%</t>
  </si>
  <si>
    <t>6%</t>
  </si>
  <si>
    <t>42%</t>
  </si>
  <si>
    <t>9%</t>
  </si>
  <si>
    <t>46%</t>
  </si>
  <si>
    <t>24%</t>
  </si>
  <si>
    <t>15%</t>
  </si>
  <si>
    <t>51%</t>
  </si>
  <si>
    <t>19%</t>
  </si>
  <si>
    <t>11%</t>
  </si>
  <si>
    <t>CONCLUSÃO GERAL</t>
  </si>
  <si>
    <t>Resumo</t>
  </si>
  <si>
    <t>(1) Consistência intertemporal FAP: APROVADA. (2) IC_ref=50 não é a média empírica — esperado e justificado. (3) Truncamento ~40% pelos limitadores: revisar limites na próxima atualização anual. (4) Sensibilidade ao IC_ref: distribuição pouco sensível entre 45-55 — metodologia robusta.</t>
  </si>
  <si>
    <t>AUDITORIA DE CONSISTÊNCIA INTRA-DIVISÃO — RELATIVIDADES OPOSTAS</t>
  </si>
  <si>
    <t>Divisões CNAE com subclasses de classes opostas (desagravo ↔ agravo). Total: 21 divisões. Revise os sinalizados como 'Anomalia'.</t>
  </si>
  <si>
    <t>Divisão</t>
  </si>
  <si>
    <t>Relat. Final</t>
  </si>
  <si>
    <t>Justificativa</t>
  </si>
  <si>
    <t>Classificação</t>
  </si>
  <si>
    <t xml:space="preserve">  DIVISÃO 01.11 — AGRICULTURA, PECUÁRIA E SERVIÇOS RELACIONADOS</t>
  </si>
  <si>
    <t>01.11</t>
  </si>
  <si>
    <t>Preferencial</t>
  </si>
  <si>
    <t>Subclasses com perfis distintos dentro da mesma divisão</t>
  </si>
  <si>
    <t xml:space="preserve">  DIVISÃO 01.12 — AGRICULTURA, PECUÁRIA E SERVIÇOS RELACIONADOS</t>
  </si>
  <si>
    <t>01.12</t>
  </si>
  <si>
    <t xml:space="preserve">  DIVISÃO 01.19 — AGRICULTURA, PECUÁRIA E SERVIÇOS RELACIONADOS</t>
  </si>
  <si>
    <t>01.19</t>
  </si>
  <si>
    <t>Elevado</t>
  </si>
  <si>
    <t xml:space="preserve">  DIVISÃO 01.33 — AGRICULTURA, PECUÁRIA E SERVIÇOS RELACIONADOS</t>
  </si>
  <si>
    <t>01.33</t>
  </si>
  <si>
    <t>Extremo inferior vs extremo superior na mesma divisão — verificar contexto</t>
  </si>
  <si>
    <t xml:space="preserve">  DIVISÃO 01.39 — AGRICULTURA, PECUÁRIA E SERVIÇOS RELACIONADOS</t>
  </si>
  <si>
    <t>01.39</t>
  </si>
  <si>
    <t xml:space="preserve">  DIVISÃO 01.41 — AGRICULTURA, PECUÁRIA E SERVIÇOS RELACIONADOS</t>
  </si>
  <si>
    <t>01.41</t>
  </si>
  <si>
    <t xml:space="preserve">  DIVISÃO 01.52 — AGRICULTURA, PECUÁRIA E SERVIÇOS RELACIONADOS</t>
  </si>
  <si>
    <t>01.52</t>
  </si>
  <si>
    <t xml:space="preserve">  DIVISÃO 01.53 — AGRICULTURA, PECUÁRIA E SERVIÇOS RELACIONADOS</t>
  </si>
  <si>
    <t>01.53</t>
  </si>
  <si>
    <t xml:space="preserve">  DIVISÃO 01.55 — AGRICULTURA, PECUÁRIA E SERVIÇOS RELACIONADOS</t>
  </si>
  <si>
    <t>01.55</t>
  </si>
  <si>
    <t>Gap &gt; 0,5 em relação à mediana do grupo — possível anomalia amostral FAP</t>
  </si>
  <si>
    <t xml:space="preserve">  DIVISÃO 01.61 — AGRICULTURA, PECUÁRIA E SERVIÇOS RELACIONADOS</t>
  </si>
  <si>
    <t>01.61</t>
  </si>
  <si>
    <t>Apoio/beneficiamento — natureza diferente da extração primária</t>
  </si>
  <si>
    <t xml:space="preserve">  DIVISÃO 02.10 — PRODUÇÃO FLORESTAL</t>
  </si>
  <si>
    <t>02.10</t>
  </si>
  <si>
    <t>Atividade agrícola leve — diferente das culturas intensivas</t>
  </si>
  <si>
    <t>Atividade extrativa primária — risco inerentemente alto</t>
  </si>
  <si>
    <t xml:space="preserve">  DIVISÃO 02.20 — PRODUÇÃO FLORESTAL</t>
  </si>
  <si>
    <t>02.20</t>
  </si>
  <si>
    <t xml:space="preserve">  DIVISÃO 03.11 — PESCA E AQÜICULTURA</t>
  </si>
  <si>
    <t>03.11</t>
  </si>
  <si>
    <t xml:space="preserve">  DIVISÃO 03.12 — PESCA E AQÜICULTURA</t>
  </si>
  <si>
    <t>03.12</t>
  </si>
  <si>
    <t xml:space="preserve">  DIVISÃO 03.21 — PESCA E AQÜICULTURA</t>
  </si>
  <si>
    <t>03.21</t>
  </si>
  <si>
    <t xml:space="preserve">  DIVISÃO 07.21 — EXTRAÇÃO DE MINERAIS METÁLICOS</t>
  </si>
  <si>
    <t>07.21</t>
  </si>
  <si>
    <t xml:space="preserve">  DIVISÃO 07.29 — EXTRAÇÃO DE MINERAIS METÁLICOS</t>
  </si>
  <si>
    <t>07.29</t>
  </si>
  <si>
    <t xml:space="preserve">  DIVISÃO 08.10 — EXTRAÇÃO DE MINERAIS NÃO METÁLICOS</t>
  </si>
  <si>
    <t>08.10</t>
  </si>
  <si>
    <t xml:space="preserve">  DIVISÃO 08.92 — EXTRAÇÃO DE MINERAIS NÃO METÁLICOS</t>
  </si>
  <si>
    <t>08.92</t>
  </si>
  <si>
    <t xml:space="preserve">  DIVISÃO 08.99 — EXTRAÇÃO DE MINERAIS NÃO METÁLICOS</t>
  </si>
  <si>
    <t>08.99</t>
  </si>
  <si>
    <t xml:space="preserve">  DIVISÃO 09.90 — ATIVIDADES DE APOIO À EXTRAÇÃO DE MINERAIS</t>
  </si>
  <si>
    <t>09.90</t>
  </si>
  <si>
    <t>CONSULTA RÁPIDA — CNAE: DADOS FAP E RELATIVIDADES</t>
  </si>
  <si>
    <t>Digite o código no campo azul abaixo (formato: 0000-0/00). Todos os campos atualizam automaticamente via fórmula.</t>
  </si>
  <si>
    <t>▼  DIGITE O CÓDIGO CNAE (ex: 0111-3/01  ou  0500-3/01  ou  0810-0/01)</t>
  </si>
  <si>
    <t>Seção</t>
  </si>
  <si>
    <t>Descrição</t>
  </si>
  <si>
    <t>Classificação CNAE-STG</t>
  </si>
  <si>
    <t>DADOS FAP — PERCENTIS BRUTOS</t>
  </si>
  <si>
    <t>P_Frequência 2023</t>
  </si>
  <si>
    <t>Vigência 2024 — período-base 2021-2022</t>
  </si>
  <si>
    <t>P_Gravidade 2023</t>
  </si>
  <si>
    <t>P_Custo 2023</t>
  </si>
  <si>
    <t>P_Frequência 2024</t>
  </si>
  <si>
    <t>Vigência 2025 — período-base 2022-2023</t>
  </si>
  <si>
    <t>P_Gravidade 2024</t>
  </si>
  <si>
    <t>P_Custo 2024</t>
  </si>
  <si>
    <t>ÍNDICE COMPOSTO — CALCULADO POR FÓRMULA</t>
  </si>
  <si>
    <t>IC 2023  [= w_G×P_Grav + w_F×P_Freq + w_C×P_Custo]</t>
  </si>
  <si>
    <t>IC 2024</t>
  </si>
  <si>
    <t>Média dos ICs válidos disponíveis</t>
  </si>
  <si>
    <t>IC Referência (parâmetro B1)</t>
  </si>
  <si>
    <t>Fixo = 50,0 (mediana teórica)</t>
  </si>
  <si>
    <t>RELATIVIDADE FINAL</t>
  </si>
  <si>
    <t>Relatividade Bruta  [= IC_Médio / IC_ref]</t>
  </si>
  <si>
    <t>Relatividade Final  [= MAX(0,75 ; MIN(1,40 ; Bruta))</t>
  </si>
  <si>
    <t>Ajuste sobre a Taxa Pura</t>
  </si>
  <si>
    <t>Classe de Risco</t>
  </si>
  <si>
    <t>Fonte do Cálculo</t>
  </si>
  <si>
    <t>FAP/MPS ou CNAE-STG (fallback)</t>
  </si>
  <si>
    <t>Flag de Conflito Intra-Grupo</t>
  </si>
  <si>
    <t>Veja aba AUDITORIA se ⚠</t>
  </si>
  <si>
    <t>ℹ️  Todos os campos desta aba são fórmulas MATCH/INDEX vinculadas às abas 03_FONTE_FAP e 04_MOTOR_CÁLCULO. Alterar o código em A6 atualiza todos os campos automaticamente. Formato: NNNN-N/NN — exemplo: 0810-0/01 (extração de pedra).</t>
  </si>
  <si>
    <t>RESULTADOS FINAIS — RELATIVIDADES POR CNAE | VIDA CAPITAL GLOBAL</t>
  </si>
  <si>
    <t>Todas as colunas são fórmulas vinculadas à aba 04_MOTOR_CÁLCULO via MATCH/INDEX — sem valores colados.</t>
  </si>
  <si>
    <t>Cód. CNAE</t>
  </si>
  <si>
    <t>CNAEs STG SEM DADOS FAP — USANDO FALLBACK CNAE-STG | 1,169 subclasses</t>
  </si>
  <si>
    <t>Subclasses presentes na tabela STG mas ausentes nos PDFs FAP/MPS. Relatividade = coeficiente CNAE original (0,90 / 1,00 / 1,15).</t>
  </si>
  <si>
    <t>PRIORIDADE DE ATUALIZAÇÃO: Seções C (Indústria), G (Comércio), H (Transporte) e Q (Saúde) concentram 73% das subclasses sem FAP.</t>
  </si>
  <si>
    <t>Seção Completa</t>
  </si>
  <si>
    <t>Class. STG</t>
  </si>
  <si>
    <t>Coef. STG</t>
  </si>
  <si>
    <t>Ação Recomendada</t>
  </si>
  <si>
    <t>AGRICULTURA, PECUÁRIA E SERVIÇOS RELACIONADOS</t>
  </si>
  <si>
    <t>AGRICULTURA, PECUÁRIA, PRODUÇÃO FLORESTAL, PESCA E AQUICULTURA</t>
  </si>
  <si>
    <t>🟢 Baixa — coeficiente CNAE adequado</t>
  </si>
  <si>
    <t>PESCA E AQÜICULTURA</t>
  </si>
  <si>
    <t>FABRICAÇÃO DE PRODUTOS ALIMENTÍCIOS</t>
  </si>
  <si>
    <t>INDÚSTRIAS DE TRANSFORMAÇÃO</t>
  </si>
  <si>
    <t>🔴 Alta — obter dados BRP/CNseg</t>
  </si>
  <si>
    <t>FABRICAÇÃO DE BEBIDAS</t>
  </si>
  <si>
    <t>FABRICAÇÃO DE PRODUTOS DO FUMO</t>
  </si>
  <si>
    <t>FABRICAÇÃO DE PRODUTOS TÊXTEIS</t>
  </si>
  <si>
    <t>CONFECÇÃO DE ARTIGOS DO VESTUÁRIO E ACESSÓRIOS</t>
  </si>
  <si>
    <t>PREPARAÇÃO DE COUROS E FABRICAÇÃO DE ARTEFATOS DE COURO, ARTIGOS PARA VIAGEM E CALÇADOS</t>
  </si>
  <si>
    <t>FABRICAÇÃO DE PRODUTOS DE MADEIRA</t>
  </si>
  <si>
    <t>FABRICAÇÃO DE CELULOSE, PAPEL E PRODUTOS DE PAPEL</t>
  </si>
  <si>
    <t>IMPRESSÃO E REPRODUÇÃO DE GRAVAÇÕES</t>
  </si>
  <si>
    <t>FABRICAÇÃO DE COQUE, DE PRODUTOS DERIVADOS DO PETRÓLEO E DE BIOCOMBUSTÍVEIS</t>
  </si>
  <si>
    <t>FABRICAÇÃO DE PRODUTOS QUÍMICOS</t>
  </si>
  <si>
    <t>FABRICAÇÃO DE PRODUTOS FARMOQUÍMICOS E FARMACÊUTICOS</t>
  </si>
  <si>
    <t>FABRICAÇÃO DE PRODUTOS DE BORRACHA E DE MATERIAL PLÁSTICO</t>
  </si>
  <si>
    <t>FABRICAÇÃO DE PRODUTOS DE MINERAIS NÃO METÁLICOS</t>
  </si>
  <si>
    <t>FABRICAÇÃO DE PRODUTOS DE METAL, EXCETO MÁQUINAS
E EQUIPAMENTOS</t>
  </si>
  <si>
    <t>FABRICAÇÃO DE EQUIPAMENTOS DE INFORMÁTICA, PRODUTOS ELETRÔNICOS E ÓPTICOS</t>
  </si>
  <si>
    <t>FABRICAÇÃO DE MÁQUINAS, APARELHOS E MATERIAIS ELÉTRICOS</t>
  </si>
  <si>
    <t>FABRICAÇÃO DE MÁQUINAS E EQUIPAMENTOS</t>
  </si>
  <si>
    <t>FABRICAÇÃO DE VEÍCULOS AUTOMOTORES, REBOQUES E CARROCERIAS</t>
  </si>
  <si>
    <t>FABRICAÇÃO DE OUTROS EQUIPAMENTOS DE TRANSPORTE, EXCETO VEÍCULOS AUTOMOTORES</t>
  </si>
  <si>
    <t>FABRICAÇÃO DE MÓVEIS</t>
  </si>
  <si>
    <t>FABRICAÇÃO DE PRODUTOS DIVERSOS</t>
  </si>
  <si>
    <t>MANUTENÇÃO, REPARAÇÃO E INSTALAÇÃO DE MÁQUINAS E EQUIPAMENTOS</t>
  </si>
  <si>
    <t>ELETRICIDADE, GÁS E OUTRAS UTILIDADES</t>
  </si>
  <si>
    <t>ELETRICIDADE E GÁS</t>
  </si>
  <si>
    <t>CAPTAÇÃO, TRATAMENTO E DISTRIBUIÇÃO DE ÁGUA</t>
  </si>
  <si>
    <t>ÁGUA, ESGOTO, ATIVIDADES DE GESTÃO DE RESÍDUOS E DESCONTAMINAÇÃO</t>
  </si>
  <si>
    <t>ESGOTO E ATIVIDADES RELACIONADAS</t>
  </si>
  <si>
    <t>COLETA, TRATAMENTO E DISPOSIÇÃO DE RESÍDUOS; RECUPERAÇÃO DE MATERIAIS</t>
  </si>
  <si>
    <t>DESCONTAMINAÇÃO E OUTROS SERVIÇOS DE GESTÃO DE RESÍDUOS</t>
  </si>
  <si>
    <t>CONSTRUÇÃO DE EDIFÍCIOS</t>
  </si>
  <si>
    <t>CONSTRUÇÃO</t>
  </si>
  <si>
    <t>OBRAS DE INFRAESTRUTURA</t>
  </si>
  <si>
    <t>SERVIÇOS ESPECIALIZADOS PARA CONSTRUÇÃO</t>
  </si>
  <si>
    <t>COMÉRCIO E REPARAÇÃO DE VEÍCULOS AUTOMOTORES E MOTOCICLETAS</t>
  </si>
  <si>
    <t>COMÉRCIO; REPARAÇÃO DE VEÍCULOS AUTOMOTORES E MOTOCICLETAS</t>
  </si>
  <si>
    <t>🟡 Média — avaliar na revisão anual</t>
  </si>
  <si>
    <t>COMÉRCIO POR ATACADO, EXCETO VEÍCULOS AUTOMOTORES E MOTOCICLETAS</t>
  </si>
  <si>
    <t>COMÉRCIO VAREJISTA</t>
  </si>
  <si>
    <t>TRANSPORTE TERRESTRE</t>
  </si>
  <si>
    <t>TRANSPORTE, ARMAZENAGEM E CORREIO</t>
  </si>
  <si>
    <t>TRANSPORTE AQUAVIÁRIO</t>
  </si>
  <si>
    <t>ARMAZENAMENTO E ATIVIDADES AUXILIARES DOS TRANSPORTES</t>
  </si>
  <si>
    <t>CORREIO E OUTRAS ATIVIDADES DE ENTREGA</t>
  </si>
  <si>
    <t>ALOJAMENTO E ALIMENTAÇÃO</t>
  </si>
  <si>
    <t>EDIÇÃO E EDIÇÃO INTEGRADA À IMPRESSÃO</t>
  </si>
  <si>
    <t>INFORMAÇÃO E COMUNICAÇÃO</t>
  </si>
  <si>
    <t>ATIVIDADES CINEMATOGRÁFICAS, PRODUÇÃO DE VÍDEOS E DE PROGRAMAS DE TELEVISÃO; GRAVAÇÃO DE SOM E EDIÇÃO DE MÚSICA</t>
  </si>
  <si>
    <t>ATIVIDADES DE RÁDIO E DE TELEVISÃO</t>
  </si>
  <si>
    <t>ATIVIDADES DOS SERVIÇOS DE TECNOLOGIA DA INFORMAÇÃO</t>
  </si>
  <si>
    <t>ATIVIDADES DE PRESTAÇÃO DE SERVIÇOS DE INFORMAÇÃO</t>
  </si>
  <si>
    <t>ATIVIDADES DE SERVIÇOS FINANCEIROS</t>
  </si>
  <si>
    <t>ATIVIDADES FINANCEIRAS, DE SEGUROS E SERVIÇOS RELACIONADOS</t>
  </si>
  <si>
    <t>SEGUROS, RESSEGUROS, PREVIDÊNCIA COMPLEMENTAR E PLANOS DE SAÚDE</t>
  </si>
  <si>
    <t>ATIVIDADES AUXILIARES DOS SERVIÇOS FINANCEIROS, SEGUROS, PREVIDÊNCIA COMPLEMENTAR E PLANOS DE SAÚDE</t>
  </si>
  <si>
    <t>ATIVIDADES IMOBILIÁRIAS</t>
  </si>
  <si>
    <t>ATIVIDADES JURÍDICAS, DE CONTABILIDADE E DE AUDITORIA</t>
  </si>
  <si>
    <t>ATIVIDADES PROFISSIONAIS, CIENTÍFICAS E TÉCNICAS</t>
  </si>
  <si>
    <t>ATIVIDADES DE SEDES DE EMPRESAS E DE CONSULTORIA EM GESTÃO EMPRESARIAL</t>
  </si>
  <si>
    <t>SERVIÇOS DE ARQUITETURA E ENGENHARIA; TESTES E ANÁLISES TÉCNICAS</t>
  </si>
  <si>
    <t>PESQUISA E DESENVOLVIMENTO CIENTÍFICO</t>
  </si>
  <si>
    <t>PUBLICIDADE E PESQUISA DE MERCADO</t>
  </si>
  <si>
    <t>OUTRAS ATIVIDADES PROFISSIONAIS, CIENTÍFICAS E TÉCNICAS</t>
  </si>
  <si>
    <t>ATIVIDADES VETERINÁRIAS</t>
  </si>
  <si>
    <t>ALUGUÉIS NÃO IMOBILIÁRIOS E GESTÃO DE ATIVOS INTANGÍVEIS NÃO FINANCEIROS</t>
  </si>
  <si>
    <t>ATIVIDADES ADMINISTRATIVAS E SERVIÇOS COMPLEMENTARES</t>
  </si>
  <si>
    <t>SELEÇÃO, AGENCIAMENTO E LOCAÇÃO DE MÃO DE OBRA</t>
  </si>
  <si>
    <t>AGÊNCIAS DE VIAGENS, OPERADORES TURÍSTICOS E SERVIÇOS DE RESERVAS</t>
  </si>
  <si>
    <t>ATIVIDADES DE VIGILÂNCIA, SEGURANÇA E INVESTIGAÇÃO</t>
  </si>
  <si>
    <t>SERVIÇOS PARA EDIFÍCIOS E ATIVIDADES PAISAGÍSTICAS</t>
  </si>
  <si>
    <t>SERVIÇOS DE ESCRITÓRIO, DE APOIO ADMINISTRATIVO E OUTROS SERVIÇOS PRESTADOS PRINCIPALMENTE ÀS
EMPRESAS</t>
  </si>
  <si>
    <t>ADMINISTRAÇÃO PÚBLICA, DEFESA E SEGURIDADE SOCIAL</t>
  </si>
  <si>
    <t>ATIVIDADES DE ATENÇÃO À SAÚDE HUMANA</t>
  </si>
  <si>
    <t>SAÚDE HUMANA E SERVIÇOS SOCIAIS</t>
  </si>
  <si>
    <t>ATIVIDADES DE ATENÇÃO À SAÚDE HUMANA INTEGRADAS COM ASSISTÊNCIA SOCIAL, PRESTADAS EM RESIDÊNCIAS COLETIVAS E PARTICULARES</t>
  </si>
  <si>
    <t>SERVIÇOS DE ASSISTÊNCIA SOCIAL SEM ALOJAMENTO</t>
  </si>
  <si>
    <t>ATIVIDADES ARTÍSTICAS, CRIATIVAS E DE ESPETÁCULOS</t>
  </si>
  <si>
    <t>ARTES, CULTURA, ESPORTE E RECREAÇÃO</t>
  </si>
  <si>
    <t>ATIVIDADES LIGADAS AO PATRIMÔNIO CULTURAL E AMBIENTAL</t>
  </si>
  <si>
    <t>ATIVIDADES DE EXPLORAÇÃO DE JOGOS DE AZAR E
APOSTAS</t>
  </si>
  <si>
    <t>ATIVIDADES ESPORTIVAS E DE RECREAÇÃO E LAZER</t>
  </si>
  <si>
    <t>ATIVIDADES DE ORGANIZAÇÕES ASSOCIATIVAS</t>
  </si>
  <si>
    <t>OUTRAS ATIVIDADES DE SERVIÇOS</t>
  </si>
  <si>
    <t>REPARAÇÃO E MANUTENÇÃO DE EQUIPAMENTOS DE INFORMÁTICA E COMUNICAÇÃO E DE OBJETOS PESSOAIS E DOMÉSTICOS</t>
  </si>
  <si>
    <t>OUTRAS ATIVIDADES DE SERVIÇOS PESSOAIS</t>
  </si>
  <si>
    <t>SERVIÇOS DOMÉSTICOS</t>
  </si>
  <si>
    <t>ORGANISMOS INTERNACIONAIS E OUTRAS INSTITUIÇÕES EXTRATERRITORIAIS</t>
  </si>
  <si>
    <t>RESUMO POR SEÇÃO — CNAEs sem dados FAP</t>
  </si>
  <si>
    <t>Qtde</t>
  </si>
  <si>
    <t>% do Total</t>
  </si>
  <si>
    <t>Prioridade</t>
  </si>
  <si>
    <t>35.9%</t>
  </si>
  <si>
    <t>COMÉRCIO; REPARAÇÃO DE VEÍCULOS AUTOMOTO</t>
  </si>
  <si>
    <t>19.3%</t>
  </si>
  <si>
    <t>6.0%</t>
  </si>
  <si>
    <t>ATIVIDADES FINANCEIRAS, DE SEGUROS E SER</t>
  </si>
  <si>
    <t>5.6%</t>
  </si>
  <si>
    <t>ATIVIDADES ADMINISTRATIVAS E SERVIÇOS CO</t>
  </si>
  <si>
    <t>4.6%</t>
  </si>
  <si>
    <t>4.5%</t>
  </si>
  <si>
    <t>4.0%</t>
  </si>
  <si>
    <t xml:space="preserve">ATIVIDADES PROFISSIONAIS, CIENTÍFICAS E </t>
  </si>
  <si>
    <t>3.4%</t>
  </si>
  <si>
    <t>3.2%</t>
  </si>
  <si>
    <t>2.4%</t>
  </si>
  <si>
    <t>2.0%</t>
  </si>
  <si>
    <t>1.4%</t>
  </si>
  <si>
    <t>ÁGUA, ESGOTO, ATIVIDADES DE GESTÃO DE RE</t>
  </si>
  <si>
    <t>1.2%</t>
  </si>
  <si>
    <t>ADMINISTRAÇÃO PÚBLICA, DEFESA E SEGURIDA</t>
  </si>
  <si>
    <t>0.8%</t>
  </si>
  <si>
    <t>0.7%</t>
  </si>
  <si>
    <t>0.5%</t>
  </si>
  <si>
    <t>AGRICULTURA, PECUÁRIA, PRODUÇÃO FLORESTA</t>
  </si>
  <si>
    <t>0.3%</t>
  </si>
  <si>
    <t>0.1%</t>
  </si>
  <si>
    <t>ORGANISMOS INTERNACIONAIS E OUTRAS INSTI</t>
  </si>
  <si>
    <t>Revisar</t>
  </si>
  <si>
    <t>Aceitável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</si>
</sst>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+0.0%;\-0.0%;0.0%"/>
  </numFmts>
  <fonts count="43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color rgb="FF00008B"/>
      <name val="Arial"/>
      <family val="2"/>
    </font>
    <font>
      <i/>
      <sz val="8"/>
      <color rgb="FF555555"/>
      <name val="Arial"/>
      <family val="2"/>
    </font>
    <font>
      <sz val="9"/>
      <color rgb="FF000000"/>
      <name val="Arial"/>
      <family val="2"/>
    </font>
    <font>
      <b/>
      <sz val="13"/>
      <color rgb="FFFFFFFF"/>
      <name val="Arial"/>
      <family val="2"/>
    </font>
    <font>
      <sz val="8"/>
      <color rgb="FF000000"/>
      <name val="Arial"/>
      <family val="2"/>
    </font>
    <font>
      <sz val="7"/>
      <color rgb="FF000000"/>
      <name val="Arial"/>
      <family val="2"/>
    </font>
    <font>
      <b/>
      <sz val="8"/>
      <color rgb="FF375623"/>
      <name val="Arial"/>
      <family val="2"/>
    </font>
    <font>
      <b/>
      <sz val="8"/>
      <color rgb="FF1A4A80"/>
      <name val="Arial"/>
      <family val="2"/>
    </font>
    <font>
      <b/>
      <sz val="8"/>
      <color rgb="FF4B0082"/>
      <name val="Arial"/>
      <family val="2"/>
    </font>
    <font>
      <b/>
      <sz val="8"/>
      <color rgb="FF00008B"/>
      <name val="Arial"/>
      <family val="2"/>
    </font>
    <font>
      <b/>
      <sz val="8"/>
      <color rgb="FF974706"/>
      <name val="Arial"/>
      <family val="2"/>
    </font>
    <font>
      <b/>
      <sz val="8"/>
      <color rgb="FF1E5631"/>
      <name val="Arial"/>
      <family val="2"/>
    </font>
    <font>
      <sz val="8"/>
      <color rgb="FFAAAAAA"/>
      <name val="Arial"/>
      <family val="2"/>
    </font>
    <font>
      <b/>
      <sz val="8"/>
      <color rgb="FF9C0006"/>
      <name val="Arial"/>
      <family val="2"/>
    </font>
    <font>
      <b/>
      <sz val="8"/>
      <color rgb="FF7F6000"/>
      <name val="Arial"/>
      <family val="2"/>
    </font>
    <font>
      <b/>
      <sz val="8"/>
      <color rgb="FF000000"/>
      <name val="Arial"/>
      <family val="2"/>
    </font>
    <font>
      <sz val="8"/>
      <color rgb="FF375623"/>
      <name val="Arial"/>
      <family val="2"/>
    </font>
    <font>
      <sz val="8"/>
      <color rgb="FF1A4A80"/>
      <name val="Arial"/>
      <family val="2"/>
    </font>
    <font>
      <sz val="8"/>
      <color rgb="FF00008B"/>
      <name val="Arial"/>
      <family val="2"/>
    </font>
    <font>
      <b/>
      <sz val="9"/>
      <color rgb="FF974706"/>
      <name val="Arial"/>
      <family val="2"/>
    </font>
    <font>
      <b/>
      <sz val="9"/>
      <color rgb="FF1E5631"/>
      <name val="Arial"/>
      <family val="2"/>
    </font>
    <font>
      <sz val="8"/>
      <color rgb="FFBBBBBB"/>
      <name val="Arial"/>
      <family val="2"/>
    </font>
    <font>
      <b/>
      <sz val="9"/>
      <color rgb="FF7F6000"/>
      <name val="Arial"/>
      <family val="2"/>
    </font>
    <font>
      <sz val="8"/>
      <color rgb="FF974706"/>
      <name val="Arial"/>
      <family val="2"/>
    </font>
    <font>
      <b/>
      <sz val="9"/>
      <color rgb="FF9C0006"/>
      <name val="Arial"/>
      <family val="2"/>
    </font>
    <font>
      <b/>
      <sz val="9"/>
      <color rgb="FF375623"/>
      <name val="Arial"/>
      <family val="2"/>
    </font>
    <font>
      <sz val="8"/>
      <color rgb="FF1E5631"/>
      <name val="Arial"/>
      <family val="2"/>
    </font>
    <font>
      <sz val="8"/>
      <color rgb="FF7F6000"/>
      <name val="Arial"/>
      <family val="2"/>
    </font>
    <font>
      <sz val="8"/>
      <color rgb="FF9C0006"/>
      <name val="Arial"/>
      <family val="2"/>
    </font>
    <font>
      <b/>
      <sz val="11"/>
      <color rgb="FF7F5000"/>
      <name val="Arial"/>
      <family val="2"/>
    </font>
    <font>
      <b/>
      <sz val="18"/>
      <color rgb="FF00008B"/>
      <name val="Courier New"/>
      <family val="3"/>
    </font>
    <font>
      <sz val="9"/>
      <color rgb="FF00008B"/>
      <name val="Arial"/>
      <family val="2"/>
    </font>
    <font>
      <i/>
      <sz val="8"/>
      <color rgb="FF777777"/>
      <name val="Arial"/>
      <family val="2"/>
    </font>
    <font>
      <b/>
      <sz val="12"/>
      <color rgb="FFC00000"/>
      <name val="Arial"/>
      <family val="2"/>
    </font>
    <font>
      <i/>
      <sz val="9"/>
      <color rgb="FF375623"/>
      <name val="Arial"/>
      <family val="2"/>
    </font>
    <font>
      <sz val="9"/>
      <color rgb="FF9C0006"/>
      <name val="Arial"/>
      <family val="2"/>
    </font>
    <font>
      <sz val="9"/>
      <color rgb="FF7F6000"/>
      <name val="Arial"/>
      <family val="2"/>
    </font>
    <font>
      <sz val="9"/>
      <color rgb="FF1E563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A4A80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7F6"/>
      </patternFill>
    </fill>
    <fill>
      <patternFill patternType="solid">
        <fgColor rgb="FFD6E4F0"/>
        <bgColor rgb="FFE2EFDA"/>
      </patternFill>
    </fill>
    <fill>
      <patternFill patternType="solid">
        <fgColor rgb="FF375623"/>
        <bgColor rgb="FF1E5631"/>
      </patternFill>
    </fill>
    <fill>
      <patternFill patternType="solid">
        <fgColor rgb="FF1A4A80"/>
        <bgColor rgb="FF1F3864"/>
      </patternFill>
    </fill>
    <fill>
      <patternFill patternType="solid">
        <fgColor rgb="FF4B0082"/>
        <bgColor rgb="FF800080"/>
      </patternFill>
    </fill>
    <fill>
      <patternFill patternType="solid">
        <fgColor rgb="FFFFFFFF"/>
        <bgColor rgb="FFFFFDE7"/>
      </patternFill>
    </fill>
    <fill>
      <patternFill patternType="solid">
        <fgColor rgb="FFE2EFDA"/>
        <bgColor rgb="FFE3F2FD"/>
      </patternFill>
    </fill>
    <fill>
      <patternFill patternType="solid">
        <fgColor rgb="FFE3F2FD"/>
        <bgColor rgb="FFF2F2F2"/>
      </patternFill>
    </fill>
    <fill>
      <patternFill patternType="solid">
        <fgColor rgb="FFEDE7F6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C00000"/>
        <bgColor rgb="FF9C0006"/>
      </patternFill>
    </fill>
    <fill>
      <patternFill patternType="solid">
        <fgColor rgb="FF9C0006"/>
        <bgColor rgb="FFC00000"/>
      </patternFill>
    </fill>
    <fill>
      <patternFill patternType="solid">
        <fgColor rgb="FF7030A0"/>
        <bgColor rgb="FF800080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4" fillId="4" borderId="0" xfId="0" applyFont="1" applyFill="1" applyAlignment="1">
      <alignment horizontal="left" vertical="center"/>
    </xf>
    <xf numFmtId="2" fontId="5" fillId="4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2" fontId="7" fillId="5" borderId="0" xfId="0" applyNumberFormat="1" applyFont="1" applyFill="1" applyAlignment="1">
      <alignment horizontal="right" vertical="center"/>
    </xf>
    <xf numFmtId="0" fontId="4" fillId="6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 wrapText="1"/>
    </xf>
    <xf numFmtId="2" fontId="9" fillId="11" borderId="0" xfId="0" applyNumberFormat="1" applyFont="1" applyFill="1" applyAlignment="1">
      <alignment horizontal="right" vertical="center"/>
    </xf>
    <xf numFmtId="2" fontId="11" fillId="11" borderId="0" xfId="0" applyNumberFormat="1" applyFont="1" applyFill="1" applyAlignment="1">
      <alignment horizontal="right" vertical="center"/>
    </xf>
    <xf numFmtId="0" fontId="11" fillId="11" borderId="0" xfId="0" applyFont="1" applyFill="1" applyAlignment="1">
      <alignment horizontal="center" vertical="center"/>
    </xf>
    <xf numFmtId="2" fontId="9" fillId="12" borderId="0" xfId="0" applyNumberFormat="1" applyFont="1" applyFill="1" applyAlignment="1">
      <alignment horizontal="right" vertical="center"/>
    </xf>
    <xf numFmtId="2" fontId="12" fillId="12" borderId="0" xfId="0" applyNumberFormat="1" applyFont="1" applyFill="1" applyAlignment="1">
      <alignment horizontal="right" vertical="center"/>
    </xf>
    <xf numFmtId="0" fontId="12" fillId="12" borderId="0" xfId="0" applyFont="1" applyFill="1" applyAlignment="1">
      <alignment horizontal="center" vertical="center"/>
    </xf>
    <xf numFmtId="2" fontId="13" fillId="13" borderId="0" xfId="0" applyNumberFormat="1" applyFont="1" applyFill="1" applyAlignment="1">
      <alignment horizontal="right" vertical="center"/>
    </xf>
    <xf numFmtId="164" fontId="14" fillId="6" borderId="0" xfId="0" applyNumberFormat="1" applyFont="1" applyFill="1" applyAlignment="1">
      <alignment horizontal="right" vertical="center"/>
    </xf>
    <xf numFmtId="164" fontId="15" fillId="14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 wrapText="1"/>
    </xf>
    <xf numFmtId="164" fontId="16" fillId="15" borderId="0" xfId="0" applyNumberFormat="1" applyFont="1" applyFill="1" applyAlignment="1">
      <alignment horizontal="center" vertical="center"/>
    </xf>
    <xf numFmtId="2" fontId="9" fillId="5" borderId="0" xfId="0" applyNumberFormat="1" applyFont="1" applyFill="1" applyAlignment="1">
      <alignment horizontal="right" vertical="center"/>
    </xf>
    <xf numFmtId="0" fontId="17" fillId="5" borderId="0" xfId="0" applyFont="1" applyFill="1" applyAlignment="1">
      <alignment horizontal="right" vertical="center"/>
    </xf>
    <xf numFmtId="0" fontId="18" fillId="16" borderId="0" xfId="0" applyFont="1" applyFill="1" applyAlignment="1">
      <alignment horizontal="center" vertical="center"/>
    </xf>
    <xf numFmtId="2" fontId="17" fillId="5" borderId="0" xfId="0" applyNumberFormat="1" applyFont="1" applyFill="1" applyAlignment="1">
      <alignment horizontal="right" vertical="center"/>
    </xf>
    <xf numFmtId="0" fontId="17" fillId="5" borderId="0" xfId="0" applyFont="1" applyFill="1" applyAlignment="1">
      <alignment horizontal="center" vertical="center"/>
    </xf>
    <xf numFmtId="164" fontId="18" fillId="16" borderId="0" xfId="0" applyNumberFormat="1" applyFont="1" applyFill="1" applyAlignment="1">
      <alignment horizontal="center" vertical="center"/>
    </xf>
    <xf numFmtId="164" fontId="19" fillId="17" borderId="0" xfId="0" applyNumberFormat="1" applyFont="1" applyFill="1" applyAlignment="1">
      <alignment horizontal="center" vertical="center"/>
    </xf>
    <xf numFmtId="164" fontId="11" fillId="11" borderId="0" xfId="0" applyNumberFormat="1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20" fillId="4" borderId="0" xfId="0" applyFont="1" applyFill="1" applyAlignment="1">
      <alignment horizontal="center" vertical="center"/>
    </xf>
    <xf numFmtId="2" fontId="21" fillId="11" borderId="0" xfId="0" applyNumberFormat="1" applyFont="1" applyFill="1" applyAlignment="1">
      <alignment horizontal="right" vertical="center"/>
    </xf>
    <xf numFmtId="2" fontId="22" fillId="12" borderId="0" xfId="0" applyNumberFormat="1" applyFont="1" applyFill="1" applyAlignment="1">
      <alignment horizontal="right" vertical="center"/>
    </xf>
    <xf numFmtId="2" fontId="23" fillId="6" borderId="0" xfId="0" applyNumberFormat="1" applyFont="1" applyFill="1" applyAlignment="1">
      <alignment horizontal="right" vertical="center"/>
    </xf>
    <xf numFmtId="164" fontId="23" fillId="6" borderId="0" xfId="0" applyNumberFormat="1" applyFont="1" applyFill="1" applyAlignment="1">
      <alignment horizontal="right" vertical="center"/>
    </xf>
    <xf numFmtId="164" fontId="24" fillId="14" borderId="0" xfId="0" applyNumberFormat="1" applyFont="1" applyFill="1" applyAlignment="1">
      <alignment horizontal="center" vertical="center"/>
    </xf>
    <xf numFmtId="165" fontId="24" fillId="14" borderId="0" xfId="0" applyNumberFormat="1" applyFont="1" applyFill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left" vertical="center"/>
    </xf>
    <xf numFmtId="164" fontId="25" fillId="15" borderId="0" xfId="0" applyNumberFormat="1" applyFont="1" applyFill="1" applyAlignment="1">
      <alignment horizontal="center" vertical="center"/>
    </xf>
    <xf numFmtId="165" fontId="25" fillId="15" borderId="0" xfId="0" applyNumberFormat="1" applyFont="1" applyFill="1" applyAlignment="1">
      <alignment horizontal="center" vertical="center"/>
    </xf>
    <xf numFmtId="0" fontId="16" fillId="15" borderId="0" xfId="0" applyFont="1" applyFill="1" applyAlignment="1">
      <alignment horizontal="center" vertical="center"/>
    </xf>
    <xf numFmtId="0" fontId="26" fillId="5" borderId="0" xfId="0" applyFont="1" applyFill="1" applyAlignment="1">
      <alignment horizontal="center" vertical="center"/>
    </xf>
    <xf numFmtId="164" fontId="27" fillId="17" borderId="0" xfId="0" applyNumberFormat="1" applyFont="1" applyFill="1" applyAlignment="1">
      <alignment horizontal="center" vertical="center"/>
    </xf>
    <xf numFmtId="165" fontId="27" fillId="17" borderId="0" xfId="0" applyNumberFormat="1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4" fontId="29" fillId="16" borderId="0" xfId="0" applyNumberFormat="1" applyFont="1" applyFill="1" applyAlignment="1">
      <alignment horizontal="center" vertical="center"/>
    </xf>
    <xf numFmtId="165" fontId="29" fillId="16" borderId="0" xfId="0" applyNumberFormat="1" applyFont="1" applyFill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164" fontId="30" fillId="11" borderId="0" xfId="0" applyNumberFormat="1" applyFont="1" applyFill="1" applyAlignment="1">
      <alignment horizontal="center" vertical="center"/>
    </xf>
    <xf numFmtId="165" fontId="30" fillId="11" borderId="0" xfId="0" applyNumberFormat="1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4" fillId="10" borderId="0" xfId="0" applyFont="1" applyFill="1" applyAlignment="1">
      <alignment horizontal="left" vertical="center" wrapText="1"/>
    </xf>
    <xf numFmtId="0" fontId="7" fillId="10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2" fontId="7" fillId="4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15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left" vertical="center" wrapText="1"/>
    </xf>
    <xf numFmtId="2" fontId="31" fillId="15" borderId="0" xfId="0" applyNumberFormat="1" applyFont="1" applyFill="1" applyAlignment="1">
      <alignment horizontal="right" vertical="center"/>
    </xf>
    <xf numFmtId="165" fontId="16" fillId="15" borderId="0" xfId="0" applyNumberFormat="1" applyFont="1" applyFill="1" applyAlignment="1">
      <alignment horizontal="center" vertical="center"/>
    </xf>
    <xf numFmtId="0" fontId="10" fillId="21" borderId="0" xfId="0" applyFont="1" applyFill="1" applyAlignment="1">
      <alignment horizontal="left" vertical="center" wrapText="1"/>
    </xf>
    <xf numFmtId="0" fontId="11" fillId="15" borderId="0" xfId="0" applyFont="1" applyFill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left" vertical="center" wrapText="1"/>
    </xf>
    <xf numFmtId="2" fontId="28" fillId="14" borderId="0" xfId="0" applyNumberFormat="1" applyFont="1" applyFill="1" applyAlignment="1">
      <alignment horizontal="right" vertical="center"/>
    </xf>
    <xf numFmtId="165" fontId="15" fillId="14" borderId="0" xfId="0" applyNumberFormat="1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left" vertical="center" wrapText="1"/>
    </xf>
    <xf numFmtId="165" fontId="11" fillId="11" borderId="0" xfId="0" applyNumberFormat="1" applyFont="1" applyFill="1" applyAlignment="1">
      <alignment horizontal="center" vertical="center"/>
    </xf>
    <xf numFmtId="0" fontId="9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left" vertical="center" wrapText="1"/>
    </xf>
    <xf numFmtId="2" fontId="32" fillId="17" borderId="0" xfId="0" applyNumberFormat="1" applyFont="1" applyFill="1" applyAlignment="1">
      <alignment horizontal="right" vertical="center"/>
    </xf>
    <xf numFmtId="165" fontId="19" fillId="17" borderId="0" xfId="0" applyNumberFormat="1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left" vertical="center" wrapText="1"/>
    </xf>
    <xf numFmtId="2" fontId="33" fillId="16" borderId="0" xfId="0" applyNumberFormat="1" applyFont="1" applyFill="1" applyAlignment="1">
      <alignment horizontal="right" vertical="center"/>
    </xf>
    <xf numFmtId="165" fontId="18" fillId="16" borderId="0" xfId="0" applyNumberFormat="1" applyFont="1" applyFill="1" applyAlignment="1">
      <alignment horizontal="center" vertical="center"/>
    </xf>
    <xf numFmtId="0" fontId="36" fillId="10" borderId="0" xfId="0" applyFont="1" applyFill="1" applyAlignment="1">
      <alignment horizontal="center" vertical="center" wrapText="1"/>
    </xf>
    <xf numFmtId="0" fontId="37" fillId="5" borderId="0" xfId="0" applyFont="1" applyFill="1"/>
    <xf numFmtId="2" fontId="36" fillId="10" borderId="0" xfId="0" applyNumberFormat="1" applyFont="1" applyFill="1" applyAlignment="1">
      <alignment horizontal="center" vertical="center" wrapText="1"/>
    </xf>
    <xf numFmtId="164" fontId="36" fillId="10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164" fontId="38" fillId="4" borderId="0" xfId="0" applyNumberFormat="1" applyFont="1" applyFill="1" applyAlignment="1">
      <alignment horizontal="center" vertical="center" wrapText="1"/>
    </xf>
    <xf numFmtId="165" fontId="36" fillId="10" borderId="0" xfId="0" applyNumberFormat="1" applyFont="1" applyFill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9" fillId="10" borderId="0" xfId="0" applyFont="1" applyFill="1" applyAlignment="1">
      <alignment horizontal="left" vertical="center" wrapText="1"/>
    </xf>
    <xf numFmtId="2" fontId="4" fillId="4" borderId="0" xfId="0" applyNumberFormat="1" applyFont="1" applyFill="1" applyAlignment="1">
      <alignment horizontal="center" vertical="center"/>
    </xf>
    <xf numFmtId="0" fontId="31" fillId="15" borderId="0" xfId="0" applyFont="1" applyFill="1" applyAlignment="1">
      <alignment horizontal="left" vertical="center"/>
    </xf>
    <xf numFmtId="2" fontId="4" fillId="14" borderId="0" xfId="0" applyNumberFormat="1" applyFont="1" applyFill="1" applyAlignment="1">
      <alignment horizontal="center" vertical="center"/>
    </xf>
    <xf numFmtId="0" fontId="33" fillId="16" borderId="0" xfId="0" applyFont="1" applyFill="1" applyAlignment="1">
      <alignment horizontal="left" vertical="center"/>
    </xf>
    <xf numFmtId="2" fontId="4" fillId="15" borderId="0" xfId="0" applyNumberFormat="1" applyFont="1" applyFill="1" applyAlignment="1">
      <alignment horizontal="center" vertical="center"/>
    </xf>
    <xf numFmtId="0" fontId="32" fillId="17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40" fillId="16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41" fillId="17" borderId="0" xfId="0" applyFont="1" applyFill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9" fillId="11" borderId="0" xfId="0" applyFont="1" applyFill="1" applyAlignment="1">
      <alignment horizontal="left" vertical="center" wrapText="1"/>
    </xf>
    <xf numFmtId="0" fontId="34" fillId="4" borderId="0" xfId="0" applyFont="1" applyFill="1" applyAlignment="1">
      <alignment horizontal="center" vertical="center"/>
    </xf>
    <xf numFmtId="0" fontId="35" fillId="21" borderId="1" xfId="0" applyFont="1" applyFill="1" applyBorder="1" applyAlignment="1">
      <alignment horizontal="center" vertical="center"/>
    </xf>
    <xf numFmtId="0" fontId="2" fillId="2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9C0006"/>
      <rgbColor rgb="FF008000"/>
      <rgbColor rgb="FF00008B"/>
      <rgbColor rgb="FF7F6000"/>
      <rgbColor rgb="FF800080"/>
      <rgbColor rgb="FF008080"/>
      <rgbColor rgb="FFBBBBBB"/>
      <rgbColor rgb="FF777777"/>
      <rgbColor rgb="FF9999FF"/>
      <rgbColor rgb="FF7030A0"/>
      <rgbColor rgb="FFFFFDE7"/>
      <rgbColor rgb="FFE3F2FD"/>
      <rgbColor rgb="FF4B0082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E2EFDA"/>
      <rgbColor rgb="FFC6EFCE"/>
      <rgbColor rgb="FFFFEB9C"/>
      <rgbColor rgb="FFEDE7F6"/>
      <rgbColor rgb="FFFCE4D6"/>
      <rgbColor rgb="FFF2F2F2"/>
      <rgbColor rgb="FFFFC7CE"/>
      <rgbColor rgb="FF2E75B6"/>
      <rgbColor rgb="FF33CCCC"/>
      <rgbColor rgb="FF99CC00"/>
      <rgbColor rgb="FFFFC000"/>
      <rgbColor rgb="FFFF9900"/>
      <rgbColor rgb="FFFF6600"/>
      <rgbColor rgb="FF555555"/>
      <rgbColor rgb="FFAAAAAA"/>
      <rgbColor rgb="FF1F3864"/>
      <rgbColor rgb="FF70AD47"/>
      <rgbColor rgb="FF003300"/>
      <rgbColor rgb="FF1E5631"/>
      <rgbColor rgb="FF974706"/>
      <rgbColor rgb="FF7F5000"/>
      <rgbColor rgb="FF1A4A80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C35"/>
  <sheetViews>
    <sheetView showGridLines="0" zoomScaleNormal="100" workbookViewId="0">
      <selection sqref="A1:C1"/>
    </sheetView>
  </sheetViews>
  <sheetFormatPr defaultColWidth="8.7109375" defaultRowHeight="15" x14ac:dyDescent="0.25"/>
  <cols>
    <col min="1" max="1" width="46" customWidth="1"/>
    <col min="2" max="2" width="18" customWidth="1"/>
    <col min="3" max="3" width="40" customWidth="1"/>
  </cols>
  <sheetData>
    <row r="1" spans="1:3" ht="27.75" customHeight="1" x14ac:dyDescent="0.25">
      <c r="A1" s="115" t="s">
        <v>0</v>
      </c>
      <c r="B1" s="115"/>
      <c r="C1" s="115"/>
    </row>
    <row r="2" spans="1:3" ht="27.75" customHeight="1" x14ac:dyDescent="0.25">
      <c r="A2" s="116" t="s">
        <v>1</v>
      </c>
      <c r="B2" s="116"/>
      <c r="C2" s="116"/>
    </row>
    <row r="3" spans="1:3" ht="19.5" customHeight="1" x14ac:dyDescent="0.25">
      <c r="A3" s="121" t="s">
        <v>2</v>
      </c>
      <c r="B3" s="121"/>
      <c r="C3" s="121"/>
    </row>
    <row r="4" spans="1:3" ht="18" customHeight="1" x14ac:dyDescent="0.25">
      <c r="A4" s="1" t="s">
        <v>3</v>
      </c>
      <c r="B4" s="2">
        <v>0.5</v>
      </c>
      <c r="C4" s="3" t="s">
        <v>4</v>
      </c>
    </row>
    <row r="5" spans="1:3" ht="18" customHeight="1" x14ac:dyDescent="0.25">
      <c r="A5" s="1" t="s">
        <v>5</v>
      </c>
      <c r="B5" s="2">
        <v>0.35</v>
      </c>
      <c r="C5" s="3" t="s">
        <v>6</v>
      </c>
    </row>
    <row r="6" spans="1:3" ht="18" customHeight="1" x14ac:dyDescent="0.25">
      <c r="A6" s="1" t="s">
        <v>7</v>
      </c>
      <c r="B6" s="2">
        <v>0.15</v>
      </c>
      <c r="C6" s="3" t="s">
        <v>8</v>
      </c>
    </row>
    <row r="7" spans="1:3" ht="18" customHeight="1" x14ac:dyDescent="0.25">
      <c r="A7" s="4" t="s">
        <v>9</v>
      </c>
      <c r="B7" s="5">
        <f>B4+B5+B6</f>
        <v>1</v>
      </c>
      <c r="C7" s="3" t="s">
        <v>10</v>
      </c>
    </row>
    <row r="8" spans="1:3" ht="19.5" customHeight="1" x14ac:dyDescent="0.25">
      <c r="A8" s="121" t="s">
        <v>11</v>
      </c>
      <c r="B8" s="121"/>
      <c r="C8" s="121"/>
    </row>
    <row r="9" spans="1:3" ht="18" customHeight="1" x14ac:dyDescent="0.25">
      <c r="A9" s="1" t="s">
        <v>12</v>
      </c>
      <c r="B9" s="2">
        <v>50</v>
      </c>
      <c r="C9" s="3" t="s">
        <v>13</v>
      </c>
    </row>
    <row r="10" spans="1:3" ht="19.5" customHeight="1" x14ac:dyDescent="0.25">
      <c r="A10" s="121" t="s">
        <v>14</v>
      </c>
      <c r="B10" s="121"/>
      <c r="C10" s="121"/>
    </row>
    <row r="11" spans="1:3" ht="18" customHeight="1" x14ac:dyDescent="0.25">
      <c r="A11" s="1" t="s">
        <v>15</v>
      </c>
      <c r="B11" s="2">
        <v>0.75</v>
      </c>
      <c r="C11" s="3" t="s">
        <v>16</v>
      </c>
    </row>
    <row r="12" spans="1:3" ht="18" customHeight="1" x14ac:dyDescent="0.25">
      <c r="A12" s="1" t="s">
        <v>17</v>
      </c>
      <c r="B12" s="2">
        <v>1.4</v>
      </c>
      <c r="C12" s="3" t="s">
        <v>18</v>
      </c>
    </row>
    <row r="13" spans="1:3" ht="19.5" customHeight="1" x14ac:dyDescent="0.25">
      <c r="A13" s="121" t="s">
        <v>19</v>
      </c>
      <c r="B13" s="121"/>
      <c r="C13" s="121"/>
    </row>
    <row r="14" spans="1:3" ht="18" customHeight="1" x14ac:dyDescent="0.25">
      <c r="A14" s="1" t="s">
        <v>20</v>
      </c>
      <c r="B14" s="2">
        <v>0.875</v>
      </c>
      <c r="C14" s="3" t="s">
        <v>21</v>
      </c>
    </row>
    <row r="15" spans="1:3" ht="18" customHeight="1" x14ac:dyDescent="0.25">
      <c r="A15" s="1" t="s">
        <v>22</v>
      </c>
      <c r="B15" s="2">
        <v>0.95</v>
      </c>
      <c r="C15" s="3" t="s">
        <v>23</v>
      </c>
    </row>
    <row r="16" spans="1:3" ht="18" customHeight="1" x14ac:dyDescent="0.25">
      <c r="A16" s="1" t="s">
        <v>24</v>
      </c>
      <c r="B16" s="2">
        <v>1.075</v>
      </c>
      <c r="C16" s="3" t="s">
        <v>25</v>
      </c>
    </row>
    <row r="17" spans="1:3" ht="18" customHeight="1" x14ac:dyDescent="0.25">
      <c r="A17" s="1" t="s">
        <v>26</v>
      </c>
      <c r="B17" s="2">
        <v>1.2250000000000001</v>
      </c>
      <c r="C17" s="3" t="s">
        <v>27</v>
      </c>
    </row>
    <row r="18" spans="1:3" ht="18" customHeight="1" x14ac:dyDescent="0.25">
      <c r="A18" s="4" t="s">
        <v>28</v>
      </c>
      <c r="B18" s="5">
        <v>1.2250000000000001</v>
      </c>
      <c r="C18" s="3" t="s">
        <v>29</v>
      </c>
    </row>
    <row r="19" spans="1:3" ht="19.5" customHeight="1" x14ac:dyDescent="0.25">
      <c r="A19" s="121" t="s">
        <v>30</v>
      </c>
      <c r="B19" s="121"/>
      <c r="C19" s="121"/>
    </row>
    <row r="20" spans="1:3" ht="18" customHeight="1" x14ac:dyDescent="0.25">
      <c r="A20" s="4" t="s">
        <v>31</v>
      </c>
      <c r="B20" s="5">
        <v>280</v>
      </c>
      <c r="C20" s="3" t="s">
        <v>32</v>
      </c>
    </row>
    <row r="21" spans="1:3" ht="18" customHeight="1" x14ac:dyDescent="0.25">
      <c r="A21" s="4" t="s">
        <v>33</v>
      </c>
      <c r="B21" s="6">
        <v>54.25</v>
      </c>
      <c r="C21" s="3" t="s">
        <v>34</v>
      </c>
    </row>
    <row r="22" spans="1:3" ht="18" customHeight="1" x14ac:dyDescent="0.25">
      <c r="A22" s="4" t="s">
        <v>35</v>
      </c>
      <c r="B22" s="6">
        <v>24.2</v>
      </c>
      <c r="C22" s="3" t="s">
        <v>36</v>
      </c>
    </row>
    <row r="23" spans="1:3" ht="18" customHeight="1" x14ac:dyDescent="0.25">
      <c r="A23" s="4" t="s">
        <v>37</v>
      </c>
      <c r="B23" s="6">
        <v>55.36</v>
      </c>
      <c r="C23" s="3" t="s">
        <v>38</v>
      </c>
    </row>
    <row r="24" spans="1:3" ht="18" customHeight="1" x14ac:dyDescent="0.25">
      <c r="A24" s="4" t="s">
        <v>39</v>
      </c>
      <c r="B24" s="6">
        <v>2.29</v>
      </c>
      <c r="C24" s="3"/>
    </row>
    <row r="25" spans="1:3" ht="18" customHeight="1" x14ac:dyDescent="0.25">
      <c r="A25" s="4" t="s">
        <v>40</v>
      </c>
      <c r="B25" s="6">
        <v>99.89</v>
      </c>
      <c r="C25" s="3"/>
    </row>
    <row r="26" spans="1:3" ht="18" customHeight="1" x14ac:dyDescent="0.25">
      <c r="A26" s="4" t="s">
        <v>41</v>
      </c>
      <c r="B26" s="6">
        <v>36.69</v>
      </c>
      <c r="C26" s="3"/>
    </row>
    <row r="27" spans="1:3" ht="18" customHeight="1" x14ac:dyDescent="0.25">
      <c r="A27" s="4" t="s">
        <v>42</v>
      </c>
      <c r="B27" s="6">
        <v>72.849999999999994</v>
      </c>
      <c r="C27" s="3"/>
    </row>
    <row r="28" spans="1:3" ht="19.5" customHeight="1" x14ac:dyDescent="0.25">
      <c r="A28" s="121" t="s">
        <v>43</v>
      </c>
      <c r="B28" s="121"/>
      <c r="C28" s="121"/>
    </row>
    <row r="29" spans="1:3" ht="18" customHeight="1" x14ac:dyDescent="0.25">
      <c r="A29" s="4" t="s">
        <v>44</v>
      </c>
      <c r="B29" s="5">
        <f>(B21-B8)/((B22/SQRT(B20)))</f>
        <v>37.511410280556696</v>
      </c>
      <c r="C29" s="3" t="s">
        <v>45</v>
      </c>
    </row>
    <row r="30" spans="1:3" ht="18" customHeight="1" x14ac:dyDescent="0.25">
      <c r="A30" s="4" t="s">
        <v>46</v>
      </c>
      <c r="B30" s="5" t="str">
        <f>IF(ABS(B28)&gt;1.96,"SIM — rejeitar H0","NÃO — não rejeitar H0")</f>
        <v>NÃO — não rejeitar H0</v>
      </c>
      <c r="C30" s="3"/>
    </row>
    <row r="31" spans="1:3" ht="19.5" customHeight="1" x14ac:dyDescent="0.25">
      <c r="A31" s="121" t="s">
        <v>47</v>
      </c>
      <c r="B31" s="121"/>
      <c r="C31" s="121"/>
    </row>
    <row r="32" spans="1:3" ht="18" customHeight="1" x14ac:dyDescent="0.25">
      <c r="A32" s="4" t="s">
        <v>48</v>
      </c>
      <c r="B32" s="5">
        <v>1332</v>
      </c>
      <c r="C32" s="3"/>
    </row>
    <row r="33" spans="1:3" ht="18" customHeight="1" x14ac:dyDescent="0.25">
      <c r="A33" s="4" t="s">
        <v>49</v>
      </c>
      <c r="B33" s="5">
        <v>146</v>
      </c>
      <c r="C33" s="3"/>
    </row>
    <row r="34" spans="1:3" ht="18" customHeight="1" x14ac:dyDescent="0.25">
      <c r="A34" s="4" t="s">
        <v>50</v>
      </c>
      <c r="B34" s="5">
        <v>1186</v>
      </c>
      <c r="C34" s="3">
        <f>G1-G2</f>
        <v>0</v>
      </c>
    </row>
    <row r="35" spans="1:3" ht="18" customHeight="1" x14ac:dyDescent="0.25">
      <c r="A35" s="4" t="s">
        <v>51</v>
      </c>
      <c r="B35" s="5">
        <v>21</v>
      </c>
      <c r="C35" s="3" t="s">
        <v>52</v>
      </c>
    </row>
  </sheetData>
  <mergeCells count="9">
    <mergeCell ref="A13:C13"/>
    <mergeCell ref="A19:C19"/>
    <mergeCell ref="A28:C28"/>
    <mergeCell ref="A31:C31"/>
    <mergeCell ref="A1:C1"/>
    <mergeCell ref="A2:C2"/>
    <mergeCell ref="A3:C3"/>
    <mergeCell ref="A8:C8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B43"/>
  <sheetViews>
    <sheetView showGridLines="0" zoomScaleNormal="100" workbookViewId="0">
      <selection sqref="A1:B1"/>
    </sheetView>
  </sheetViews>
  <sheetFormatPr defaultColWidth="8.7109375" defaultRowHeight="15" x14ac:dyDescent="0.25"/>
  <cols>
    <col min="1" max="1" width="44" customWidth="1"/>
    <col min="2" max="2" width="149.5703125" customWidth="1"/>
  </cols>
  <sheetData>
    <row r="1" spans="1:2" ht="27.75" customHeight="1" x14ac:dyDescent="0.25">
      <c r="A1" s="122" t="s">
        <v>53</v>
      </c>
      <c r="B1" s="122"/>
    </row>
    <row r="2" spans="1:2" ht="27.75" customHeight="1" x14ac:dyDescent="0.25">
      <c r="A2" s="123" t="s">
        <v>54</v>
      </c>
      <c r="B2" s="123"/>
    </row>
    <row r="3" spans="1:2" ht="21.75" customHeight="1" x14ac:dyDescent="0.25">
      <c r="A3" s="121" t="s">
        <v>55</v>
      </c>
      <c r="B3" s="121"/>
    </row>
    <row r="4" spans="1:2" ht="18" customHeight="1" x14ac:dyDescent="0.25">
      <c r="A4" s="7" t="s">
        <v>56</v>
      </c>
      <c r="B4" s="8" t="s">
        <v>57</v>
      </c>
    </row>
    <row r="5" spans="1:2" ht="18" customHeight="1" x14ac:dyDescent="0.25">
      <c r="A5" s="7" t="s">
        <v>58</v>
      </c>
      <c r="B5" s="8" t="s">
        <v>59</v>
      </c>
    </row>
    <row r="7" spans="1:2" ht="21.75" customHeight="1" x14ac:dyDescent="0.25">
      <c r="A7" s="121" t="s">
        <v>60</v>
      </c>
      <c r="B7" s="121"/>
    </row>
    <row r="8" spans="1:2" ht="18" customHeight="1" x14ac:dyDescent="0.25">
      <c r="A8" s="7" t="s">
        <v>61</v>
      </c>
      <c r="B8" s="8" t="s">
        <v>62</v>
      </c>
    </row>
    <row r="9" spans="1:2" ht="18" customHeight="1" x14ac:dyDescent="0.25">
      <c r="A9" s="7" t="s">
        <v>63</v>
      </c>
      <c r="B9" s="8" t="s">
        <v>64</v>
      </c>
    </row>
    <row r="10" spans="1:2" ht="18" customHeight="1" x14ac:dyDescent="0.25">
      <c r="A10" s="7" t="s">
        <v>65</v>
      </c>
      <c r="B10" s="8" t="s">
        <v>66</v>
      </c>
    </row>
    <row r="12" spans="1:2" ht="21.75" customHeight="1" x14ac:dyDescent="0.25">
      <c r="A12" s="121" t="s">
        <v>67</v>
      </c>
      <c r="B12" s="121"/>
    </row>
    <row r="13" spans="1:2" ht="21.75" customHeight="1" x14ac:dyDescent="0.25">
      <c r="A13" s="121" t="s">
        <v>68</v>
      </c>
      <c r="B13" s="121"/>
    </row>
    <row r="14" spans="1:2" ht="18" customHeight="1" x14ac:dyDescent="0.25">
      <c r="A14" s="7" t="s">
        <v>69</v>
      </c>
      <c r="B14" s="8" t="s">
        <v>70</v>
      </c>
    </row>
    <row r="15" spans="1:2" ht="18" customHeight="1" x14ac:dyDescent="0.25">
      <c r="A15" s="7" t="s">
        <v>71</v>
      </c>
      <c r="B15" s="8" t="s">
        <v>72</v>
      </c>
    </row>
    <row r="17" spans="1:2" ht="21.75" customHeight="1" x14ac:dyDescent="0.25">
      <c r="A17" s="121" t="s">
        <v>73</v>
      </c>
      <c r="B17" s="121"/>
    </row>
    <row r="18" spans="1:2" ht="18" customHeight="1" x14ac:dyDescent="0.25">
      <c r="A18" s="7" t="s">
        <v>74</v>
      </c>
      <c r="B18" s="8" t="s">
        <v>75</v>
      </c>
    </row>
    <row r="19" spans="1:2" ht="30" customHeight="1" x14ac:dyDescent="0.25">
      <c r="A19" s="7" t="s">
        <v>76</v>
      </c>
      <c r="B19" s="8" t="s">
        <v>77</v>
      </c>
    </row>
    <row r="21" spans="1:2" ht="21.75" customHeight="1" x14ac:dyDescent="0.25">
      <c r="A21" s="121" t="s">
        <v>78</v>
      </c>
      <c r="B21" s="121"/>
    </row>
    <row r="22" spans="1:2" ht="18" customHeight="1" x14ac:dyDescent="0.25">
      <c r="A22" s="7" t="s">
        <v>79</v>
      </c>
      <c r="B22" s="8" t="s">
        <v>80</v>
      </c>
    </row>
    <row r="23" spans="1:2" ht="18" customHeight="1" x14ac:dyDescent="0.25">
      <c r="A23" s="7" t="s">
        <v>81</v>
      </c>
      <c r="B23" s="8" t="s">
        <v>82</v>
      </c>
    </row>
    <row r="24" spans="1:2" ht="18" customHeight="1" x14ac:dyDescent="0.25">
      <c r="A24" s="7" t="s">
        <v>83</v>
      </c>
      <c r="B24" s="8" t="s">
        <v>84</v>
      </c>
    </row>
    <row r="25" spans="1:2" ht="18" customHeight="1" x14ac:dyDescent="0.25">
      <c r="A25" s="7" t="s">
        <v>85</v>
      </c>
      <c r="B25" s="8" t="s">
        <v>86</v>
      </c>
    </row>
    <row r="27" spans="1:2" ht="21.75" customHeight="1" x14ac:dyDescent="0.25">
      <c r="A27" s="121" t="s">
        <v>87</v>
      </c>
      <c r="B27" s="121"/>
    </row>
    <row r="28" spans="1:2" ht="18" customHeight="1" x14ac:dyDescent="0.25">
      <c r="A28" s="7" t="s">
        <v>88</v>
      </c>
      <c r="B28" s="8" t="s">
        <v>89</v>
      </c>
    </row>
    <row r="29" spans="1:2" ht="30" customHeight="1" x14ac:dyDescent="0.25">
      <c r="A29" s="7" t="s">
        <v>90</v>
      </c>
      <c r="B29" s="8" t="s">
        <v>91</v>
      </c>
    </row>
    <row r="30" spans="1:2" ht="18" customHeight="1" x14ac:dyDescent="0.25">
      <c r="A30" s="7" t="s">
        <v>92</v>
      </c>
      <c r="B30" s="8" t="s">
        <v>93</v>
      </c>
    </row>
    <row r="31" spans="1:2" ht="18" customHeight="1" x14ac:dyDescent="0.25">
      <c r="A31" s="7" t="s">
        <v>94</v>
      </c>
      <c r="B31" s="8" t="s">
        <v>95</v>
      </c>
    </row>
    <row r="33" spans="1:2" ht="21.75" customHeight="1" x14ac:dyDescent="0.25">
      <c r="A33" s="121" t="s">
        <v>96</v>
      </c>
      <c r="B33" s="121"/>
    </row>
    <row r="34" spans="1:2" ht="18" customHeight="1" x14ac:dyDescent="0.25">
      <c r="A34" s="7" t="s">
        <v>97</v>
      </c>
      <c r="B34" s="8" t="s">
        <v>98</v>
      </c>
    </row>
    <row r="36" spans="1:2" ht="21.75" customHeight="1" x14ac:dyDescent="0.25">
      <c r="A36" s="121" t="s">
        <v>99</v>
      </c>
      <c r="B36" s="121"/>
    </row>
    <row r="37" spans="1:2" ht="18" customHeight="1" x14ac:dyDescent="0.25">
      <c r="A37" s="7" t="s">
        <v>100</v>
      </c>
      <c r="B37" s="8" t="s">
        <v>101</v>
      </c>
    </row>
    <row r="38" spans="1:2" ht="18" customHeight="1" x14ac:dyDescent="0.25">
      <c r="A38" s="7" t="s">
        <v>102</v>
      </c>
      <c r="B38" s="8" t="s">
        <v>103</v>
      </c>
    </row>
    <row r="39" spans="1:2" ht="18" customHeight="1" x14ac:dyDescent="0.25">
      <c r="A39" s="7" t="s">
        <v>104</v>
      </c>
      <c r="B39" s="8" t="s">
        <v>105</v>
      </c>
    </row>
    <row r="41" spans="1:2" ht="21.75" customHeight="1" x14ac:dyDescent="0.25">
      <c r="A41" s="121" t="s">
        <v>106</v>
      </c>
      <c r="B41" s="121"/>
    </row>
    <row r="42" spans="1:2" ht="18" customHeight="1" x14ac:dyDescent="0.25">
      <c r="A42" s="7" t="s">
        <v>107</v>
      </c>
      <c r="B42" s="8" t="s">
        <v>108</v>
      </c>
    </row>
    <row r="43" spans="1:2" ht="18" customHeight="1" x14ac:dyDescent="0.25">
      <c r="A43" s="7" t="s">
        <v>109</v>
      </c>
      <c r="B43" s="8" t="s">
        <v>110</v>
      </c>
    </row>
  </sheetData>
  <mergeCells count="12">
    <mergeCell ref="A1:B1"/>
    <mergeCell ref="A2:B2"/>
    <mergeCell ref="A3:B3"/>
    <mergeCell ref="A7:B7"/>
    <mergeCell ref="A12:B12"/>
    <mergeCell ref="A36:B36"/>
    <mergeCell ref="A41:B41"/>
    <mergeCell ref="A13:B13"/>
    <mergeCell ref="A17:B17"/>
    <mergeCell ref="A21:B21"/>
    <mergeCell ref="A27:B27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O167"/>
  <sheetViews>
    <sheetView showGridLines="0" tabSelected="1" zoomScaleNormal="100" workbookViewId="0">
      <pane ySplit="4" topLeftCell="A5" activePane="bottomLeft" state="frozen"/>
      <selection pane="bottomLeft" activeCell="Q11" sqref="Q11"/>
    </sheetView>
  </sheetViews>
  <sheetFormatPr defaultColWidth="8.7109375" defaultRowHeight="15" x14ac:dyDescent="0.25"/>
  <cols>
    <col min="1" max="1" width="12" customWidth="1"/>
    <col min="2" max="2" width="40" customWidth="1"/>
    <col min="3" max="5" width="9" customWidth="1"/>
    <col min="6" max="6" width="11" customWidth="1"/>
    <col min="7" max="7" width="8" customWidth="1"/>
    <col min="8" max="10" width="9" customWidth="1"/>
    <col min="11" max="11" width="11" customWidth="1"/>
    <col min="12" max="12" width="8" customWidth="1"/>
    <col min="13" max="14" width="11" customWidth="1"/>
    <col min="15" max="15" width="12" customWidth="1"/>
  </cols>
  <sheetData>
    <row r="1" spans="1:15" ht="27.75" customHeight="1" x14ac:dyDescent="0.25">
      <c r="A1" s="115" t="s">
        <v>111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</row>
    <row r="2" spans="1:15" ht="27.75" customHeight="1" x14ac:dyDescent="0.25">
      <c r="A2" s="116" t="s">
        <v>112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15.75" customHeight="1" x14ac:dyDescent="0.25">
      <c r="A3" s="117" t="s">
        <v>113</v>
      </c>
      <c r="B3" s="117"/>
      <c r="C3" s="118" t="s">
        <v>114</v>
      </c>
      <c r="D3" s="118"/>
      <c r="E3" s="118"/>
      <c r="F3" s="118"/>
      <c r="G3" s="118"/>
      <c r="H3" s="119" t="s">
        <v>115</v>
      </c>
      <c r="I3" s="119"/>
      <c r="J3" s="119"/>
      <c r="K3" s="119"/>
      <c r="L3" s="119"/>
      <c r="M3" s="120" t="s">
        <v>116</v>
      </c>
      <c r="N3" s="120"/>
      <c r="O3" s="120"/>
    </row>
    <row r="4" spans="1:15" ht="30" customHeight="1" x14ac:dyDescent="0.25">
      <c r="A4" s="9" t="s">
        <v>117</v>
      </c>
      <c r="B4" s="9" t="s">
        <v>118</v>
      </c>
      <c r="C4" s="10" t="s">
        <v>119</v>
      </c>
      <c r="D4" s="10" t="s">
        <v>120</v>
      </c>
      <c r="E4" s="10" t="s">
        <v>121</v>
      </c>
      <c r="F4" s="10" t="s">
        <v>122</v>
      </c>
      <c r="G4" s="10" t="s">
        <v>123</v>
      </c>
      <c r="H4" s="11" t="s">
        <v>119</v>
      </c>
      <c r="I4" s="11" t="s">
        <v>120</v>
      </c>
      <c r="J4" s="11" t="s">
        <v>121</v>
      </c>
      <c r="K4" s="11" t="s">
        <v>124</v>
      </c>
      <c r="L4" s="11" t="s">
        <v>123</v>
      </c>
      <c r="M4" s="12" t="s">
        <v>125</v>
      </c>
      <c r="N4" s="12" t="s">
        <v>126</v>
      </c>
      <c r="O4" s="12" t="s">
        <v>127</v>
      </c>
    </row>
    <row r="5" spans="1:15" ht="13.5" customHeight="1" x14ac:dyDescent="0.25">
      <c r="A5" s="13" t="s">
        <v>128</v>
      </c>
      <c r="B5" s="14" t="s">
        <v>129</v>
      </c>
      <c r="C5" s="15">
        <v>40.659999999999997</v>
      </c>
      <c r="D5" s="15">
        <v>59.8</v>
      </c>
      <c r="E5" s="15">
        <v>72.16</v>
      </c>
      <c r="F5" s="16">
        <f>'01_PARÂMETROS'!$B$4*D5+'01_PARÂMETROS'!$B$5*C5+'01_PARÂMETROS'!$B$6*E5</f>
        <v>54.954999999999998</v>
      </c>
      <c r="G5" s="17" t="str">
        <f t="shared" ref="G5:G36" si="0">IF(AND(C5=0,D5=0,E5=0),"✗","✓")</f>
        <v>✓</v>
      </c>
      <c r="H5" s="18">
        <v>46.19</v>
      </c>
      <c r="I5" s="18">
        <v>68.81</v>
      </c>
      <c r="J5" s="18">
        <v>44.91</v>
      </c>
      <c r="K5" s="19">
        <f>'01_PARÂMETROS'!$B$4*I5+'01_PARÂMETROS'!$B$5*H5+'01_PARÂMETROS'!$B$6*J5</f>
        <v>57.308</v>
      </c>
      <c r="L5" s="20" t="str">
        <f t="shared" ref="L5:L36" si="1">IF(AND(H5=0,I5=0,J5=0),"✗","✓")</f>
        <v>✓</v>
      </c>
      <c r="M5" s="21">
        <f>AVERAGE(F5,K5)</f>
        <v>56.131500000000003</v>
      </c>
      <c r="N5" s="22">
        <f>IFERROR(M5/'01_PARÂMETROS'!$B$9,"")</f>
        <v>1.12263</v>
      </c>
      <c r="O5" s="23">
        <f>IFERROR(MAX('01_PARÂMETROS'!$B$11,MIN('01_PARÂMETROS'!$B$12,N5)),"")</f>
        <v>1.12263</v>
      </c>
    </row>
    <row r="6" spans="1:15" ht="13.5" customHeight="1" x14ac:dyDescent="0.25">
      <c r="A6" s="24" t="s">
        <v>130</v>
      </c>
      <c r="B6" s="25" t="s">
        <v>131</v>
      </c>
      <c r="C6" s="15">
        <v>45.93</v>
      </c>
      <c r="D6" s="15">
        <v>47.52</v>
      </c>
      <c r="E6" s="15">
        <v>56.06</v>
      </c>
      <c r="F6" s="16">
        <f>'01_PARÂMETROS'!$B$4*D6+'01_PARÂMETROS'!$B$5*C6+'01_PARÂMETROS'!$B$6*E6</f>
        <v>48.244499999999995</v>
      </c>
      <c r="G6" s="17" t="str">
        <f t="shared" si="0"/>
        <v>✓</v>
      </c>
      <c r="H6" s="18">
        <v>30.92</v>
      </c>
      <c r="I6" s="18">
        <v>29.01</v>
      </c>
      <c r="J6" s="18">
        <v>21.91</v>
      </c>
      <c r="K6" s="19">
        <f>'01_PARÂMETROS'!$B$4*I6+'01_PARÂMETROS'!$B$5*H6+'01_PARÂMETROS'!$B$6*J6</f>
        <v>28.613499999999998</v>
      </c>
      <c r="L6" s="20" t="str">
        <f t="shared" si="1"/>
        <v>✓</v>
      </c>
      <c r="M6" s="21">
        <f>AVERAGE(F6,K6)</f>
        <v>38.428999999999995</v>
      </c>
      <c r="N6" s="22">
        <f>IFERROR(M6/'01_PARÂMETROS'!$B$9,"")</f>
        <v>0.76857999999999993</v>
      </c>
      <c r="O6" s="26">
        <f>IFERROR(MAX('01_PARÂMETROS'!$B$11,MIN('01_PARÂMETROS'!$B$12,N6)),"")</f>
        <v>0.76857999999999993</v>
      </c>
    </row>
    <row r="7" spans="1:15" ht="13.5" customHeight="1" x14ac:dyDescent="0.25">
      <c r="A7" s="13" t="s">
        <v>132</v>
      </c>
      <c r="B7" s="14" t="s">
        <v>133</v>
      </c>
      <c r="C7" s="15">
        <v>36.32</v>
      </c>
      <c r="D7" s="15">
        <v>23.02</v>
      </c>
      <c r="E7" s="15">
        <v>13.63</v>
      </c>
      <c r="F7" s="16">
        <f>'01_PARÂMETROS'!$B$4*D7+'01_PARÂMETROS'!$B$5*C7+'01_PARÂMETROS'!$B$6*E7</f>
        <v>26.266500000000001</v>
      </c>
      <c r="G7" s="17" t="str">
        <f t="shared" si="0"/>
        <v>✓</v>
      </c>
      <c r="H7" s="18">
        <v>56.35</v>
      </c>
      <c r="I7" s="27">
        <v>0</v>
      </c>
      <c r="J7" s="27">
        <v>0</v>
      </c>
      <c r="K7" s="19">
        <f>'01_PARÂMETROS'!$B$4*I7+'01_PARÂMETROS'!$B$5*H7+'01_PARÂMETROS'!$B$6*J7</f>
        <v>19.7225</v>
      </c>
      <c r="L7" s="20" t="str">
        <f t="shared" si="1"/>
        <v>✓</v>
      </c>
      <c r="M7" s="21">
        <f>AVERAGE(F7,K7)</f>
        <v>22.994500000000002</v>
      </c>
      <c r="N7" s="22">
        <f>IFERROR(M7/'01_PARÂMETROS'!$B$9,"")</f>
        <v>0.45989000000000002</v>
      </c>
      <c r="O7" s="26">
        <f>IFERROR(MAX('01_PARÂMETROS'!$B$11,MIN('01_PARÂMETROS'!$B$12,N7)),"")</f>
        <v>0.75</v>
      </c>
    </row>
    <row r="8" spans="1:15" ht="13.5" customHeight="1" x14ac:dyDescent="0.25">
      <c r="A8" s="24" t="s">
        <v>134</v>
      </c>
      <c r="B8" s="25" t="s">
        <v>135</v>
      </c>
      <c r="C8" s="15">
        <v>42.75</v>
      </c>
      <c r="D8" s="15">
        <v>50.21</v>
      </c>
      <c r="E8" s="15">
        <v>48.21</v>
      </c>
      <c r="F8" s="16">
        <f>'01_PARÂMETROS'!$B$4*D8+'01_PARÂMETROS'!$B$5*C8+'01_PARÂMETROS'!$B$6*E8</f>
        <v>47.298999999999992</v>
      </c>
      <c r="G8" s="17" t="str">
        <f t="shared" si="0"/>
        <v>✓</v>
      </c>
      <c r="H8" s="18">
        <v>62.39</v>
      </c>
      <c r="I8" s="18">
        <v>73.86</v>
      </c>
      <c r="J8" s="18">
        <v>69.02</v>
      </c>
      <c r="K8" s="19">
        <f>'01_PARÂMETROS'!$B$4*I8+'01_PARÂMETROS'!$B$5*H8+'01_PARÂMETROS'!$B$6*J8</f>
        <v>69.119499999999988</v>
      </c>
      <c r="L8" s="20" t="str">
        <f t="shared" si="1"/>
        <v>✓</v>
      </c>
      <c r="M8" s="21">
        <f>AVERAGE(F8,K8)</f>
        <v>58.20924999999999</v>
      </c>
      <c r="N8" s="22">
        <f>IFERROR(M8/'01_PARÂMETROS'!$B$9,"")</f>
        <v>1.1641849999999998</v>
      </c>
      <c r="O8" s="23">
        <f>IFERROR(MAX('01_PARÂMETROS'!$B$11,MIN('01_PARÂMETROS'!$B$12,N8)),"")</f>
        <v>1.1641849999999998</v>
      </c>
    </row>
    <row r="9" spans="1:15" ht="13.5" customHeight="1" x14ac:dyDescent="0.25">
      <c r="A9" s="13" t="s">
        <v>136</v>
      </c>
      <c r="B9" s="14" t="s">
        <v>137</v>
      </c>
      <c r="C9" s="15">
        <v>76.959999999999994</v>
      </c>
      <c r="D9" s="15">
        <v>54.81</v>
      </c>
      <c r="E9" s="15">
        <v>60.18</v>
      </c>
      <c r="F9" s="16">
        <f>'01_PARÂMETROS'!$B$4*D9+'01_PARÂMETROS'!$B$5*C9+'01_PARÂMETROS'!$B$6*E9</f>
        <v>63.367999999999995</v>
      </c>
      <c r="G9" s="17" t="str">
        <f t="shared" si="0"/>
        <v>✓</v>
      </c>
      <c r="H9" s="18">
        <v>58.36</v>
      </c>
      <c r="I9" s="18">
        <v>36.19</v>
      </c>
      <c r="J9" s="18">
        <v>52.58</v>
      </c>
      <c r="K9" s="19">
        <f>'01_PARÂMETROS'!$B$4*I9+'01_PARÂMETROS'!$B$5*H9+'01_PARÂMETROS'!$B$6*J9</f>
        <v>46.408000000000001</v>
      </c>
      <c r="L9" s="20" t="str">
        <f t="shared" si="1"/>
        <v>✓</v>
      </c>
      <c r="M9" s="21">
        <f>AVERAGE(F9,K9)</f>
        <v>54.887999999999998</v>
      </c>
      <c r="N9" s="22">
        <f>IFERROR(M9/'01_PARÂMETROS'!$B$9,"")</f>
        <v>1.0977600000000001</v>
      </c>
      <c r="O9" s="23">
        <f>IFERROR(MAX('01_PARÂMETROS'!$B$11,MIN('01_PARÂMETROS'!$B$12,N9)),"")</f>
        <v>1.0977600000000001</v>
      </c>
    </row>
    <row r="10" spans="1:15" ht="13.5" customHeight="1" x14ac:dyDescent="0.25">
      <c r="A10" s="24" t="s">
        <v>138</v>
      </c>
      <c r="B10" s="25" t="s">
        <v>139</v>
      </c>
      <c r="C10" s="15">
        <v>13.2</v>
      </c>
      <c r="D10" s="15">
        <v>56.71</v>
      </c>
      <c r="E10" s="15">
        <v>25.68</v>
      </c>
      <c r="F10" s="16">
        <f>'01_PARÂMETROS'!$B$4*D10+'01_PARÂMETROS'!$B$5*C10+'01_PARÂMETROS'!$B$6*E10</f>
        <v>36.826999999999998</v>
      </c>
      <c r="G10" s="17" t="str">
        <f t="shared" si="0"/>
        <v>✓</v>
      </c>
      <c r="H10" s="27">
        <v>0</v>
      </c>
      <c r="I10" s="27">
        <v>0</v>
      </c>
      <c r="J10" s="27">
        <v>0</v>
      </c>
      <c r="K10" s="28">
        <v>0</v>
      </c>
      <c r="L10" s="29" t="str">
        <f t="shared" si="1"/>
        <v>✗</v>
      </c>
      <c r="M10" s="21">
        <f>F10</f>
        <v>36.826999999999998</v>
      </c>
      <c r="N10" s="22">
        <f>IFERROR(M10/'01_PARÂMETROS'!$B$9,"")</f>
        <v>0.73653999999999997</v>
      </c>
      <c r="O10" s="26">
        <f>IFERROR(MAX('01_PARÂMETROS'!$B$11,MIN('01_PARÂMETROS'!$B$12,N10)),"")</f>
        <v>0.75</v>
      </c>
    </row>
    <row r="11" spans="1:15" ht="13.5" customHeight="1" x14ac:dyDescent="0.25">
      <c r="A11" s="13" t="s">
        <v>140</v>
      </c>
      <c r="B11" s="14" t="s">
        <v>141</v>
      </c>
      <c r="C11" s="27">
        <v>0</v>
      </c>
      <c r="D11" s="27">
        <v>0</v>
      </c>
      <c r="E11" s="27">
        <v>0</v>
      </c>
      <c r="F11" s="28">
        <v>0</v>
      </c>
      <c r="G11" s="29" t="str">
        <f t="shared" si="0"/>
        <v>✗</v>
      </c>
      <c r="H11" s="27">
        <v>0</v>
      </c>
      <c r="I11" s="27">
        <v>0</v>
      </c>
      <c r="J11" s="27">
        <v>0</v>
      </c>
      <c r="K11" s="28">
        <v>0</v>
      </c>
      <c r="L11" s="29" t="str">
        <f t="shared" si="1"/>
        <v>✗</v>
      </c>
      <c r="M11" s="30"/>
      <c r="N11" s="28"/>
      <c r="O11" s="31"/>
    </row>
    <row r="12" spans="1:15" ht="13.5" customHeight="1" x14ac:dyDescent="0.25">
      <c r="A12" s="24" t="s">
        <v>142</v>
      </c>
      <c r="B12" s="25" t="s">
        <v>143</v>
      </c>
      <c r="C12" s="15">
        <v>69.819999999999993</v>
      </c>
      <c r="D12" s="15">
        <v>72.489999999999995</v>
      </c>
      <c r="E12" s="15">
        <v>69.86</v>
      </c>
      <c r="F12" s="16">
        <f>'01_PARÂMETROS'!$B$4*D12+'01_PARÂMETROS'!$B$5*C12+'01_PARÂMETROS'!$B$6*E12</f>
        <v>71.161000000000001</v>
      </c>
      <c r="G12" s="17" t="str">
        <f t="shared" si="0"/>
        <v>✓</v>
      </c>
      <c r="H12" s="18">
        <v>70.459999999999994</v>
      </c>
      <c r="I12" s="18">
        <v>69.599999999999994</v>
      </c>
      <c r="J12" s="18">
        <v>65.459999999999994</v>
      </c>
      <c r="K12" s="19">
        <f>'01_PARÂMETROS'!$B$4*I12+'01_PARÂMETROS'!$B$5*H12+'01_PARÂMETROS'!$B$6*J12</f>
        <v>69.28</v>
      </c>
      <c r="L12" s="20" t="str">
        <f t="shared" si="1"/>
        <v>✓</v>
      </c>
      <c r="M12" s="21">
        <f>AVERAGE(F12,K12)</f>
        <v>70.220500000000001</v>
      </c>
      <c r="N12" s="22">
        <f>IFERROR(M12/'01_PARÂMETROS'!$B$9,"")</f>
        <v>1.4044099999999999</v>
      </c>
      <c r="O12" s="32">
        <f>IFERROR(MAX('01_PARÂMETROS'!$B$11,MIN('01_PARÂMETROS'!$B$12,N12)),"")</f>
        <v>1.4</v>
      </c>
    </row>
    <row r="13" spans="1:15" ht="13.5" customHeight="1" x14ac:dyDescent="0.25">
      <c r="A13" s="13" t="s">
        <v>144</v>
      </c>
      <c r="B13" s="14" t="s">
        <v>145</v>
      </c>
      <c r="C13" s="15">
        <v>70.44</v>
      </c>
      <c r="D13" s="15">
        <v>53.7</v>
      </c>
      <c r="E13" s="15">
        <v>22.59</v>
      </c>
      <c r="F13" s="16">
        <f>'01_PARÂMETROS'!$B$4*D13+'01_PARÂMETROS'!$B$5*C13+'01_PARÂMETROS'!$B$6*E13</f>
        <v>54.892499999999998</v>
      </c>
      <c r="G13" s="17" t="str">
        <f t="shared" si="0"/>
        <v>✓</v>
      </c>
      <c r="H13" s="18">
        <v>76.12</v>
      </c>
      <c r="I13" s="18">
        <v>52.78</v>
      </c>
      <c r="J13" s="18">
        <v>43.96</v>
      </c>
      <c r="K13" s="19">
        <f>'01_PARÂMETROS'!$B$4*I13+'01_PARÂMETROS'!$B$5*H13+'01_PARÂMETROS'!$B$6*J13</f>
        <v>59.625999999999998</v>
      </c>
      <c r="L13" s="20" t="str">
        <f t="shared" si="1"/>
        <v>✓</v>
      </c>
      <c r="M13" s="21">
        <f>AVERAGE(F13,K13)</f>
        <v>57.259249999999994</v>
      </c>
      <c r="N13" s="22">
        <f>IFERROR(M13/'01_PARÂMETROS'!$B$9,"")</f>
        <v>1.1451849999999999</v>
      </c>
      <c r="O13" s="23">
        <f>IFERROR(MAX('01_PARÂMETROS'!$B$11,MIN('01_PARÂMETROS'!$B$12,N13)),"")</f>
        <v>1.1451849999999999</v>
      </c>
    </row>
    <row r="14" spans="1:15" ht="13.5" customHeight="1" x14ac:dyDescent="0.25">
      <c r="A14" s="24" t="s">
        <v>146</v>
      </c>
      <c r="B14" s="25" t="s">
        <v>147</v>
      </c>
      <c r="C14" s="15">
        <v>77.89</v>
      </c>
      <c r="D14" s="15">
        <v>48.71</v>
      </c>
      <c r="E14" s="15">
        <v>39.880000000000003</v>
      </c>
      <c r="F14" s="16">
        <f>'01_PARÂMETROS'!$B$4*D14+'01_PARÂMETROS'!$B$5*C14+'01_PARÂMETROS'!$B$6*E14</f>
        <v>57.598500000000001</v>
      </c>
      <c r="G14" s="17" t="str">
        <f t="shared" si="0"/>
        <v>✓</v>
      </c>
      <c r="H14" s="18">
        <v>77.900000000000006</v>
      </c>
      <c r="I14" s="18">
        <v>52.22</v>
      </c>
      <c r="J14" s="18">
        <v>39.14</v>
      </c>
      <c r="K14" s="19">
        <f>'01_PARÂMETROS'!$B$4*I14+'01_PARÂMETROS'!$B$5*H14+'01_PARÂMETROS'!$B$6*J14</f>
        <v>59.246000000000002</v>
      </c>
      <c r="L14" s="20" t="str">
        <f t="shared" si="1"/>
        <v>✓</v>
      </c>
      <c r="M14" s="21">
        <f>AVERAGE(F14,K14)</f>
        <v>58.422250000000005</v>
      </c>
      <c r="N14" s="22">
        <f>IFERROR(M14/'01_PARÂMETROS'!$B$9,"")</f>
        <v>1.1684450000000002</v>
      </c>
      <c r="O14" s="23">
        <f>IFERROR(MAX('01_PARÂMETROS'!$B$11,MIN('01_PARÂMETROS'!$B$12,N14)),"")</f>
        <v>1.1684450000000002</v>
      </c>
    </row>
    <row r="15" spans="1:15" ht="13.5" customHeight="1" x14ac:dyDescent="0.25">
      <c r="A15" s="13" t="s">
        <v>148</v>
      </c>
      <c r="B15" s="14" t="s">
        <v>149</v>
      </c>
      <c r="C15" s="15">
        <v>55.01</v>
      </c>
      <c r="D15" s="15">
        <v>66.7</v>
      </c>
      <c r="E15" s="15">
        <v>6.97</v>
      </c>
      <c r="F15" s="16">
        <f>'01_PARÂMETROS'!$B$4*D15+'01_PARÂMETROS'!$B$5*C15+'01_PARÂMETROS'!$B$6*E15</f>
        <v>53.648999999999994</v>
      </c>
      <c r="G15" s="17" t="str">
        <f t="shared" si="0"/>
        <v>✓</v>
      </c>
      <c r="H15" s="27">
        <v>0</v>
      </c>
      <c r="I15" s="27">
        <v>0</v>
      </c>
      <c r="J15" s="27">
        <v>0</v>
      </c>
      <c r="K15" s="28">
        <v>0</v>
      </c>
      <c r="L15" s="29" t="str">
        <f t="shared" si="1"/>
        <v>✗</v>
      </c>
      <c r="M15" s="21">
        <f>F15</f>
        <v>53.648999999999994</v>
      </c>
      <c r="N15" s="22">
        <f>IFERROR(M15/'01_PARÂMETROS'!$B$9,"")</f>
        <v>1.0729799999999998</v>
      </c>
      <c r="O15" s="33">
        <f>IFERROR(MAX('01_PARÂMETROS'!$B$11,MIN('01_PARÂMETROS'!$B$12,N15)),"")</f>
        <v>1.0729799999999998</v>
      </c>
    </row>
    <row r="16" spans="1:15" ht="13.5" customHeight="1" x14ac:dyDescent="0.25">
      <c r="A16" s="24" t="s">
        <v>150</v>
      </c>
      <c r="B16" s="25" t="s">
        <v>151</v>
      </c>
      <c r="C16" s="27">
        <v>0</v>
      </c>
      <c r="D16" s="27">
        <v>0</v>
      </c>
      <c r="E16" s="27">
        <v>0</v>
      </c>
      <c r="F16" s="28">
        <v>0</v>
      </c>
      <c r="G16" s="29" t="str">
        <f t="shared" si="0"/>
        <v>✗</v>
      </c>
      <c r="H16" s="27">
        <v>0</v>
      </c>
      <c r="I16" s="27">
        <v>0</v>
      </c>
      <c r="J16" s="27">
        <v>0</v>
      </c>
      <c r="K16" s="28">
        <v>0</v>
      </c>
      <c r="L16" s="29" t="str">
        <f t="shared" si="1"/>
        <v>✗</v>
      </c>
      <c r="M16" s="30"/>
      <c r="N16" s="28"/>
      <c r="O16" s="31"/>
    </row>
    <row r="17" spans="1:15" ht="13.5" customHeight="1" x14ac:dyDescent="0.25">
      <c r="A17" s="13" t="s">
        <v>152</v>
      </c>
      <c r="B17" s="14" t="s">
        <v>153</v>
      </c>
      <c r="C17" s="27">
        <v>0</v>
      </c>
      <c r="D17" s="27">
        <v>0</v>
      </c>
      <c r="E17" s="27">
        <v>0</v>
      </c>
      <c r="F17" s="28">
        <v>0</v>
      </c>
      <c r="G17" s="29" t="str">
        <f t="shared" si="0"/>
        <v>✗</v>
      </c>
      <c r="H17" s="27">
        <v>0</v>
      </c>
      <c r="I17" s="27">
        <v>0</v>
      </c>
      <c r="J17" s="27">
        <v>0</v>
      </c>
      <c r="K17" s="28">
        <v>0</v>
      </c>
      <c r="L17" s="29" t="str">
        <f t="shared" si="1"/>
        <v>✗</v>
      </c>
      <c r="M17" s="30"/>
      <c r="N17" s="28"/>
      <c r="O17" s="31"/>
    </row>
    <row r="18" spans="1:15" ht="13.5" customHeight="1" x14ac:dyDescent="0.25">
      <c r="A18" s="24" t="s">
        <v>154</v>
      </c>
      <c r="B18" s="25" t="s">
        <v>155</v>
      </c>
      <c r="C18" s="15">
        <v>11.5</v>
      </c>
      <c r="D18" s="15">
        <v>8.36</v>
      </c>
      <c r="E18" s="15">
        <v>6.65</v>
      </c>
      <c r="F18" s="16">
        <f>'01_PARÂMETROS'!$B$4*D18+'01_PARÂMETROS'!$B$5*C18+'01_PARÂMETROS'!$B$6*E18</f>
        <v>9.2024999999999988</v>
      </c>
      <c r="G18" s="17" t="str">
        <f t="shared" si="0"/>
        <v>✓</v>
      </c>
      <c r="H18" s="18">
        <v>8.1999999999999993</v>
      </c>
      <c r="I18" s="18">
        <v>33.75</v>
      </c>
      <c r="J18" s="18">
        <v>68.62</v>
      </c>
      <c r="K18" s="19">
        <f>'01_PARÂMETROS'!$B$4*I18+'01_PARÂMETROS'!$B$5*H18+'01_PARÂMETROS'!$B$6*J18</f>
        <v>30.038000000000004</v>
      </c>
      <c r="L18" s="20" t="str">
        <f t="shared" si="1"/>
        <v>✓</v>
      </c>
      <c r="M18" s="21">
        <f>AVERAGE(F18,K18)</f>
        <v>19.620250000000002</v>
      </c>
      <c r="N18" s="22">
        <f>IFERROR(M18/'01_PARÂMETROS'!$B$9,"")</f>
        <v>0.39240500000000006</v>
      </c>
      <c r="O18" s="26">
        <f>IFERROR(MAX('01_PARÂMETROS'!$B$11,MIN('01_PARÂMETROS'!$B$12,N18)),"")</f>
        <v>0.75</v>
      </c>
    </row>
    <row r="19" spans="1:15" ht="13.5" customHeight="1" x14ac:dyDescent="0.25">
      <c r="A19" s="13" t="s">
        <v>156</v>
      </c>
      <c r="B19" s="14" t="s">
        <v>157</v>
      </c>
      <c r="C19" s="27">
        <v>0</v>
      </c>
      <c r="D19" s="27">
        <v>0</v>
      </c>
      <c r="E19" s="27">
        <v>0</v>
      </c>
      <c r="F19" s="28">
        <v>0</v>
      </c>
      <c r="G19" s="29" t="str">
        <f t="shared" si="0"/>
        <v>✗</v>
      </c>
      <c r="H19" s="27">
        <v>0</v>
      </c>
      <c r="I19" s="27">
        <v>0</v>
      </c>
      <c r="J19" s="27">
        <v>0</v>
      </c>
      <c r="K19" s="28">
        <v>0</v>
      </c>
      <c r="L19" s="29" t="str">
        <f t="shared" si="1"/>
        <v>✗</v>
      </c>
      <c r="M19" s="30"/>
      <c r="N19" s="28"/>
      <c r="O19" s="31"/>
    </row>
    <row r="20" spans="1:15" ht="13.5" customHeight="1" x14ac:dyDescent="0.25">
      <c r="A20" s="24" t="s">
        <v>158</v>
      </c>
      <c r="B20" s="25" t="s">
        <v>159</v>
      </c>
      <c r="C20" s="15">
        <v>18.55</v>
      </c>
      <c r="D20" s="15">
        <v>22.7</v>
      </c>
      <c r="E20" s="15">
        <v>9.11</v>
      </c>
      <c r="F20" s="16">
        <f>'01_PARÂMETROS'!$B$4*D20+'01_PARÂMETROS'!$B$5*C20+'01_PARÂMETROS'!$B$6*E20</f>
        <v>19.209</v>
      </c>
      <c r="G20" s="17" t="str">
        <f t="shared" si="0"/>
        <v>✓</v>
      </c>
      <c r="H20" s="18">
        <v>22.7</v>
      </c>
      <c r="I20" s="18">
        <v>21.9</v>
      </c>
      <c r="J20" s="18">
        <v>6.66</v>
      </c>
      <c r="K20" s="19">
        <f>'01_PARÂMETROS'!$B$4*I20+'01_PARÂMETROS'!$B$5*H20+'01_PARÂMETROS'!$B$6*J20</f>
        <v>19.893999999999998</v>
      </c>
      <c r="L20" s="20" t="str">
        <f t="shared" si="1"/>
        <v>✓</v>
      </c>
      <c r="M20" s="21">
        <f t="shared" ref="M20:M25" si="2">AVERAGE(F20,K20)</f>
        <v>19.551499999999997</v>
      </c>
      <c r="N20" s="22">
        <f>IFERROR(M20/'01_PARÂMETROS'!$B$9,"")</f>
        <v>0.39102999999999993</v>
      </c>
      <c r="O20" s="26">
        <f>IFERROR(MAX('01_PARÂMETROS'!$B$11,MIN('01_PARÂMETROS'!$B$12,N20)),"")</f>
        <v>0.75</v>
      </c>
    </row>
    <row r="21" spans="1:15" ht="13.5" customHeight="1" x14ac:dyDescent="0.25">
      <c r="A21" s="13" t="s">
        <v>160</v>
      </c>
      <c r="B21" s="14" t="s">
        <v>161</v>
      </c>
      <c r="C21" s="15">
        <v>32.520000000000003</v>
      </c>
      <c r="D21" s="15">
        <v>62.02</v>
      </c>
      <c r="E21" s="15">
        <v>70.02</v>
      </c>
      <c r="F21" s="16">
        <f>'01_PARÂMETROS'!$B$4*D21+'01_PARÂMETROS'!$B$5*C21+'01_PARÂMETROS'!$B$6*E21</f>
        <v>52.895000000000003</v>
      </c>
      <c r="G21" s="17" t="str">
        <f t="shared" si="0"/>
        <v>✓</v>
      </c>
      <c r="H21" s="18">
        <v>54.1</v>
      </c>
      <c r="I21" s="18">
        <v>70.069999999999993</v>
      </c>
      <c r="J21" s="18">
        <v>58.43</v>
      </c>
      <c r="K21" s="19">
        <f>'01_PARÂMETROS'!$B$4*I21+'01_PARÂMETROS'!$B$5*H21+'01_PARÂMETROS'!$B$6*J21</f>
        <v>62.734499999999997</v>
      </c>
      <c r="L21" s="20" t="str">
        <f t="shared" si="1"/>
        <v>✓</v>
      </c>
      <c r="M21" s="21">
        <f t="shared" si="2"/>
        <v>57.814750000000004</v>
      </c>
      <c r="N21" s="22">
        <f>IFERROR(M21/'01_PARÂMETROS'!$B$9,"")</f>
        <v>1.1562950000000001</v>
      </c>
      <c r="O21" s="23">
        <f>IFERROR(MAX('01_PARÂMETROS'!$B$11,MIN('01_PARÂMETROS'!$B$12,N21)),"")</f>
        <v>1.1562950000000001</v>
      </c>
    </row>
    <row r="22" spans="1:15" ht="13.5" customHeight="1" x14ac:dyDescent="0.25">
      <c r="A22" s="24" t="s">
        <v>162</v>
      </c>
      <c r="B22" s="25" t="s">
        <v>163</v>
      </c>
      <c r="C22" s="15">
        <v>9.7899999999999991</v>
      </c>
      <c r="D22" s="27">
        <v>0</v>
      </c>
      <c r="E22" s="27">
        <v>0</v>
      </c>
      <c r="F22" s="16">
        <f>'01_PARÂMETROS'!$B$4*D22+'01_PARÂMETROS'!$B$5*C22+'01_PARÂMETROS'!$B$6*E22</f>
        <v>3.4264999999999994</v>
      </c>
      <c r="G22" s="17" t="str">
        <f t="shared" si="0"/>
        <v>✓</v>
      </c>
      <c r="H22" s="18">
        <v>25.34</v>
      </c>
      <c r="I22" s="18">
        <v>51.28</v>
      </c>
      <c r="J22" s="18">
        <v>12.91</v>
      </c>
      <c r="K22" s="19">
        <f>'01_PARÂMETROS'!$B$4*I22+'01_PARÂMETROS'!$B$5*H22+'01_PARÂMETROS'!$B$6*J22</f>
        <v>36.445500000000003</v>
      </c>
      <c r="L22" s="20" t="str">
        <f t="shared" si="1"/>
        <v>✓</v>
      </c>
      <c r="M22" s="21">
        <f t="shared" si="2"/>
        <v>19.936</v>
      </c>
      <c r="N22" s="22">
        <f>IFERROR(M22/'01_PARÂMETROS'!$B$9,"")</f>
        <v>0.39872000000000002</v>
      </c>
      <c r="O22" s="26">
        <f>IFERROR(MAX('01_PARÂMETROS'!$B$11,MIN('01_PARÂMETROS'!$B$12,N22)),"")</f>
        <v>0.75</v>
      </c>
    </row>
    <row r="23" spans="1:15" ht="13.5" customHeight="1" x14ac:dyDescent="0.25">
      <c r="A23" s="13" t="s">
        <v>164</v>
      </c>
      <c r="B23" s="14" t="s">
        <v>165</v>
      </c>
      <c r="C23" s="15">
        <v>46.4</v>
      </c>
      <c r="D23" s="15">
        <v>33.72</v>
      </c>
      <c r="E23" s="15">
        <v>90.24</v>
      </c>
      <c r="F23" s="16">
        <f>'01_PARÂMETROS'!$B$4*D23+'01_PARÂMETROS'!$B$5*C23+'01_PARÂMETROS'!$B$6*E23</f>
        <v>46.635999999999996</v>
      </c>
      <c r="G23" s="17" t="str">
        <f t="shared" si="0"/>
        <v>✓</v>
      </c>
      <c r="H23" s="18">
        <v>46.27</v>
      </c>
      <c r="I23" s="18">
        <v>33.270000000000003</v>
      </c>
      <c r="J23" s="18">
        <v>86.4</v>
      </c>
      <c r="K23" s="19">
        <f>'01_PARÂMETROS'!$B$4*I23+'01_PARÂMETROS'!$B$5*H23+'01_PARÂMETROS'!$B$6*J23</f>
        <v>45.789500000000004</v>
      </c>
      <c r="L23" s="20" t="str">
        <f t="shared" si="1"/>
        <v>✓</v>
      </c>
      <c r="M23" s="21">
        <f t="shared" si="2"/>
        <v>46.21275</v>
      </c>
      <c r="N23" s="22">
        <f>IFERROR(M23/'01_PARÂMETROS'!$B$9,"")</f>
        <v>0.92425500000000005</v>
      </c>
      <c r="O23" s="34">
        <f>IFERROR(MAX('01_PARÂMETROS'!$B$11,MIN('01_PARÂMETROS'!$B$12,N23)),"")</f>
        <v>0.92425500000000005</v>
      </c>
    </row>
    <row r="24" spans="1:15" ht="13.5" customHeight="1" x14ac:dyDescent="0.25">
      <c r="A24" s="24" t="s">
        <v>166</v>
      </c>
      <c r="B24" s="25" t="s">
        <v>167</v>
      </c>
      <c r="C24" s="15">
        <v>20.11</v>
      </c>
      <c r="D24" s="27">
        <v>0</v>
      </c>
      <c r="E24" s="27">
        <v>0</v>
      </c>
      <c r="F24" s="16">
        <f>'01_PARÂMETROS'!$B$4*D24+'01_PARÂMETROS'!$B$5*C24+'01_PARÂMETROS'!$B$6*E24</f>
        <v>7.0384999999999991</v>
      </c>
      <c r="G24" s="17" t="str">
        <f t="shared" si="0"/>
        <v>✓</v>
      </c>
      <c r="H24" s="18">
        <v>33.01</v>
      </c>
      <c r="I24" s="18">
        <v>9.27</v>
      </c>
      <c r="J24" s="18">
        <v>18.28</v>
      </c>
      <c r="K24" s="19">
        <f>'01_PARÂMETROS'!$B$4*I24+'01_PARÂMETROS'!$B$5*H24+'01_PARÂMETROS'!$B$6*J24</f>
        <v>18.930499999999999</v>
      </c>
      <c r="L24" s="20" t="str">
        <f t="shared" si="1"/>
        <v>✓</v>
      </c>
      <c r="M24" s="21">
        <f t="shared" si="2"/>
        <v>12.984499999999999</v>
      </c>
      <c r="N24" s="22">
        <f>IFERROR(M24/'01_PARÂMETROS'!$B$9,"")</f>
        <v>0.25968999999999998</v>
      </c>
      <c r="O24" s="26">
        <f>IFERROR(MAX('01_PARÂMETROS'!$B$11,MIN('01_PARÂMETROS'!$B$12,N24)),"")</f>
        <v>0.75</v>
      </c>
    </row>
    <row r="25" spans="1:15" ht="13.5" customHeight="1" x14ac:dyDescent="0.25">
      <c r="A25" s="13" t="s">
        <v>168</v>
      </c>
      <c r="B25" s="14" t="s">
        <v>169</v>
      </c>
      <c r="C25" s="15">
        <v>69.59</v>
      </c>
      <c r="D25" s="15">
        <v>46.8</v>
      </c>
      <c r="E25" s="15">
        <v>50.98</v>
      </c>
      <c r="F25" s="16">
        <f>'01_PARÂMETROS'!$B$4*D25+'01_PARÂMETROS'!$B$5*C25+'01_PARÂMETROS'!$B$6*E25</f>
        <v>55.403500000000001</v>
      </c>
      <c r="G25" s="17" t="str">
        <f t="shared" si="0"/>
        <v>✓</v>
      </c>
      <c r="H25" s="18">
        <v>61.7</v>
      </c>
      <c r="I25" s="18">
        <v>35.090000000000003</v>
      </c>
      <c r="J25" s="18">
        <v>48.07</v>
      </c>
      <c r="K25" s="19">
        <f>'01_PARÂMETROS'!$B$4*I25+'01_PARÂMETROS'!$B$5*H25+'01_PARÂMETROS'!$B$6*J25</f>
        <v>46.350499999999997</v>
      </c>
      <c r="L25" s="20" t="str">
        <f t="shared" si="1"/>
        <v>✓</v>
      </c>
      <c r="M25" s="21">
        <f t="shared" si="2"/>
        <v>50.876999999999995</v>
      </c>
      <c r="N25" s="22">
        <f>IFERROR(M25/'01_PARÂMETROS'!$B$9,"")</f>
        <v>1.0175399999999999</v>
      </c>
      <c r="O25" s="33">
        <f>IFERROR(MAX('01_PARÂMETROS'!$B$11,MIN('01_PARÂMETROS'!$B$12,N25)),"")</f>
        <v>1.0175399999999999</v>
      </c>
    </row>
    <row r="26" spans="1:15" ht="13.5" customHeight="1" x14ac:dyDescent="0.25">
      <c r="A26" s="24" t="s">
        <v>170</v>
      </c>
      <c r="B26" s="25" t="s">
        <v>171</v>
      </c>
      <c r="C26" s="27">
        <v>0</v>
      </c>
      <c r="D26" s="27">
        <v>0</v>
      </c>
      <c r="E26" s="27">
        <v>0</v>
      </c>
      <c r="F26" s="28">
        <v>0</v>
      </c>
      <c r="G26" s="29" t="str">
        <f t="shared" si="0"/>
        <v>✗</v>
      </c>
      <c r="H26" s="27">
        <v>0</v>
      </c>
      <c r="I26" s="27">
        <v>0</v>
      </c>
      <c r="J26" s="27">
        <v>0</v>
      </c>
      <c r="K26" s="28">
        <v>0</v>
      </c>
      <c r="L26" s="29" t="str">
        <f t="shared" si="1"/>
        <v>✗</v>
      </c>
      <c r="M26" s="30"/>
      <c r="N26" s="28"/>
      <c r="O26" s="31"/>
    </row>
    <row r="27" spans="1:15" ht="13.5" customHeight="1" x14ac:dyDescent="0.25">
      <c r="A27" s="13" t="s">
        <v>172</v>
      </c>
      <c r="B27" s="14" t="s">
        <v>173</v>
      </c>
      <c r="C27" s="15">
        <v>13.82</v>
      </c>
      <c r="D27" s="15">
        <v>12.08</v>
      </c>
      <c r="E27" s="15">
        <v>8.4</v>
      </c>
      <c r="F27" s="16">
        <f>'01_PARÂMETROS'!$B$4*D27+'01_PARÂMETROS'!$B$5*C27+'01_PARÂMETROS'!$B$6*E27</f>
        <v>12.136999999999999</v>
      </c>
      <c r="G27" s="17" t="str">
        <f t="shared" si="0"/>
        <v>✓</v>
      </c>
      <c r="H27" s="18">
        <v>12</v>
      </c>
      <c r="I27" s="18">
        <v>12.03</v>
      </c>
      <c r="J27" s="18">
        <v>7.22</v>
      </c>
      <c r="K27" s="19">
        <f>'01_PARÂMETROS'!$B$4*I27+'01_PARÂMETROS'!$B$5*H27+'01_PARÂMETROS'!$B$6*J27</f>
        <v>11.298</v>
      </c>
      <c r="L27" s="20" t="str">
        <f t="shared" si="1"/>
        <v>✓</v>
      </c>
      <c r="M27" s="21">
        <f t="shared" ref="M27:M38" si="3">AVERAGE(F27,K27)</f>
        <v>11.717499999999999</v>
      </c>
      <c r="N27" s="22">
        <f>IFERROR(M27/'01_PARÂMETROS'!$B$9,"")</f>
        <v>0.23434999999999997</v>
      </c>
      <c r="O27" s="26">
        <f>IFERROR(MAX('01_PARÂMETROS'!$B$11,MIN('01_PARÂMETROS'!$B$12,N27)),"")</f>
        <v>0.75</v>
      </c>
    </row>
    <row r="28" spans="1:15" ht="13.5" customHeight="1" x14ac:dyDescent="0.25">
      <c r="A28" s="24" t="s">
        <v>174</v>
      </c>
      <c r="B28" s="25" t="s">
        <v>175</v>
      </c>
      <c r="C28" s="15">
        <v>76.489999999999995</v>
      </c>
      <c r="D28" s="15">
        <v>65.510000000000005</v>
      </c>
      <c r="E28" s="15">
        <v>67.239999999999995</v>
      </c>
      <c r="F28" s="16">
        <f>'01_PARÂMETROS'!$B$4*D28+'01_PARÂMETROS'!$B$5*C28+'01_PARÂMETROS'!$B$6*E28</f>
        <v>69.612499999999997</v>
      </c>
      <c r="G28" s="17" t="str">
        <f t="shared" si="0"/>
        <v>✓</v>
      </c>
      <c r="H28" s="18">
        <v>79.989999999999995</v>
      </c>
      <c r="I28" s="18">
        <v>48.59</v>
      </c>
      <c r="J28" s="18">
        <v>45.31</v>
      </c>
      <c r="K28" s="19">
        <f>'01_PARÂMETROS'!$B$4*I28+'01_PARÂMETROS'!$B$5*H28+'01_PARÂMETROS'!$B$6*J28</f>
        <v>59.088000000000001</v>
      </c>
      <c r="L28" s="20" t="str">
        <f t="shared" si="1"/>
        <v>✓</v>
      </c>
      <c r="M28" s="21">
        <f t="shared" si="3"/>
        <v>64.350250000000003</v>
      </c>
      <c r="N28" s="22">
        <f>IFERROR(M28/'01_PARÂMETROS'!$B$9,"")</f>
        <v>1.287005</v>
      </c>
      <c r="O28" s="32">
        <f>IFERROR(MAX('01_PARÂMETROS'!$B$11,MIN('01_PARÂMETROS'!$B$12,N28)),"")</f>
        <v>1.287005</v>
      </c>
    </row>
    <row r="29" spans="1:15" ht="13.5" customHeight="1" x14ac:dyDescent="0.25">
      <c r="A29" s="13" t="s">
        <v>176</v>
      </c>
      <c r="B29" s="14" t="s">
        <v>177</v>
      </c>
      <c r="C29" s="15">
        <v>34.69</v>
      </c>
      <c r="D29" s="15">
        <v>29.28</v>
      </c>
      <c r="E29" s="15">
        <v>34.65</v>
      </c>
      <c r="F29" s="16">
        <f>'01_PARÂMETROS'!$B$4*D29+'01_PARÂMETROS'!$B$5*C29+'01_PARÂMETROS'!$B$6*E29</f>
        <v>31.978999999999999</v>
      </c>
      <c r="G29" s="17" t="str">
        <f t="shared" si="0"/>
        <v>✓</v>
      </c>
      <c r="H29" s="18">
        <v>40.299999999999997</v>
      </c>
      <c r="I29" s="18">
        <v>32.090000000000003</v>
      </c>
      <c r="J29" s="18">
        <v>32.9</v>
      </c>
      <c r="K29" s="19">
        <f>'01_PARÂMETROS'!$B$4*I29+'01_PARÂMETROS'!$B$5*H29+'01_PARÂMETROS'!$B$6*J29</f>
        <v>35.085000000000001</v>
      </c>
      <c r="L29" s="20" t="str">
        <f t="shared" si="1"/>
        <v>✓</v>
      </c>
      <c r="M29" s="21">
        <f t="shared" si="3"/>
        <v>33.531999999999996</v>
      </c>
      <c r="N29" s="22">
        <f>IFERROR(M29/'01_PARÂMETROS'!$B$9,"")</f>
        <v>0.6706399999999999</v>
      </c>
      <c r="O29" s="26">
        <f>IFERROR(MAX('01_PARÂMETROS'!$B$11,MIN('01_PARÂMETROS'!$B$12,N29)),"")</f>
        <v>0.75</v>
      </c>
    </row>
    <row r="30" spans="1:15" ht="13.5" customHeight="1" x14ac:dyDescent="0.25">
      <c r="A30" s="24" t="s">
        <v>178</v>
      </c>
      <c r="B30" s="25" t="s">
        <v>179</v>
      </c>
      <c r="C30" s="15">
        <v>39.96</v>
      </c>
      <c r="D30" s="15">
        <v>9.94</v>
      </c>
      <c r="E30" s="15">
        <v>6.73</v>
      </c>
      <c r="F30" s="16">
        <f>'01_PARÂMETROS'!$B$4*D30+'01_PARÂMETROS'!$B$5*C30+'01_PARÂMETROS'!$B$6*E30</f>
        <v>19.965499999999999</v>
      </c>
      <c r="G30" s="17" t="str">
        <f t="shared" si="0"/>
        <v>✓</v>
      </c>
      <c r="H30" s="18">
        <v>62.94</v>
      </c>
      <c r="I30" s="18">
        <v>71.88</v>
      </c>
      <c r="J30" s="18">
        <v>84.27</v>
      </c>
      <c r="K30" s="19">
        <f>'01_PARÂMETROS'!$B$4*I30+'01_PARÂMETROS'!$B$5*H30+'01_PARÂMETROS'!$B$6*J30</f>
        <v>70.609499999999997</v>
      </c>
      <c r="L30" s="20" t="str">
        <f t="shared" si="1"/>
        <v>✓</v>
      </c>
      <c r="M30" s="21">
        <f t="shared" si="3"/>
        <v>45.287499999999994</v>
      </c>
      <c r="N30" s="22">
        <f>IFERROR(M30/'01_PARÂMETROS'!$B$9,"")</f>
        <v>0.90574999999999983</v>
      </c>
      <c r="O30" s="34">
        <f>IFERROR(MAX('01_PARÂMETROS'!$B$11,MIN('01_PARÂMETROS'!$B$12,N30)),"")</f>
        <v>0.90574999999999983</v>
      </c>
    </row>
    <row r="31" spans="1:15" ht="13.5" customHeight="1" x14ac:dyDescent="0.25">
      <c r="A31" s="13" t="s">
        <v>180</v>
      </c>
      <c r="B31" s="14" t="s">
        <v>181</v>
      </c>
      <c r="C31" s="15">
        <v>23.36</v>
      </c>
      <c r="D31" s="15">
        <v>37.85</v>
      </c>
      <c r="E31" s="15">
        <v>56.69</v>
      </c>
      <c r="F31" s="16">
        <f>'01_PARÂMETROS'!$B$4*D31+'01_PARÂMETROS'!$B$5*C31+'01_PARÂMETROS'!$B$6*E31</f>
        <v>35.604500000000002</v>
      </c>
      <c r="G31" s="17" t="str">
        <f t="shared" si="0"/>
        <v>✓</v>
      </c>
      <c r="H31" s="18">
        <v>27.43</v>
      </c>
      <c r="I31" s="18">
        <v>33.67</v>
      </c>
      <c r="J31" s="18">
        <v>73.13</v>
      </c>
      <c r="K31" s="19">
        <f>'01_PARÂMETROS'!$B$4*I31+'01_PARÂMETROS'!$B$5*H31+'01_PARÂMETROS'!$B$6*J31</f>
        <v>37.404999999999994</v>
      </c>
      <c r="L31" s="20" t="str">
        <f t="shared" si="1"/>
        <v>✓</v>
      </c>
      <c r="M31" s="21">
        <f t="shared" si="3"/>
        <v>36.504750000000001</v>
      </c>
      <c r="N31" s="22">
        <f>IFERROR(M31/'01_PARÂMETROS'!$B$9,"")</f>
        <v>0.73009500000000005</v>
      </c>
      <c r="O31" s="26">
        <f>IFERROR(MAX('01_PARÂMETROS'!$B$11,MIN('01_PARÂMETROS'!$B$12,N31)),"")</f>
        <v>0.75</v>
      </c>
    </row>
    <row r="32" spans="1:15" ht="13.5" customHeight="1" x14ac:dyDescent="0.25">
      <c r="A32" s="24" t="s">
        <v>182</v>
      </c>
      <c r="B32" s="25" t="s">
        <v>183</v>
      </c>
      <c r="C32" s="15">
        <v>71.14</v>
      </c>
      <c r="D32" s="15">
        <v>72.8</v>
      </c>
      <c r="E32" s="15">
        <v>70.180000000000007</v>
      </c>
      <c r="F32" s="16">
        <f>'01_PARÂMETROS'!$B$4*D32+'01_PARÂMETROS'!$B$5*C32+'01_PARÂMETROS'!$B$6*E32</f>
        <v>71.825999999999993</v>
      </c>
      <c r="G32" s="17" t="str">
        <f t="shared" si="0"/>
        <v>✓</v>
      </c>
      <c r="H32" s="18">
        <v>80.77</v>
      </c>
      <c r="I32" s="18">
        <v>74.17</v>
      </c>
      <c r="J32" s="18">
        <v>67.83</v>
      </c>
      <c r="K32" s="19">
        <f>'01_PARÂMETROS'!$B$4*I32+'01_PARÂMETROS'!$B$5*H32+'01_PARÂMETROS'!$B$6*J32</f>
        <v>75.528999999999996</v>
      </c>
      <c r="L32" s="20" t="str">
        <f t="shared" si="1"/>
        <v>✓</v>
      </c>
      <c r="M32" s="21">
        <f t="shared" si="3"/>
        <v>73.677499999999995</v>
      </c>
      <c r="N32" s="22">
        <f>IFERROR(M32/'01_PARÂMETROS'!$B$9,"")</f>
        <v>1.4735499999999999</v>
      </c>
      <c r="O32" s="32">
        <f>IFERROR(MAX('01_PARÂMETROS'!$B$11,MIN('01_PARÂMETROS'!$B$12,N32)),"")</f>
        <v>1.4</v>
      </c>
    </row>
    <row r="33" spans="1:15" ht="13.5" customHeight="1" x14ac:dyDescent="0.25">
      <c r="A33" s="13" t="s">
        <v>184</v>
      </c>
      <c r="B33" s="14" t="s">
        <v>185</v>
      </c>
      <c r="C33" s="15">
        <v>70.13</v>
      </c>
      <c r="D33" s="15">
        <v>52.11</v>
      </c>
      <c r="E33" s="15">
        <v>40.909999999999997</v>
      </c>
      <c r="F33" s="16">
        <f>'01_PARÂMETROS'!$B$4*D33+'01_PARÂMETROS'!$B$5*C33+'01_PARÂMETROS'!$B$6*E33</f>
        <v>56.736999999999995</v>
      </c>
      <c r="G33" s="17" t="str">
        <f t="shared" si="0"/>
        <v>✓</v>
      </c>
      <c r="H33" s="18">
        <v>76.97</v>
      </c>
      <c r="I33" s="18">
        <v>49.14</v>
      </c>
      <c r="J33" s="18">
        <v>42.62</v>
      </c>
      <c r="K33" s="19">
        <f>'01_PARÂMETROS'!$B$4*I33+'01_PARÂMETROS'!$B$5*H33+'01_PARÂMETROS'!$B$6*J33</f>
        <v>57.902500000000003</v>
      </c>
      <c r="L33" s="20" t="str">
        <f t="shared" si="1"/>
        <v>✓</v>
      </c>
      <c r="M33" s="21">
        <f t="shared" si="3"/>
        <v>57.319749999999999</v>
      </c>
      <c r="N33" s="22">
        <f>IFERROR(M33/'01_PARÂMETROS'!$B$9,"")</f>
        <v>1.1463950000000001</v>
      </c>
      <c r="O33" s="23">
        <f>IFERROR(MAX('01_PARÂMETROS'!$B$11,MIN('01_PARÂMETROS'!$B$12,N33)),"")</f>
        <v>1.1463950000000001</v>
      </c>
    </row>
    <row r="34" spans="1:15" ht="13.5" customHeight="1" x14ac:dyDescent="0.25">
      <c r="A34" s="24" t="s">
        <v>186</v>
      </c>
      <c r="B34" s="25" t="s">
        <v>187</v>
      </c>
      <c r="C34" s="15">
        <v>18.940000000000001</v>
      </c>
      <c r="D34" s="15">
        <v>38.880000000000003</v>
      </c>
      <c r="E34" s="15">
        <v>5.14</v>
      </c>
      <c r="F34" s="16">
        <f>'01_PARÂMETROS'!$B$4*D34+'01_PARÂMETROS'!$B$5*C34+'01_PARÂMETROS'!$B$6*E34</f>
        <v>26.840000000000003</v>
      </c>
      <c r="G34" s="17" t="str">
        <f t="shared" si="0"/>
        <v>✓</v>
      </c>
      <c r="H34" s="18">
        <v>39.83</v>
      </c>
      <c r="I34" s="18">
        <v>60.67</v>
      </c>
      <c r="J34" s="18">
        <v>11.96</v>
      </c>
      <c r="K34" s="19">
        <f>'01_PARÂMETROS'!$B$4*I34+'01_PARÂMETROS'!$B$5*H34+'01_PARÂMETROS'!$B$6*J34</f>
        <v>46.069499999999998</v>
      </c>
      <c r="L34" s="20" t="str">
        <f t="shared" si="1"/>
        <v>✓</v>
      </c>
      <c r="M34" s="21">
        <f t="shared" si="3"/>
        <v>36.454750000000004</v>
      </c>
      <c r="N34" s="22">
        <f>IFERROR(M34/'01_PARÂMETROS'!$B$9,"")</f>
        <v>0.72909500000000005</v>
      </c>
      <c r="O34" s="26">
        <f>IFERROR(MAX('01_PARÂMETROS'!$B$11,MIN('01_PARÂMETROS'!$B$12,N34)),"")</f>
        <v>0.75</v>
      </c>
    </row>
    <row r="35" spans="1:15" ht="13.5" customHeight="1" x14ac:dyDescent="0.25">
      <c r="A35" s="13" t="s">
        <v>188</v>
      </c>
      <c r="B35" s="14" t="s">
        <v>189</v>
      </c>
      <c r="C35" s="15">
        <v>72.69</v>
      </c>
      <c r="D35" s="15">
        <v>63.05</v>
      </c>
      <c r="E35" s="15">
        <v>38.22</v>
      </c>
      <c r="F35" s="16">
        <f>'01_PARÂMETROS'!$B$4*D35+'01_PARÂMETROS'!$B$5*C35+'01_PARÂMETROS'!$B$6*E35</f>
        <v>62.699499999999993</v>
      </c>
      <c r="G35" s="17" t="str">
        <f t="shared" si="0"/>
        <v>✓</v>
      </c>
      <c r="H35" s="18">
        <v>74.33</v>
      </c>
      <c r="I35" s="18">
        <v>65.489999999999995</v>
      </c>
      <c r="J35" s="18">
        <v>29.03</v>
      </c>
      <c r="K35" s="19">
        <f>'01_PARÂMETROS'!$B$4*I35+'01_PARÂMETROS'!$B$5*H35+'01_PARÂMETROS'!$B$6*J35</f>
        <v>63.114999999999995</v>
      </c>
      <c r="L35" s="20" t="str">
        <f t="shared" si="1"/>
        <v>✓</v>
      </c>
      <c r="M35" s="21">
        <f t="shared" si="3"/>
        <v>62.907249999999991</v>
      </c>
      <c r="N35" s="22">
        <f>IFERROR(M35/'01_PARÂMETROS'!$B$9,"")</f>
        <v>1.2581449999999998</v>
      </c>
      <c r="O35" s="32">
        <f>IFERROR(MAX('01_PARÂMETROS'!$B$11,MIN('01_PARÂMETROS'!$B$12,N35)),"")</f>
        <v>1.2581449999999998</v>
      </c>
    </row>
    <row r="36" spans="1:15" ht="13.5" customHeight="1" x14ac:dyDescent="0.25">
      <c r="A36" s="24" t="s">
        <v>190</v>
      </c>
      <c r="B36" s="25" t="s">
        <v>191</v>
      </c>
      <c r="C36" s="15">
        <v>73.78</v>
      </c>
      <c r="D36" s="15">
        <v>98.89</v>
      </c>
      <c r="E36" s="15">
        <v>99.6</v>
      </c>
      <c r="F36" s="16">
        <f>'01_PARÂMETROS'!$B$4*D36+'01_PARÂMETROS'!$B$5*C36+'01_PARÂMETROS'!$B$6*E36</f>
        <v>90.207999999999998</v>
      </c>
      <c r="G36" s="17" t="str">
        <f t="shared" si="0"/>
        <v>✓</v>
      </c>
      <c r="H36" s="18">
        <v>69.22</v>
      </c>
      <c r="I36" s="18">
        <v>90.12</v>
      </c>
      <c r="J36" s="18">
        <v>99.36</v>
      </c>
      <c r="K36" s="19">
        <f>'01_PARÂMETROS'!$B$4*I36+'01_PARÂMETROS'!$B$5*H36+'01_PARÂMETROS'!$B$6*J36</f>
        <v>84.191000000000003</v>
      </c>
      <c r="L36" s="20" t="str">
        <f t="shared" si="1"/>
        <v>✓</v>
      </c>
      <c r="M36" s="21">
        <f t="shared" si="3"/>
        <v>87.1995</v>
      </c>
      <c r="N36" s="22">
        <f>IFERROR(M36/'01_PARÂMETROS'!$B$9,"")</f>
        <v>1.7439899999999999</v>
      </c>
      <c r="O36" s="32">
        <f>IFERROR(MAX('01_PARÂMETROS'!$B$11,MIN('01_PARÂMETROS'!$B$12,N36)),"")</f>
        <v>1.4</v>
      </c>
    </row>
    <row r="37" spans="1:15" ht="13.5" customHeight="1" x14ac:dyDescent="0.25">
      <c r="A37" s="13" t="s">
        <v>192</v>
      </c>
      <c r="B37" s="14" t="s">
        <v>193</v>
      </c>
      <c r="C37" s="15">
        <v>39.880000000000003</v>
      </c>
      <c r="D37" s="15">
        <v>41.97</v>
      </c>
      <c r="E37" s="15">
        <v>14.82</v>
      </c>
      <c r="F37" s="16">
        <f>'01_PARÂMETROS'!$B$4*D37+'01_PARÂMETROS'!$B$5*C37+'01_PARÂMETROS'!$B$6*E37</f>
        <v>37.165999999999997</v>
      </c>
      <c r="G37" s="17" t="str">
        <f t="shared" ref="G37:G68" si="4">IF(AND(C37=0,D37=0,E37=0),"✗","✓")</f>
        <v>✓</v>
      </c>
      <c r="H37" s="18">
        <v>45.41</v>
      </c>
      <c r="I37" s="18">
        <v>44.17</v>
      </c>
      <c r="J37" s="18">
        <v>15.04</v>
      </c>
      <c r="K37" s="19">
        <f>'01_PARÂMETROS'!$B$4*I37+'01_PARÂMETROS'!$B$5*H37+'01_PARÂMETROS'!$B$6*J37</f>
        <v>40.234499999999997</v>
      </c>
      <c r="L37" s="20" t="str">
        <f t="shared" ref="L37:L68" si="5">IF(AND(H37=0,I37=0,J37=0),"✗","✓")</f>
        <v>✓</v>
      </c>
      <c r="M37" s="21">
        <f t="shared" si="3"/>
        <v>38.700249999999997</v>
      </c>
      <c r="N37" s="22">
        <f>IFERROR(M37/'01_PARÂMETROS'!$B$9,"")</f>
        <v>0.77400499999999994</v>
      </c>
      <c r="O37" s="26">
        <f>IFERROR(MAX('01_PARÂMETROS'!$B$11,MIN('01_PARÂMETROS'!$B$12,N37)),"")</f>
        <v>0.77400499999999994</v>
      </c>
    </row>
    <row r="38" spans="1:15" ht="13.5" customHeight="1" x14ac:dyDescent="0.25">
      <c r="A38" s="24" t="s">
        <v>194</v>
      </c>
      <c r="B38" s="25" t="s">
        <v>195</v>
      </c>
      <c r="C38" s="15">
        <v>86.96</v>
      </c>
      <c r="D38" s="15">
        <v>49.18</v>
      </c>
      <c r="E38" s="15">
        <v>54.08</v>
      </c>
      <c r="F38" s="16">
        <f>'01_PARÂMETROS'!$B$4*D38+'01_PARÂMETROS'!$B$5*C38+'01_PARÂMETROS'!$B$6*E38</f>
        <v>63.137999999999998</v>
      </c>
      <c r="G38" s="17" t="str">
        <f t="shared" si="4"/>
        <v>✓</v>
      </c>
      <c r="H38" s="18">
        <v>88.06</v>
      </c>
      <c r="I38" s="18">
        <v>58.7</v>
      </c>
      <c r="J38" s="18">
        <v>52.74</v>
      </c>
      <c r="K38" s="19">
        <f>'01_PARÂMETROS'!$B$4*I38+'01_PARÂMETROS'!$B$5*H38+'01_PARÂMETROS'!$B$6*J38</f>
        <v>68.081999999999994</v>
      </c>
      <c r="L38" s="20" t="str">
        <f t="shared" si="5"/>
        <v>✓</v>
      </c>
      <c r="M38" s="21">
        <f t="shared" si="3"/>
        <v>65.61</v>
      </c>
      <c r="N38" s="22">
        <f>IFERROR(M38/'01_PARÂMETROS'!$B$9,"")</f>
        <v>1.3122</v>
      </c>
      <c r="O38" s="32">
        <f>IFERROR(MAX('01_PARÂMETROS'!$B$11,MIN('01_PARÂMETROS'!$B$12,N38)),"")</f>
        <v>1.3122</v>
      </c>
    </row>
    <row r="39" spans="1:15" ht="13.5" customHeight="1" x14ac:dyDescent="0.25">
      <c r="A39" s="13" t="s">
        <v>196</v>
      </c>
      <c r="B39" s="14" t="s">
        <v>197</v>
      </c>
      <c r="C39" s="27">
        <v>0</v>
      </c>
      <c r="D39" s="27">
        <v>0</v>
      </c>
      <c r="E39" s="27">
        <v>0</v>
      </c>
      <c r="F39" s="28">
        <v>0</v>
      </c>
      <c r="G39" s="29" t="str">
        <f t="shared" si="4"/>
        <v>✗</v>
      </c>
      <c r="H39" s="27">
        <v>0</v>
      </c>
      <c r="I39" s="27">
        <v>0</v>
      </c>
      <c r="J39" s="27">
        <v>0</v>
      </c>
      <c r="K39" s="28">
        <v>0</v>
      </c>
      <c r="L39" s="29" t="str">
        <f t="shared" si="5"/>
        <v>✗</v>
      </c>
      <c r="M39" s="30"/>
      <c r="N39" s="28"/>
      <c r="O39" s="31"/>
    </row>
    <row r="40" spans="1:15" ht="13.5" customHeight="1" x14ac:dyDescent="0.25">
      <c r="A40" s="24" t="s">
        <v>198</v>
      </c>
      <c r="B40" s="25" t="s">
        <v>199</v>
      </c>
      <c r="C40" s="15">
        <v>71.61</v>
      </c>
      <c r="D40" s="15">
        <v>82.56</v>
      </c>
      <c r="E40" s="15">
        <v>86.2</v>
      </c>
      <c r="F40" s="16">
        <f>'01_PARÂMETROS'!$B$4*D40+'01_PARÂMETROS'!$B$5*C40+'01_PARÂMETROS'!$B$6*E40</f>
        <v>79.273500000000013</v>
      </c>
      <c r="G40" s="17" t="str">
        <f t="shared" si="4"/>
        <v>✓</v>
      </c>
      <c r="H40" s="18">
        <v>49.76</v>
      </c>
      <c r="I40" s="18">
        <v>52.7</v>
      </c>
      <c r="J40" s="18">
        <v>77.08</v>
      </c>
      <c r="K40" s="19">
        <f>'01_PARÂMETROS'!$B$4*I40+'01_PARÂMETROS'!$B$5*H40+'01_PARÂMETROS'!$B$6*J40</f>
        <v>55.327999999999996</v>
      </c>
      <c r="L40" s="20" t="str">
        <f t="shared" si="5"/>
        <v>✓</v>
      </c>
      <c r="M40" s="21">
        <f>AVERAGE(F40,K40)</f>
        <v>67.300750000000008</v>
      </c>
      <c r="N40" s="22">
        <f>IFERROR(M40/'01_PARÂMETROS'!$B$9,"")</f>
        <v>1.3460150000000002</v>
      </c>
      <c r="O40" s="32">
        <f>IFERROR(MAX('01_PARÂMETROS'!$B$11,MIN('01_PARÂMETROS'!$B$12,N40)),"")</f>
        <v>1.3460150000000002</v>
      </c>
    </row>
    <row r="41" spans="1:15" ht="13.5" customHeight="1" x14ac:dyDescent="0.25">
      <c r="A41" s="13" t="s">
        <v>200</v>
      </c>
      <c r="B41" s="14" t="s">
        <v>201</v>
      </c>
      <c r="C41" s="15">
        <v>75.25</v>
      </c>
      <c r="D41" s="15">
        <v>57.27</v>
      </c>
      <c r="E41" s="15">
        <v>43.69</v>
      </c>
      <c r="F41" s="16">
        <f>'01_PARÂMETROS'!$B$4*D41+'01_PARÂMETROS'!$B$5*C41+'01_PARÂMETROS'!$B$6*E41</f>
        <v>61.525999999999996</v>
      </c>
      <c r="G41" s="17" t="str">
        <f t="shared" si="4"/>
        <v>✓</v>
      </c>
      <c r="H41" s="18">
        <v>69.14</v>
      </c>
      <c r="I41" s="18">
        <v>47.57</v>
      </c>
      <c r="J41" s="18">
        <v>21.84</v>
      </c>
      <c r="K41" s="19">
        <f>'01_PARÂMETROS'!$B$4*I41+'01_PARÂMETROS'!$B$5*H41+'01_PARÂMETROS'!$B$6*J41</f>
        <v>51.259999999999991</v>
      </c>
      <c r="L41" s="20" t="str">
        <f t="shared" si="5"/>
        <v>✓</v>
      </c>
      <c r="M41" s="21">
        <f>AVERAGE(F41,K41)</f>
        <v>56.392999999999994</v>
      </c>
      <c r="N41" s="22">
        <f>IFERROR(M41/'01_PARÂMETROS'!$B$9,"")</f>
        <v>1.1278599999999999</v>
      </c>
      <c r="O41" s="23">
        <f>IFERROR(MAX('01_PARÂMETROS'!$B$11,MIN('01_PARÂMETROS'!$B$12,N41)),"")</f>
        <v>1.1278599999999999</v>
      </c>
    </row>
    <row r="42" spans="1:15" ht="13.5" customHeight="1" x14ac:dyDescent="0.25">
      <c r="A42" s="24" t="s">
        <v>202</v>
      </c>
      <c r="B42" s="25" t="s">
        <v>203</v>
      </c>
      <c r="C42" s="15">
        <v>38.33</v>
      </c>
      <c r="D42" s="27">
        <v>0</v>
      </c>
      <c r="E42" s="27">
        <v>0</v>
      </c>
      <c r="F42" s="16">
        <f>'01_PARÂMETROS'!$B$4*D42+'01_PARÂMETROS'!$B$5*C42+'01_PARÂMETROS'!$B$6*E42</f>
        <v>13.415499999999998</v>
      </c>
      <c r="G42" s="17" t="str">
        <f t="shared" si="4"/>
        <v>✓</v>
      </c>
      <c r="H42" s="18">
        <v>75.569999999999993</v>
      </c>
      <c r="I42" s="18">
        <v>71.25</v>
      </c>
      <c r="J42" s="18">
        <v>14.57</v>
      </c>
      <c r="K42" s="19">
        <f>'01_PARÂMETROS'!$B$4*I42+'01_PARÂMETROS'!$B$5*H42+'01_PARÂMETROS'!$B$6*J42</f>
        <v>64.260000000000005</v>
      </c>
      <c r="L42" s="20" t="str">
        <f t="shared" si="5"/>
        <v>✓</v>
      </c>
      <c r="M42" s="21">
        <f>AVERAGE(F42,K42)</f>
        <v>38.83775</v>
      </c>
      <c r="N42" s="22">
        <f>IFERROR(M42/'01_PARÂMETROS'!$B$9,"")</f>
        <v>0.77675499999999997</v>
      </c>
      <c r="O42" s="26">
        <f>IFERROR(MAX('01_PARÂMETROS'!$B$11,MIN('01_PARÂMETROS'!$B$12,N42)),"")</f>
        <v>0.77675499999999997</v>
      </c>
    </row>
    <row r="43" spans="1:15" ht="13.5" customHeight="1" x14ac:dyDescent="0.25">
      <c r="A43" s="13" t="s">
        <v>204</v>
      </c>
      <c r="B43" s="14" t="s">
        <v>205</v>
      </c>
      <c r="C43" s="15">
        <v>43.37</v>
      </c>
      <c r="D43" s="15">
        <v>30.24</v>
      </c>
      <c r="E43" s="15">
        <v>40.67</v>
      </c>
      <c r="F43" s="16">
        <f>'01_PARÂMETROS'!$B$4*D43+'01_PARÂMETROS'!$B$5*C43+'01_PARÂMETROS'!$B$6*E43</f>
        <v>36.399999999999991</v>
      </c>
      <c r="G43" s="17" t="str">
        <f t="shared" si="4"/>
        <v>✓</v>
      </c>
      <c r="H43" s="18">
        <v>49.6</v>
      </c>
      <c r="I43" s="18">
        <v>36.590000000000003</v>
      </c>
      <c r="J43" s="18">
        <v>29.74</v>
      </c>
      <c r="K43" s="19">
        <f>'01_PARÂMETROS'!$B$4*I43+'01_PARÂMETROS'!$B$5*H43+'01_PARÂMETROS'!$B$6*J43</f>
        <v>40.116</v>
      </c>
      <c r="L43" s="20" t="str">
        <f t="shared" si="5"/>
        <v>✓</v>
      </c>
      <c r="M43" s="21">
        <f>AVERAGE(F43,K43)</f>
        <v>38.257999999999996</v>
      </c>
      <c r="N43" s="22">
        <f>IFERROR(M43/'01_PARÂMETROS'!$B$9,"")</f>
        <v>0.76515999999999995</v>
      </c>
      <c r="O43" s="26">
        <f>IFERROR(MAX('01_PARÂMETROS'!$B$11,MIN('01_PARÂMETROS'!$B$12,N43)),"")</f>
        <v>0.76515999999999995</v>
      </c>
    </row>
    <row r="44" spans="1:15" ht="13.5" customHeight="1" x14ac:dyDescent="0.25">
      <c r="A44" s="24" t="s">
        <v>206</v>
      </c>
      <c r="B44" s="25" t="s">
        <v>207</v>
      </c>
      <c r="C44" s="27">
        <v>0</v>
      </c>
      <c r="D44" s="27">
        <v>0</v>
      </c>
      <c r="E44" s="27">
        <v>0</v>
      </c>
      <c r="F44" s="28">
        <v>0</v>
      </c>
      <c r="G44" s="29" t="str">
        <f t="shared" si="4"/>
        <v>✗</v>
      </c>
      <c r="H44" s="27">
        <v>0</v>
      </c>
      <c r="I44" s="27">
        <v>0</v>
      </c>
      <c r="J44" s="27">
        <v>0</v>
      </c>
      <c r="K44" s="28">
        <v>0</v>
      </c>
      <c r="L44" s="29" t="str">
        <f t="shared" si="5"/>
        <v>✗</v>
      </c>
      <c r="M44" s="30"/>
      <c r="N44" s="28"/>
      <c r="O44" s="31"/>
    </row>
    <row r="45" spans="1:15" ht="13.5" customHeight="1" x14ac:dyDescent="0.25">
      <c r="A45" s="13" t="s">
        <v>208</v>
      </c>
      <c r="B45" s="14" t="s">
        <v>209</v>
      </c>
      <c r="C45" s="15">
        <v>64.55</v>
      </c>
      <c r="D45" s="15">
        <v>45.06</v>
      </c>
      <c r="E45" s="15">
        <v>47.18</v>
      </c>
      <c r="F45" s="16">
        <f>'01_PARÂMETROS'!$B$4*D45+'01_PARÂMETROS'!$B$5*C45+'01_PARÂMETROS'!$B$6*E45</f>
        <v>52.1995</v>
      </c>
      <c r="G45" s="17" t="str">
        <f t="shared" si="4"/>
        <v>✓</v>
      </c>
      <c r="H45" s="18">
        <v>49.83</v>
      </c>
      <c r="I45" s="18">
        <v>36.270000000000003</v>
      </c>
      <c r="J45" s="18">
        <v>45.47</v>
      </c>
      <c r="K45" s="19">
        <f>'01_PARÂMETROS'!$B$4*I45+'01_PARÂMETROS'!$B$5*H45+'01_PARÂMETROS'!$B$6*J45</f>
        <v>42.396000000000001</v>
      </c>
      <c r="L45" s="20" t="str">
        <f t="shared" si="5"/>
        <v>✓</v>
      </c>
      <c r="M45" s="21">
        <f>AVERAGE(F45,K45)</f>
        <v>47.297750000000001</v>
      </c>
      <c r="N45" s="22">
        <f>IFERROR(M45/'01_PARÂMETROS'!$B$9,"")</f>
        <v>0.94595499999999999</v>
      </c>
      <c r="O45" s="34">
        <f>IFERROR(MAX('01_PARÂMETROS'!$B$11,MIN('01_PARÂMETROS'!$B$12,N45)),"")</f>
        <v>0.94595499999999999</v>
      </c>
    </row>
    <row r="46" spans="1:15" ht="13.5" customHeight="1" x14ac:dyDescent="0.25">
      <c r="A46" s="24" t="s">
        <v>210</v>
      </c>
      <c r="B46" s="25" t="s">
        <v>211</v>
      </c>
      <c r="C46" s="15">
        <v>80.91</v>
      </c>
      <c r="D46" s="15">
        <v>69.400000000000006</v>
      </c>
      <c r="E46" s="15">
        <v>63.36</v>
      </c>
      <c r="F46" s="16">
        <f>'01_PARÂMETROS'!$B$4*D46+'01_PARÂMETROS'!$B$5*C46+'01_PARÂMETROS'!$B$6*E46</f>
        <v>72.522500000000008</v>
      </c>
      <c r="G46" s="17" t="str">
        <f t="shared" si="4"/>
        <v>✓</v>
      </c>
      <c r="H46" s="18">
        <v>78.98</v>
      </c>
      <c r="I46" s="18">
        <v>57.99</v>
      </c>
      <c r="J46" s="18">
        <v>44.2</v>
      </c>
      <c r="K46" s="19">
        <f>'01_PARÂMETROS'!$B$4*I46+'01_PARÂMETROS'!$B$5*H46+'01_PARÂMETROS'!$B$6*J46</f>
        <v>63.268000000000008</v>
      </c>
      <c r="L46" s="20" t="str">
        <f t="shared" si="5"/>
        <v>✓</v>
      </c>
      <c r="M46" s="21">
        <f>AVERAGE(F46,K46)</f>
        <v>67.895250000000004</v>
      </c>
      <c r="N46" s="22">
        <f>IFERROR(M46/'01_PARÂMETROS'!$B$9,"")</f>
        <v>1.3579050000000001</v>
      </c>
      <c r="O46" s="32">
        <f>IFERROR(MAX('01_PARÂMETROS'!$B$11,MIN('01_PARÂMETROS'!$B$12,N46)),"")</f>
        <v>1.3579050000000001</v>
      </c>
    </row>
    <row r="47" spans="1:15" ht="13.5" customHeight="1" x14ac:dyDescent="0.25">
      <c r="A47" s="13" t="s">
        <v>212</v>
      </c>
      <c r="B47" s="14" t="s">
        <v>213</v>
      </c>
      <c r="C47" s="15">
        <v>81.38</v>
      </c>
      <c r="D47" s="15">
        <v>78.83</v>
      </c>
      <c r="E47" s="15">
        <v>41.23</v>
      </c>
      <c r="F47" s="16">
        <f>'01_PARÂMETROS'!$B$4*D47+'01_PARÂMETROS'!$B$5*C47+'01_PARÂMETROS'!$B$6*E47</f>
        <v>74.082499999999996</v>
      </c>
      <c r="G47" s="17" t="str">
        <f t="shared" si="4"/>
        <v>✓</v>
      </c>
      <c r="H47" s="18">
        <v>73.33</v>
      </c>
      <c r="I47" s="18">
        <v>43.22</v>
      </c>
      <c r="J47" s="18">
        <v>19.7</v>
      </c>
      <c r="K47" s="19">
        <f>'01_PARÂMETROS'!$B$4*I47+'01_PARÂMETROS'!$B$5*H47+'01_PARÂMETROS'!$B$6*J47</f>
        <v>50.230499999999992</v>
      </c>
      <c r="L47" s="20" t="str">
        <f t="shared" si="5"/>
        <v>✓</v>
      </c>
      <c r="M47" s="21">
        <f>AVERAGE(F47,K47)</f>
        <v>62.156499999999994</v>
      </c>
      <c r="N47" s="22">
        <f>IFERROR(M47/'01_PARÂMETROS'!$B$9,"")</f>
        <v>1.2431299999999998</v>
      </c>
      <c r="O47" s="32">
        <f>IFERROR(MAX('01_PARÂMETROS'!$B$11,MIN('01_PARÂMETROS'!$B$12,N47)),"")</f>
        <v>1.2431299999999998</v>
      </c>
    </row>
    <row r="48" spans="1:15" ht="13.5" customHeight="1" x14ac:dyDescent="0.25">
      <c r="A48" s="24" t="s">
        <v>214</v>
      </c>
      <c r="B48" s="25" t="s">
        <v>215</v>
      </c>
      <c r="C48" s="27">
        <v>0</v>
      </c>
      <c r="D48" s="27">
        <v>0</v>
      </c>
      <c r="E48" s="27">
        <v>0</v>
      </c>
      <c r="F48" s="28">
        <v>0</v>
      </c>
      <c r="G48" s="29" t="str">
        <f t="shared" si="4"/>
        <v>✗</v>
      </c>
      <c r="H48" s="27">
        <v>0</v>
      </c>
      <c r="I48" s="27">
        <v>0</v>
      </c>
      <c r="J48" s="27">
        <v>0</v>
      </c>
      <c r="K48" s="28">
        <v>0</v>
      </c>
      <c r="L48" s="29" t="str">
        <f t="shared" si="5"/>
        <v>✗</v>
      </c>
      <c r="M48" s="30"/>
      <c r="N48" s="28"/>
      <c r="O48" s="31"/>
    </row>
    <row r="49" spans="1:15" ht="13.5" customHeight="1" x14ac:dyDescent="0.25">
      <c r="A49" s="13" t="s">
        <v>216</v>
      </c>
      <c r="B49" s="14" t="s">
        <v>217</v>
      </c>
      <c r="C49" s="15">
        <v>38.57</v>
      </c>
      <c r="D49" s="15">
        <v>83.35</v>
      </c>
      <c r="E49" s="15">
        <v>17.2</v>
      </c>
      <c r="F49" s="16">
        <f>'01_PARÂMETROS'!$B$4*D49+'01_PARÂMETROS'!$B$5*C49+'01_PARÂMETROS'!$B$6*E49</f>
        <v>57.754499999999993</v>
      </c>
      <c r="G49" s="17" t="str">
        <f t="shared" si="4"/>
        <v>✓</v>
      </c>
      <c r="H49" s="18">
        <v>20.99</v>
      </c>
      <c r="I49" s="18">
        <v>45.51</v>
      </c>
      <c r="J49" s="18">
        <v>8.4</v>
      </c>
      <c r="K49" s="19">
        <f>'01_PARÂMETROS'!$B$4*I49+'01_PARÂMETROS'!$B$5*H49+'01_PARÂMETROS'!$B$6*J49</f>
        <v>31.361499999999999</v>
      </c>
      <c r="L49" s="20" t="str">
        <f t="shared" si="5"/>
        <v>✓</v>
      </c>
      <c r="M49" s="21">
        <f>AVERAGE(F49,K49)</f>
        <v>44.557999999999993</v>
      </c>
      <c r="N49" s="22">
        <f>IFERROR(M49/'01_PARÂMETROS'!$B$9,"")</f>
        <v>0.89115999999999984</v>
      </c>
      <c r="O49" s="34">
        <f>IFERROR(MAX('01_PARÂMETROS'!$B$11,MIN('01_PARÂMETROS'!$B$12,N49)),"")</f>
        <v>0.89115999999999984</v>
      </c>
    </row>
    <row r="50" spans="1:15" ht="13.5" customHeight="1" x14ac:dyDescent="0.25">
      <c r="A50" s="24" t="s">
        <v>218</v>
      </c>
      <c r="B50" s="25" t="s">
        <v>219</v>
      </c>
      <c r="C50" s="15">
        <v>94.1</v>
      </c>
      <c r="D50" s="15">
        <v>83.03</v>
      </c>
      <c r="E50" s="15">
        <v>14.66</v>
      </c>
      <c r="F50" s="16">
        <f>'01_PARÂMETROS'!$B$4*D50+'01_PARÂMETROS'!$B$5*C50+'01_PARÂMETROS'!$B$6*E50</f>
        <v>76.648999999999987</v>
      </c>
      <c r="G50" s="17" t="str">
        <f t="shared" si="4"/>
        <v>✓</v>
      </c>
      <c r="H50" s="27">
        <v>0</v>
      </c>
      <c r="I50" s="27">
        <v>0</v>
      </c>
      <c r="J50" s="27">
        <v>0</v>
      </c>
      <c r="K50" s="28">
        <v>0</v>
      </c>
      <c r="L50" s="29" t="str">
        <f t="shared" si="5"/>
        <v>✗</v>
      </c>
      <c r="M50" s="21">
        <f>F50</f>
        <v>76.648999999999987</v>
      </c>
      <c r="N50" s="22">
        <f>IFERROR(M50/'01_PARÂMETROS'!$B$9,"")</f>
        <v>1.5329799999999998</v>
      </c>
      <c r="O50" s="32">
        <f>IFERROR(MAX('01_PARÂMETROS'!$B$11,MIN('01_PARÂMETROS'!$B$12,N50)),"")</f>
        <v>1.4</v>
      </c>
    </row>
    <row r="51" spans="1:15" ht="13.5" customHeight="1" x14ac:dyDescent="0.25">
      <c r="A51" s="13" t="s">
        <v>220</v>
      </c>
      <c r="B51" s="14" t="s">
        <v>221</v>
      </c>
      <c r="C51" s="27">
        <v>0</v>
      </c>
      <c r="D51" s="27">
        <v>0</v>
      </c>
      <c r="E51" s="27">
        <v>0</v>
      </c>
      <c r="F51" s="28">
        <v>0</v>
      </c>
      <c r="G51" s="29" t="str">
        <f t="shared" si="4"/>
        <v>✗</v>
      </c>
      <c r="H51" s="18">
        <v>81.540000000000006</v>
      </c>
      <c r="I51" s="27">
        <v>0</v>
      </c>
      <c r="J51" s="27">
        <v>0</v>
      </c>
      <c r="K51" s="19">
        <f>'01_PARÂMETROS'!$B$4*I51+'01_PARÂMETROS'!$B$5*H51+'01_PARÂMETROS'!$B$6*J51</f>
        <v>28.539000000000001</v>
      </c>
      <c r="L51" s="20" t="str">
        <f t="shared" si="5"/>
        <v>✓</v>
      </c>
      <c r="M51" s="21">
        <f>K51</f>
        <v>28.539000000000001</v>
      </c>
      <c r="N51" s="22">
        <f>IFERROR(M51/'01_PARÂMETROS'!$B$9,"")</f>
        <v>0.57078000000000007</v>
      </c>
      <c r="O51" s="26">
        <f>IFERROR(MAX('01_PARÂMETROS'!$B$11,MIN('01_PARÂMETROS'!$B$12,N51)),"")</f>
        <v>0.75</v>
      </c>
    </row>
    <row r="52" spans="1:15" ht="13.5" customHeight="1" x14ac:dyDescent="0.25">
      <c r="A52" s="24" t="s">
        <v>222</v>
      </c>
      <c r="B52" s="25" t="s">
        <v>223</v>
      </c>
      <c r="C52" s="15">
        <v>95.96</v>
      </c>
      <c r="D52" s="15">
        <v>65.989999999999995</v>
      </c>
      <c r="E52" s="15">
        <v>48.37</v>
      </c>
      <c r="F52" s="16">
        <f>'01_PARÂMETROS'!$B$4*D52+'01_PARÂMETROS'!$B$5*C52+'01_PARÂMETROS'!$B$6*E52</f>
        <v>73.836499999999987</v>
      </c>
      <c r="G52" s="17" t="str">
        <f t="shared" si="4"/>
        <v>✓</v>
      </c>
      <c r="H52" s="18">
        <v>70.53</v>
      </c>
      <c r="I52" s="18">
        <v>67.23</v>
      </c>
      <c r="J52" s="18">
        <v>50.52</v>
      </c>
      <c r="K52" s="19">
        <f>'01_PARÂMETROS'!$B$4*I52+'01_PARÂMETROS'!$B$5*H52+'01_PARÂMETROS'!$B$6*J52</f>
        <v>65.878500000000003</v>
      </c>
      <c r="L52" s="20" t="str">
        <f t="shared" si="5"/>
        <v>✓</v>
      </c>
      <c r="M52" s="21">
        <f t="shared" ref="M52:M79" si="6">AVERAGE(F52,K52)</f>
        <v>69.857499999999987</v>
      </c>
      <c r="N52" s="22">
        <f>IFERROR(M52/'01_PARÂMETROS'!$B$9,"")</f>
        <v>1.3971499999999997</v>
      </c>
      <c r="O52" s="32">
        <f>IFERROR(MAX('01_PARÂMETROS'!$B$11,MIN('01_PARÂMETROS'!$B$12,N52)),"")</f>
        <v>1.3971499999999997</v>
      </c>
    </row>
    <row r="53" spans="1:15" ht="13.5" customHeight="1" x14ac:dyDescent="0.25">
      <c r="A53" s="13" t="s">
        <v>224</v>
      </c>
      <c r="B53" s="14" t="s">
        <v>225</v>
      </c>
      <c r="C53" s="15">
        <v>22.98</v>
      </c>
      <c r="D53" s="15">
        <v>13.19</v>
      </c>
      <c r="E53" s="15">
        <v>8.08</v>
      </c>
      <c r="F53" s="16">
        <f>'01_PARÂMETROS'!$B$4*D53+'01_PARÂMETROS'!$B$5*C53+'01_PARÂMETROS'!$B$6*E53</f>
        <v>15.849999999999998</v>
      </c>
      <c r="G53" s="17" t="str">
        <f t="shared" si="4"/>
        <v>✓</v>
      </c>
      <c r="H53" s="18">
        <v>17.97</v>
      </c>
      <c r="I53" s="18">
        <v>14.16</v>
      </c>
      <c r="J53" s="18">
        <v>11.4</v>
      </c>
      <c r="K53" s="19">
        <f>'01_PARÂMETROS'!$B$4*I53+'01_PARÂMETROS'!$B$5*H53+'01_PARÂMETROS'!$B$6*J53</f>
        <v>15.079499999999999</v>
      </c>
      <c r="L53" s="20" t="str">
        <f t="shared" si="5"/>
        <v>✓</v>
      </c>
      <c r="M53" s="21">
        <f t="shared" si="6"/>
        <v>15.464749999999999</v>
      </c>
      <c r="N53" s="22">
        <f>IFERROR(M53/'01_PARÂMETROS'!$B$9,"")</f>
        <v>0.30929499999999999</v>
      </c>
      <c r="O53" s="26">
        <f>IFERROR(MAX('01_PARÂMETROS'!$B$11,MIN('01_PARÂMETROS'!$B$12,N53)),"")</f>
        <v>0.75</v>
      </c>
    </row>
    <row r="54" spans="1:15" ht="13.5" customHeight="1" x14ac:dyDescent="0.25">
      <c r="A54" s="24" t="s">
        <v>226</v>
      </c>
      <c r="B54" s="25" t="s">
        <v>227</v>
      </c>
      <c r="C54" s="15">
        <v>53.69</v>
      </c>
      <c r="D54" s="15">
        <v>65.349999999999994</v>
      </c>
      <c r="E54" s="15">
        <v>46.3</v>
      </c>
      <c r="F54" s="16">
        <f>'01_PARÂMETROS'!$B$4*D54+'01_PARÂMETROS'!$B$5*C54+'01_PARÂMETROS'!$B$6*E54</f>
        <v>58.411499999999997</v>
      </c>
      <c r="G54" s="17" t="str">
        <f t="shared" si="4"/>
        <v>✓</v>
      </c>
      <c r="H54" s="18">
        <v>46.04</v>
      </c>
      <c r="I54" s="18">
        <v>67.31</v>
      </c>
      <c r="J54" s="18">
        <v>20.260000000000002</v>
      </c>
      <c r="K54" s="19">
        <f>'01_PARÂMETROS'!$B$4*I54+'01_PARÂMETROS'!$B$5*H54+'01_PARÂMETROS'!$B$6*J54</f>
        <v>52.808</v>
      </c>
      <c r="L54" s="20" t="str">
        <f t="shared" si="5"/>
        <v>✓</v>
      </c>
      <c r="M54" s="21">
        <f t="shared" si="6"/>
        <v>55.609749999999998</v>
      </c>
      <c r="N54" s="22">
        <f>IFERROR(M54/'01_PARÂMETROS'!$B$9,"")</f>
        <v>1.112195</v>
      </c>
      <c r="O54" s="23">
        <f>IFERROR(MAX('01_PARÂMETROS'!$B$11,MIN('01_PARÂMETROS'!$B$12,N54)),"")</f>
        <v>1.112195</v>
      </c>
    </row>
    <row r="55" spans="1:15" ht="13.5" customHeight="1" x14ac:dyDescent="0.25">
      <c r="A55" s="13" t="s">
        <v>228</v>
      </c>
      <c r="B55" s="14" t="s">
        <v>229</v>
      </c>
      <c r="C55" s="15">
        <v>44.54</v>
      </c>
      <c r="D55" s="15">
        <v>36.1</v>
      </c>
      <c r="E55" s="15">
        <v>27.67</v>
      </c>
      <c r="F55" s="16">
        <f>'01_PARÂMETROS'!$B$4*D55+'01_PARÂMETROS'!$B$5*C55+'01_PARÂMETROS'!$B$6*E55</f>
        <v>37.789499999999997</v>
      </c>
      <c r="G55" s="17" t="str">
        <f t="shared" si="4"/>
        <v>✓</v>
      </c>
      <c r="H55" s="18">
        <v>40.07</v>
      </c>
      <c r="I55" s="18">
        <v>26.56</v>
      </c>
      <c r="J55" s="18">
        <v>23.1</v>
      </c>
      <c r="K55" s="19">
        <f>'01_PARÂMETROS'!$B$4*I55+'01_PARÂMETROS'!$B$5*H55+'01_PARÂMETROS'!$B$6*J55</f>
        <v>30.769499999999997</v>
      </c>
      <c r="L55" s="20" t="str">
        <f t="shared" si="5"/>
        <v>✓</v>
      </c>
      <c r="M55" s="21">
        <f t="shared" si="6"/>
        <v>34.279499999999999</v>
      </c>
      <c r="N55" s="22">
        <f>IFERROR(M55/'01_PARÂMETROS'!$B$9,"")</f>
        <v>0.68558999999999992</v>
      </c>
      <c r="O55" s="26">
        <f>IFERROR(MAX('01_PARÂMETROS'!$B$11,MIN('01_PARÂMETROS'!$B$12,N55)),"")</f>
        <v>0.75</v>
      </c>
    </row>
    <row r="56" spans="1:15" ht="13.5" customHeight="1" x14ac:dyDescent="0.25">
      <c r="A56" s="24" t="s">
        <v>230</v>
      </c>
      <c r="B56" s="25" t="s">
        <v>231</v>
      </c>
      <c r="C56" s="15">
        <v>88.05</v>
      </c>
      <c r="D56" s="15">
        <v>88.26</v>
      </c>
      <c r="E56" s="15">
        <v>50.19</v>
      </c>
      <c r="F56" s="16">
        <f>'01_PARÂMETROS'!$B$4*D56+'01_PARÂMETROS'!$B$5*C56+'01_PARÂMETROS'!$B$6*E56</f>
        <v>82.475999999999985</v>
      </c>
      <c r="G56" s="17" t="str">
        <f t="shared" si="4"/>
        <v>✓</v>
      </c>
      <c r="H56" s="18">
        <v>82.47</v>
      </c>
      <c r="I56" s="18">
        <v>53.8</v>
      </c>
      <c r="J56" s="18">
        <v>38.67</v>
      </c>
      <c r="K56" s="19">
        <f>'01_PARÂMETROS'!$B$4*I56+'01_PARÂMETROS'!$B$5*H56+'01_PARÂMETROS'!$B$6*J56</f>
        <v>61.564999999999998</v>
      </c>
      <c r="L56" s="20" t="str">
        <f t="shared" si="5"/>
        <v>✓</v>
      </c>
      <c r="M56" s="21">
        <f t="shared" si="6"/>
        <v>72.020499999999998</v>
      </c>
      <c r="N56" s="22">
        <f>IFERROR(M56/'01_PARÂMETROS'!$B$9,"")</f>
        <v>1.44041</v>
      </c>
      <c r="O56" s="32">
        <f>IFERROR(MAX('01_PARÂMETROS'!$B$11,MIN('01_PARÂMETROS'!$B$12,N56)),"")</f>
        <v>1.4</v>
      </c>
    </row>
    <row r="57" spans="1:15" ht="13.5" customHeight="1" x14ac:dyDescent="0.25">
      <c r="A57" s="13" t="s">
        <v>232</v>
      </c>
      <c r="B57" s="14" t="s">
        <v>233</v>
      </c>
      <c r="C57" s="15">
        <v>54.78</v>
      </c>
      <c r="D57" s="15">
        <v>35.71</v>
      </c>
      <c r="E57" s="15">
        <v>55.58</v>
      </c>
      <c r="F57" s="16">
        <f>'01_PARÂMETROS'!$B$4*D57+'01_PARÂMETROS'!$B$5*C57+'01_PARÂMETROS'!$B$6*E57</f>
        <v>45.364999999999995</v>
      </c>
      <c r="G57" s="17" t="str">
        <f t="shared" si="4"/>
        <v>✓</v>
      </c>
      <c r="H57" s="18">
        <v>49.37</v>
      </c>
      <c r="I57" s="18">
        <v>21.98</v>
      </c>
      <c r="J57" s="18">
        <v>9.19</v>
      </c>
      <c r="K57" s="19">
        <f>'01_PARÂMETROS'!$B$4*I57+'01_PARÂMETROS'!$B$5*H57+'01_PARÂMETROS'!$B$6*J57</f>
        <v>29.648</v>
      </c>
      <c r="L57" s="20" t="str">
        <f t="shared" si="5"/>
        <v>✓</v>
      </c>
      <c r="M57" s="21">
        <f t="shared" si="6"/>
        <v>37.506499999999996</v>
      </c>
      <c r="N57" s="22">
        <f>IFERROR(M57/'01_PARÂMETROS'!$B$9,"")</f>
        <v>0.75012999999999996</v>
      </c>
      <c r="O57" s="26">
        <f>IFERROR(MAX('01_PARÂMETROS'!$B$11,MIN('01_PARÂMETROS'!$B$12,N57)),"")</f>
        <v>0.75012999999999996</v>
      </c>
    </row>
    <row r="58" spans="1:15" ht="13.5" customHeight="1" x14ac:dyDescent="0.25">
      <c r="A58" s="24" t="s">
        <v>234</v>
      </c>
      <c r="B58" s="25" t="s">
        <v>235</v>
      </c>
      <c r="C58" s="15">
        <v>91.46</v>
      </c>
      <c r="D58" s="15">
        <v>86.84</v>
      </c>
      <c r="E58" s="15">
        <v>60.66</v>
      </c>
      <c r="F58" s="16">
        <f>'01_PARÂMETROS'!$B$4*D58+'01_PARÂMETROS'!$B$5*C58+'01_PARÂMETROS'!$B$6*E58</f>
        <v>84.53</v>
      </c>
      <c r="G58" s="17" t="str">
        <f t="shared" si="4"/>
        <v>✓</v>
      </c>
      <c r="H58" s="18">
        <v>91.39</v>
      </c>
      <c r="I58" s="18">
        <v>86.41</v>
      </c>
      <c r="J58" s="18">
        <v>56.37</v>
      </c>
      <c r="K58" s="19">
        <f>'01_PARÂMETROS'!$B$4*I58+'01_PARÂMETROS'!$B$5*H58+'01_PARÂMETROS'!$B$6*J58</f>
        <v>83.646999999999991</v>
      </c>
      <c r="L58" s="20" t="str">
        <f t="shared" si="5"/>
        <v>✓</v>
      </c>
      <c r="M58" s="21">
        <f t="shared" si="6"/>
        <v>84.088499999999996</v>
      </c>
      <c r="N58" s="22">
        <f>IFERROR(M58/'01_PARÂMETROS'!$B$9,"")</f>
        <v>1.68177</v>
      </c>
      <c r="O58" s="32">
        <f>IFERROR(MAX('01_PARÂMETROS'!$B$11,MIN('01_PARÂMETROS'!$B$12,N58)),"")</f>
        <v>1.4</v>
      </c>
    </row>
    <row r="59" spans="1:15" ht="13.5" customHeight="1" x14ac:dyDescent="0.25">
      <c r="A59" s="13" t="s">
        <v>236</v>
      </c>
      <c r="B59" s="14" t="s">
        <v>237</v>
      </c>
      <c r="C59" s="15">
        <v>58.42</v>
      </c>
      <c r="D59" s="15">
        <v>71.22</v>
      </c>
      <c r="E59" s="15">
        <v>39.72</v>
      </c>
      <c r="F59" s="16">
        <f>'01_PARÂMETROS'!$B$4*D59+'01_PARÂMETROS'!$B$5*C59+'01_PARÂMETROS'!$B$6*E59</f>
        <v>62.015000000000001</v>
      </c>
      <c r="G59" s="17" t="str">
        <f t="shared" si="4"/>
        <v>✓</v>
      </c>
      <c r="H59" s="18">
        <v>66.040000000000006</v>
      </c>
      <c r="I59" s="18">
        <v>70.459999999999994</v>
      </c>
      <c r="J59" s="18">
        <v>42.38</v>
      </c>
      <c r="K59" s="19">
        <f>'01_PARÂMETROS'!$B$4*I59+'01_PARÂMETROS'!$B$5*H59+'01_PARÂMETROS'!$B$6*J59</f>
        <v>64.700999999999993</v>
      </c>
      <c r="L59" s="20" t="str">
        <f t="shared" si="5"/>
        <v>✓</v>
      </c>
      <c r="M59" s="21">
        <f t="shared" si="6"/>
        <v>63.357999999999997</v>
      </c>
      <c r="N59" s="22">
        <f>IFERROR(M59/'01_PARÂMETROS'!$B$9,"")</f>
        <v>1.2671599999999998</v>
      </c>
      <c r="O59" s="32">
        <f>IFERROR(MAX('01_PARÂMETROS'!$B$11,MIN('01_PARÂMETROS'!$B$12,N59)),"")</f>
        <v>1.2671599999999998</v>
      </c>
    </row>
    <row r="60" spans="1:15" ht="13.5" customHeight="1" x14ac:dyDescent="0.25">
      <c r="A60" s="24" t="s">
        <v>238</v>
      </c>
      <c r="B60" s="25" t="s">
        <v>239</v>
      </c>
      <c r="C60" s="15">
        <v>67.42</v>
      </c>
      <c r="D60" s="15">
        <v>90.32</v>
      </c>
      <c r="E60" s="15">
        <v>68.59</v>
      </c>
      <c r="F60" s="16">
        <f>'01_PARÂMETROS'!$B$4*D60+'01_PARÂMETROS'!$B$5*C60+'01_PARÂMETROS'!$B$6*E60</f>
        <v>79.04549999999999</v>
      </c>
      <c r="G60" s="17" t="str">
        <f t="shared" si="4"/>
        <v>✓</v>
      </c>
      <c r="H60" s="18">
        <v>70.38</v>
      </c>
      <c r="I60" s="18">
        <v>89.81</v>
      </c>
      <c r="J60" s="18">
        <v>88.3</v>
      </c>
      <c r="K60" s="19">
        <f>'01_PARÂMETROS'!$B$4*I60+'01_PARÂMETROS'!$B$5*H60+'01_PARÂMETROS'!$B$6*J60</f>
        <v>82.783000000000001</v>
      </c>
      <c r="L60" s="20" t="str">
        <f t="shared" si="5"/>
        <v>✓</v>
      </c>
      <c r="M60" s="21">
        <f t="shared" si="6"/>
        <v>80.914249999999996</v>
      </c>
      <c r="N60" s="22">
        <f>IFERROR(M60/'01_PARÂMETROS'!$B$9,"")</f>
        <v>1.618285</v>
      </c>
      <c r="O60" s="32">
        <f>IFERROR(MAX('01_PARÂMETROS'!$B$11,MIN('01_PARÂMETROS'!$B$12,N60)),"")</f>
        <v>1.4</v>
      </c>
    </row>
    <row r="61" spans="1:15" ht="13.5" customHeight="1" x14ac:dyDescent="0.25">
      <c r="A61" s="13" t="s">
        <v>240</v>
      </c>
      <c r="B61" s="14" t="s">
        <v>241</v>
      </c>
      <c r="C61" s="15">
        <v>44.07</v>
      </c>
      <c r="D61" s="15">
        <v>42.21</v>
      </c>
      <c r="E61" s="15">
        <v>7.37</v>
      </c>
      <c r="F61" s="16">
        <f>'01_PARÂMETROS'!$B$4*D61+'01_PARÂMETROS'!$B$5*C61+'01_PARÂMETROS'!$B$6*E61</f>
        <v>37.634999999999998</v>
      </c>
      <c r="G61" s="17" t="str">
        <f t="shared" si="4"/>
        <v>✓</v>
      </c>
      <c r="H61" s="18">
        <v>22</v>
      </c>
      <c r="I61" s="18">
        <v>46.7</v>
      </c>
      <c r="J61" s="27">
        <v>0</v>
      </c>
      <c r="K61" s="19">
        <f>'01_PARÂMETROS'!$B$4*I61+'01_PARÂMETROS'!$B$5*H61+'01_PARÂMETROS'!$B$6*J61</f>
        <v>31.05</v>
      </c>
      <c r="L61" s="20" t="str">
        <f t="shared" si="5"/>
        <v>✓</v>
      </c>
      <c r="M61" s="21">
        <f t="shared" si="6"/>
        <v>34.342500000000001</v>
      </c>
      <c r="N61" s="22">
        <f>IFERROR(M61/'01_PARÂMETROS'!$B$9,"")</f>
        <v>0.68685000000000007</v>
      </c>
      <c r="O61" s="26">
        <f>IFERROR(MAX('01_PARÂMETROS'!$B$11,MIN('01_PARÂMETROS'!$B$12,N61)),"")</f>
        <v>0.75</v>
      </c>
    </row>
    <row r="62" spans="1:15" ht="13.5" customHeight="1" x14ac:dyDescent="0.25">
      <c r="A62" s="24" t="s">
        <v>242</v>
      </c>
      <c r="B62" s="25" t="s">
        <v>243</v>
      </c>
      <c r="C62" s="15">
        <v>58.5</v>
      </c>
      <c r="D62" s="15">
        <v>56.55</v>
      </c>
      <c r="E62" s="15">
        <v>18.71</v>
      </c>
      <c r="F62" s="16">
        <f>'01_PARÂMETROS'!$B$4*D62+'01_PARÂMETROS'!$B$5*C62+'01_PARÂMETROS'!$B$6*E62</f>
        <v>51.5565</v>
      </c>
      <c r="G62" s="17" t="str">
        <f t="shared" si="4"/>
        <v>✓</v>
      </c>
      <c r="H62" s="18">
        <v>63.87</v>
      </c>
      <c r="I62" s="18">
        <v>77.73</v>
      </c>
      <c r="J62" s="18">
        <v>39.78</v>
      </c>
      <c r="K62" s="19">
        <f>'01_PARÂMETROS'!$B$4*I62+'01_PARÂMETROS'!$B$5*H62+'01_PARÂMETROS'!$B$6*J62</f>
        <v>67.186499999999995</v>
      </c>
      <c r="L62" s="20" t="str">
        <f t="shared" si="5"/>
        <v>✓</v>
      </c>
      <c r="M62" s="21">
        <f t="shared" si="6"/>
        <v>59.371499999999997</v>
      </c>
      <c r="N62" s="22">
        <f>IFERROR(M62/'01_PARÂMETROS'!$B$9,"")</f>
        <v>1.18743</v>
      </c>
      <c r="O62" s="23">
        <f>IFERROR(MAX('01_PARÂMETROS'!$B$11,MIN('01_PARÂMETROS'!$B$12,N62)),"")</f>
        <v>1.18743</v>
      </c>
    </row>
    <row r="63" spans="1:15" ht="13.5" customHeight="1" x14ac:dyDescent="0.25">
      <c r="A63" s="13" t="s">
        <v>244</v>
      </c>
      <c r="B63" s="14" t="s">
        <v>245</v>
      </c>
      <c r="C63" s="15">
        <v>85.72</v>
      </c>
      <c r="D63" s="15">
        <v>97.14</v>
      </c>
      <c r="E63" s="15">
        <v>28.38</v>
      </c>
      <c r="F63" s="16">
        <f>'01_PARÂMETROS'!$B$4*D63+'01_PARÂMETROS'!$B$5*C63+'01_PARÂMETROS'!$B$6*E63</f>
        <v>82.829000000000008</v>
      </c>
      <c r="G63" s="17" t="str">
        <f t="shared" si="4"/>
        <v>✓</v>
      </c>
      <c r="H63" s="18">
        <v>91.78</v>
      </c>
      <c r="I63" s="18">
        <v>99.28</v>
      </c>
      <c r="J63" s="18">
        <v>49.97</v>
      </c>
      <c r="K63" s="19">
        <f>'01_PARÂMETROS'!$B$4*I63+'01_PARÂMETROS'!$B$5*H63+'01_PARÂMETROS'!$B$6*J63</f>
        <v>89.258499999999998</v>
      </c>
      <c r="L63" s="20" t="str">
        <f t="shared" si="5"/>
        <v>✓</v>
      </c>
      <c r="M63" s="21">
        <f t="shared" si="6"/>
        <v>86.043750000000003</v>
      </c>
      <c r="N63" s="22">
        <f>IFERROR(M63/'01_PARÂMETROS'!$B$9,"")</f>
        <v>1.7208750000000002</v>
      </c>
      <c r="O63" s="32">
        <f>IFERROR(MAX('01_PARÂMETROS'!$B$11,MIN('01_PARÂMETROS'!$B$12,N63)),"")</f>
        <v>1.4</v>
      </c>
    </row>
    <row r="64" spans="1:15" ht="13.5" customHeight="1" x14ac:dyDescent="0.25">
      <c r="A64" s="24" t="s">
        <v>246</v>
      </c>
      <c r="B64" s="25" t="s">
        <v>247</v>
      </c>
      <c r="C64" s="15">
        <v>53.22</v>
      </c>
      <c r="D64" s="27">
        <v>0</v>
      </c>
      <c r="E64" s="27">
        <v>0</v>
      </c>
      <c r="F64" s="16">
        <f>'01_PARÂMETROS'!$B$4*D64+'01_PARÂMETROS'!$B$5*C64+'01_PARÂMETROS'!$B$6*E64</f>
        <v>18.626999999999999</v>
      </c>
      <c r="G64" s="17" t="str">
        <f t="shared" si="4"/>
        <v>✓</v>
      </c>
      <c r="H64" s="18">
        <v>45.96</v>
      </c>
      <c r="I64" s="27">
        <v>0</v>
      </c>
      <c r="J64" s="27">
        <v>0</v>
      </c>
      <c r="K64" s="19">
        <f>'01_PARÂMETROS'!$B$4*I64+'01_PARÂMETROS'!$B$5*H64+'01_PARÂMETROS'!$B$6*J64</f>
        <v>16.085999999999999</v>
      </c>
      <c r="L64" s="20" t="str">
        <f t="shared" si="5"/>
        <v>✓</v>
      </c>
      <c r="M64" s="21">
        <f t="shared" si="6"/>
        <v>17.356499999999997</v>
      </c>
      <c r="N64" s="22">
        <f>IFERROR(M64/'01_PARÂMETROS'!$B$9,"")</f>
        <v>0.34712999999999994</v>
      </c>
      <c r="O64" s="26">
        <f>IFERROR(MAX('01_PARÂMETROS'!$B$11,MIN('01_PARÂMETROS'!$B$12,N64)),"")</f>
        <v>0.75</v>
      </c>
    </row>
    <row r="65" spans="1:15" ht="13.5" customHeight="1" x14ac:dyDescent="0.25">
      <c r="A65" s="13" t="s">
        <v>248</v>
      </c>
      <c r="B65" s="14" t="s">
        <v>249</v>
      </c>
      <c r="C65" s="15">
        <v>35.39</v>
      </c>
      <c r="D65" s="15">
        <v>87.31</v>
      </c>
      <c r="E65" s="15">
        <v>27.51</v>
      </c>
      <c r="F65" s="16">
        <f>'01_PARÂMETROS'!$B$4*D65+'01_PARÂMETROS'!$B$5*C65+'01_PARÂMETROS'!$B$6*E65</f>
        <v>60.167999999999999</v>
      </c>
      <c r="G65" s="17" t="str">
        <f t="shared" si="4"/>
        <v>✓</v>
      </c>
      <c r="H65" s="18">
        <v>44.33</v>
      </c>
      <c r="I65" s="18">
        <v>69.44</v>
      </c>
      <c r="J65" s="18">
        <v>30.69</v>
      </c>
      <c r="K65" s="19">
        <f>'01_PARÂMETROS'!$B$4*I65+'01_PARÂMETROS'!$B$5*H65+'01_PARÂMETROS'!$B$6*J65</f>
        <v>54.838999999999999</v>
      </c>
      <c r="L65" s="20" t="str">
        <f t="shared" si="5"/>
        <v>✓</v>
      </c>
      <c r="M65" s="21">
        <f t="shared" si="6"/>
        <v>57.503500000000003</v>
      </c>
      <c r="N65" s="22">
        <f>IFERROR(M65/'01_PARÂMETROS'!$B$9,"")</f>
        <v>1.1500700000000001</v>
      </c>
      <c r="O65" s="23">
        <f>IFERROR(MAX('01_PARÂMETROS'!$B$11,MIN('01_PARÂMETROS'!$B$12,N65)),"")</f>
        <v>1.1500700000000001</v>
      </c>
    </row>
    <row r="66" spans="1:15" ht="13.5" customHeight="1" x14ac:dyDescent="0.25">
      <c r="A66" s="24" t="s">
        <v>250</v>
      </c>
      <c r="B66" s="25" t="s">
        <v>251</v>
      </c>
      <c r="C66" s="15">
        <v>93.4</v>
      </c>
      <c r="D66" s="15">
        <v>80.73</v>
      </c>
      <c r="E66" s="15">
        <v>57.09</v>
      </c>
      <c r="F66" s="16">
        <f>'01_PARÂMETROS'!$B$4*D66+'01_PARÂMETROS'!$B$5*C66+'01_PARÂMETROS'!$B$6*E66</f>
        <v>81.618500000000012</v>
      </c>
      <c r="G66" s="17" t="str">
        <f t="shared" si="4"/>
        <v>✓</v>
      </c>
      <c r="H66" s="18">
        <v>92.71</v>
      </c>
      <c r="I66" s="18">
        <v>81.760000000000005</v>
      </c>
      <c r="J66" s="18">
        <v>65.38</v>
      </c>
      <c r="K66" s="19">
        <f>'01_PARÂMETROS'!$B$4*I66+'01_PARÂMETROS'!$B$5*H66+'01_PARÂMETROS'!$B$6*J66</f>
        <v>83.135499999999993</v>
      </c>
      <c r="L66" s="20" t="str">
        <f t="shared" si="5"/>
        <v>✓</v>
      </c>
      <c r="M66" s="21">
        <f t="shared" si="6"/>
        <v>82.37700000000001</v>
      </c>
      <c r="N66" s="22">
        <f>IFERROR(M66/'01_PARÂMETROS'!$B$9,"")</f>
        <v>1.6475400000000002</v>
      </c>
      <c r="O66" s="32">
        <f>IFERROR(MAX('01_PARÂMETROS'!$B$11,MIN('01_PARÂMETROS'!$B$12,N66)),"")</f>
        <v>1.4</v>
      </c>
    </row>
    <row r="67" spans="1:15" ht="13.5" customHeight="1" x14ac:dyDescent="0.25">
      <c r="A67" s="13" t="s">
        <v>252</v>
      </c>
      <c r="B67" s="14" t="s">
        <v>253</v>
      </c>
      <c r="C67" s="15">
        <v>55.4</v>
      </c>
      <c r="D67" s="15">
        <v>57.43</v>
      </c>
      <c r="E67" s="15">
        <v>59.55</v>
      </c>
      <c r="F67" s="16">
        <f>'01_PARÂMETROS'!$B$4*D67+'01_PARÂMETROS'!$B$5*C67+'01_PARÂMETROS'!$B$6*E67</f>
        <v>57.037499999999994</v>
      </c>
      <c r="G67" s="17" t="str">
        <f t="shared" si="4"/>
        <v>✓</v>
      </c>
      <c r="H67" s="18">
        <v>55.11</v>
      </c>
      <c r="I67" s="18">
        <v>47.25</v>
      </c>
      <c r="J67" s="18">
        <v>52.97</v>
      </c>
      <c r="K67" s="19">
        <f>'01_PARÂMETROS'!$B$4*I67+'01_PARÂMETROS'!$B$5*H67+'01_PARÂMETROS'!$B$6*J67</f>
        <v>50.858999999999995</v>
      </c>
      <c r="L67" s="20" t="str">
        <f t="shared" si="5"/>
        <v>✓</v>
      </c>
      <c r="M67" s="21">
        <f t="shared" si="6"/>
        <v>53.948249999999994</v>
      </c>
      <c r="N67" s="22">
        <f>IFERROR(M67/'01_PARÂMETROS'!$B$9,"")</f>
        <v>1.078965</v>
      </c>
      <c r="O67" s="23">
        <f>IFERROR(MAX('01_PARÂMETROS'!$B$11,MIN('01_PARÂMETROS'!$B$12,N67)),"")</f>
        <v>1.078965</v>
      </c>
    </row>
    <row r="68" spans="1:15" ht="13.5" customHeight="1" x14ac:dyDescent="0.25">
      <c r="A68" s="24" t="s">
        <v>254</v>
      </c>
      <c r="B68" s="25" t="s">
        <v>255</v>
      </c>
      <c r="C68" s="15">
        <v>80.53</v>
      </c>
      <c r="D68" s="15">
        <v>66.540000000000006</v>
      </c>
      <c r="E68" s="15">
        <v>61.85</v>
      </c>
      <c r="F68" s="16">
        <f>'01_PARÂMETROS'!$B$4*D68+'01_PARÂMETROS'!$B$5*C68+'01_PARÂMETROS'!$B$6*E68</f>
        <v>70.733000000000004</v>
      </c>
      <c r="G68" s="17" t="str">
        <f t="shared" si="4"/>
        <v>✓</v>
      </c>
      <c r="H68" s="18">
        <v>88.91</v>
      </c>
      <c r="I68" s="18">
        <v>71.17</v>
      </c>
      <c r="J68" s="18">
        <v>62.14</v>
      </c>
      <c r="K68" s="19">
        <f>'01_PARÂMETROS'!$B$4*I68+'01_PARÂMETROS'!$B$5*H68+'01_PARÂMETROS'!$B$6*J68</f>
        <v>76.024499999999989</v>
      </c>
      <c r="L68" s="20" t="str">
        <f t="shared" si="5"/>
        <v>✓</v>
      </c>
      <c r="M68" s="21">
        <f t="shared" si="6"/>
        <v>73.378749999999997</v>
      </c>
      <c r="N68" s="22">
        <f>IFERROR(M68/'01_PARÂMETROS'!$B$9,"")</f>
        <v>1.4675749999999999</v>
      </c>
      <c r="O68" s="32">
        <f>IFERROR(MAX('01_PARÂMETROS'!$B$11,MIN('01_PARÂMETROS'!$B$12,N68)),"")</f>
        <v>1.4</v>
      </c>
    </row>
    <row r="69" spans="1:15" ht="13.5" customHeight="1" x14ac:dyDescent="0.25">
      <c r="A69" s="13" t="s">
        <v>256</v>
      </c>
      <c r="B69" s="14" t="s">
        <v>257</v>
      </c>
      <c r="C69" s="15">
        <v>91.7</v>
      </c>
      <c r="D69" s="15">
        <v>86.12</v>
      </c>
      <c r="E69" s="15">
        <v>58.99</v>
      </c>
      <c r="F69" s="16">
        <f>'01_PARÂMETROS'!$B$4*D69+'01_PARÂMETROS'!$B$5*C69+'01_PARÂMETROS'!$B$6*E69</f>
        <v>84.003500000000003</v>
      </c>
      <c r="G69" s="17" t="str">
        <f t="shared" ref="G69:G100" si="7">IF(AND(C69=0,D69=0,E69=0),"✗","✓")</f>
        <v>✓</v>
      </c>
      <c r="H69" s="18">
        <v>97.44</v>
      </c>
      <c r="I69" s="18">
        <v>87.99</v>
      </c>
      <c r="J69" s="18">
        <v>38.99</v>
      </c>
      <c r="K69" s="19">
        <f>'01_PARÂMETROS'!$B$4*I69+'01_PARÂMETROS'!$B$5*H69+'01_PARÂMETROS'!$B$6*J69</f>
        <v>83.947499999999991</v>
      </c>
      <c r="L69" s="20" t="str">
        <f t="shared" ref="L69:L100" si="8">IF(AND(H69=0,I69=0,J69=0),"✗","✓")</f>
        <v>✓</v>
      </c>
      <c r="M69" s="21">
        <f t="shared" si="6"/>
        <v>83.975499999999997</v>
      </c>
      <c r="N69" s="22">
        <f>IFERROR(M69/'01_PARÂMETROS'!$B$9,"")</f>
        <v>1.6795099999999998</v>
      </c>
      <c r="O69" s="32">
        <f>IFERROR(MAX('01_PARÂMETROS'!$B$11,MIN('01_PARÂMETROS'!$B$12,N69)),"")</f>
        <v>1.4</v>
      </c>
    </row>
    <row r="70" spans="1:15" ht="13.5" customHeight="1" x14ac:dyDescent="0.25">
      <c r="A70" s="24" t="s">
        <v>258</v>
      </c>
      <c r="B70" s="25" t="s">
        <v>259</v>
      </c>
      <c r="C70" s="15">
        <v>39.26</v>
      </c>
      <c r="D70" s="15">
        <v>69.87</v>
      </c>
      <c r="E70" s="15">
        <v>15.85</v>
      </c>
      <c r="F70" s="16">
        <f>'01_PARÂMETROS'!$B$4*D70+'01_PARÂMETROS'!$B$5*C70+'01_PARÂMETROS'!$B$6*E70</f>
        <v>51.0535</v>
      </c>
      <c r="G70" s="17" t="str">
        <f t="shared" si="7"/>
        <v>✓</v>
      </c>
      <c r="H70" s="18">
        <v>16.73</v>
      </c>
      <c r="I70" s="18">
        <v>23.25</v>
      </c>
      <c r="J70" s="18">
        <v>6.82</v>
      </c>
      <c r="K70" s="19">
        <f>'01_PARÂMETROS'!$B$4*I70+'01_PARÂMETROS'!$B$5*H70+'01_PARÂMETROS'!$B$6*J70</f>
        <v>18.503499999999999</v>
      </c>
      <c r="L70" s="20" t="str">
        <f t="shared" si="8"/>
        <v>✓</v>
      </c>
      <c r="M70" s="21">
        <f t="shared" si="6"/>
        <v>34.778500000000001</v>
      </c>
      <c r="N70" s="22">
        <f>IFERROR(M70/'01_PARÂMETROS'!$B$9,"")</f>
        <v>0.69557000000000002</v>
      </c>
      <c r="O70" s="26">
        <f>IFERROR(MAX('01_PARÂMETROS'!$B$11,MIN('01_PARÂMETROS'!$B$12,N70)),"")</f>
        <v>0.75</v>
      </c>
    </row>
    <row r="71" spans="1:15" ht="13.5" customHeight="1" x14ac:dyDescent="0.25">
      <c r="A71" s="13" t="s">
        <v>260</v>
      </c>
      <c r="B71" s="14" t="s">
        <v>261</v>
      </c>
      <c r="C71" s="15">
        <v>73.47</v>
      </c>
      <c r="D71" s="15">
        <v>62.82</v>
      </c>
      <c r="E71" s="15">
        <v>66.05</v>
      </c>
      <c r="F71" s="16">
        <f>'01_PARÂMETROS'!$B$4*D71+'01_PARÂMETROS'!$B$5*C71+'01_PARÂMETROS'!$B$6*E71</f>
        <v>67.031999999999996</v>
      </c>
      <c r="G71" s="17" t="str">
        <f t="shared" si="7"/>
        <v>✓</v>
      </c>
      <c r="H71" s="18">
        <v>77.510000000000005</v>
      </c>
      <c r="I71" s="18">
        <v>62.17</v>
      </c>
      <c r="J71" s="18">
        <v>51.08</v>
      </c>
      <c r="K71" s="19">
        <f>'01_PARÂMETROS'!$B$4*I71+'01_PARÂMETROS'!$B$5*H71+'01_PARÂMETROS'!$B$6*J71</f>
        <v>65.875499999999988</v>
      </c>
      <c r="L71" s="20" t="str">
        <f t="shared" si="8"/>
        <v>✓</v>
      </c>
      <c r="M71" s="21">
        <f t="shared" si="6"/>
        <v>66.453749999999985</v>
      </c>
      <c r="N71" s="22">
        <f>IFERROR(M71/'01_PARÂMETROS'!$B$9,"")</f>
        <v>1.3290749999999998</v>
      </c>
      <c r="O71" s="32">
        <f>IFERROR(MAX('01_PARÂMETROS'!$B$11,MIN('01_PARÂMETROS'!$B$12,N71)),"")</f>
        <v>1.3290749999999998</v>
      </c>
    </row>
    <row r="72" spans="1:15" ht="13.5" customHeight="1" x14ac:dyDescent="0.25">
      <c r="A72" s="24" t="s">
        <v>262</v>
      </c>
      <c r="B72" s="25" t="s">
        <v>263</v>
      </c>
      <c r="C72" s="15">
        <v>42.68</v>
      </c>
      <c r="D72" s="15">
        <v>33.96</v>
      </c>
      <c r="E72" s="15">
        <v>12.12</v>
      </c>
      <c r="F72" s="16">
        <f>'01_PARÂMETROS'!$B$4*D72+'01_PARÂMETROS'!$B$5*C72+'01_PARÂMETROS'!$B$6*E72</f>
        <v>33.735999999999997</v>
      </c>
      <c r="G72" s="17" t="str">
        <f t="shared" si="7"/>
        <v>✓</v>
      </c>
      <c r="H72" s="18">
        <v>45.18</v>
      </c>
      <c r="I72" s="18">
        <v>53.49</v>
      </c>
      <c r="J72" s="18">
        <v>63.56</v>
      </c>
      <c r="K72" s="19">
        <f>'01_PARÂMETROS'!$B$4*I72+'01_PARÂMETROS'!$B$5*H72+'01_PARÂMETROS'!$B$6*J72</f>
        <v>52.091999999999999</v>
      </c>
      <c r="L72" s="20" t="str">
        <f t="shared" si="8"/>
        <v>✓</v>
      </c>
      <c r="M72" s="21">
        <f t="shared" si="6"/>
        <v>42.914000000000001</v>
      </c>
      <c r="N72" s="22">
        <f>IFERROR(M72/'01_PARÂMETROS'!$B$9,"")</f>
        <v>0.85828000000000004</v>
      </c>
      <c r="O72" s="26">
        <f>IFERROR(MAX('01_PARÂMETROS'!$B$11,MIN('01_PARÂMETROS'!$B$12,N72)),"")</f>
        <v>0.85828000000000004</v>
      </c>
    </row>
    <row r="73" spans="1:15" ht="13.5" customHeight="1" x14ac:dyDescent="0.25">
      <c r="A73" s="13" t="s">
        <v>264</v>
      </c>
      <c r="B73" s="14" t="s">
        <v>265</v>
      </c>
      <c r="C73" s="15">
        <v>24.22</v>
      </c>
      <c r="D73" s="15">
        <v>47.68</v>
      </c>
      <c r="E73" s="15">
        <v>94.13</v>
      </c>
      <c r="F73" s="16">
        <f>'01_PARÂMETROS'!$B$4*D73+'01_PARÂMETROS'!$B$5*C73+'01_PARÂMETROS'!$B$6*E73</f>
        <v>46.436499999999995</v>
      </c>
      <c r="G73" s="17" t="str">
        <f t="shared" si="7"/>
        <v>✓</v>
      </c>
      <c r="H73" s="18">
        <v>18.05</v>
      </c>
      <c r="I73" s="18">
        <v>60.75</v>
      </c>
      <c r="J73" s="18">
        <v>20.18</v>
      </c>
      <c r="K73" s="19">
        <f>'01_PARÂMETROS'!$B$4*I73+'01_PARÂMETROS'!$B$5*H73+'01_PARÂMETROS'!$B$6*J73</f>
        <v>39.719500000000004</v>
      </c>
      <c r="L73" s="20" t="str">
        <f t="shared" si="8"/>
        <v>✓</v>
      </c>
      <c r="M73" s="21">
        <f t="shared" si="6"/>
        <v>43.078000000000003</v>
      </c>
      <c r="N73" s="22">
        <f>IFERROR(M73/'01_PARÂMETROS'!$B$9,"")</f>
        <v>0.8615600000000001</v>
      </c>
      <c r="O73" s="26">
        <f>IFERROR(MAX('01_PARÂMETROS'!$B$11,MIN('01_PARÂMETROS'!$B$12,N73)),"")</f>
        <v>0.8615600000000001</v>
      </c>
    </row>
    <row r="74" spans="1:15" ht="13.5" customHeight="1" x14ac:dyDescent="0.25">
      <c r="A74" s="24" t="s">
        <v>266</v>
      </c>
      <c r="B74" s="25" t="s">
        <v>267</v>
      </c>
      <c r="C74" s="15">
        <v>38.880000000000003</v>
      </c>
      <c r="D74" s="15">
        <v>41.65</v>
      </c>
      <c r="E74" s="15">
        <v>14.5</v>
      </c>
      <c r="F74" s="16">
        <f>'01_PARÂMETROS'!$B$4*D74+'01_PARÂMETROS'!$B$5*C74+'01_PARÂMETROS'!$B$6*E74</f>
        <v>36.607999999999997</v>
      </c>
      <c r="G74" s="17" t="str">
        <f t="shared" si="7"/>
        <v>✓</v>
      </c>
      <c r="H74" s="18">
        <v>43.71</v>
      </c>
      <c r="I74" s="18">
        <v>39.04</v>
      </c>
      <c r="J74" s="18">
        <v>73.2</v>
      </c>
      <c r="K74" s="19">
        <f>'01_PARÂMETROS'!$B$4*I74+'01_PARÂMETROS'!$B$5*H74+'01_PARÂMETROS'!$B$6*J74</f>
        <v>45.798500000000004</v>
      </c>
      <c r="L74" s="20" t="str">
        <f t="shared" si="8"/>
        <v>✓</v>
      </c>
      <c r="M74" s="21">
        <f t="shared" si="6"/>
        <v>41.203249999999997</v>
      </c>
      <c r="N74" s="22">
        <f>IFERROR(M74/'01_PARÂMETROS'!$B$9,"")</f>
        <v>0.82406499999999994</v>
      </c>
      <c r="O74" s="26">
        <f>IFERROR(MAX('01_PARÂMETROS'!$B$11,MIN('01_PARÂMETROS'!$B$12,N74)),"")</f>
        <v>0.82406499999999994</v>
      </c>
    </row>
    <row r="75" spans="1:15" ht="13.5" customHeight="1" x14ac:dyDescent="0.25">
      <c r="A75" s="13" t="s">
        <v>268</v>
      </c>
      <c r="B75" s="14" t="s">
        <v>269</v>
      </c>
      <c r="C75" s="15">
        <v>42.83</v>
      </c>
      <c r="D75" s="15">
        <v>53.46</v>
      </c>
      <c r="E75" s="15">
        <v>27.59</v>
      </c>
      <c r="F75" s="16">
        <f>'01_PARÂMETROS'!$B$4*D75+'01_PARÂMETROS'!$B$5*C75+'01_PARÂMETROS'!$B$6*E75</f>
        <v>45.859000000000002</v>
      </c>
      <c r="G75" s="17" t="str">
        <f t="shared" si="7"/>
        <v>✓</v>
      </c>
      <c r="H75" s="18">
        <v>41</v>
      </c>
      <c r="I75" s="18">
        <v>61.78</v>
      </c>
      <c r="J75" s="18">
        <v>35.03</v>
      </c>
      <c r="K75" s="19">
        <f>'01_PARÂMETROS'!$B$4*I75+'01_PARÂMETROS'!$B$5*H75+'01_PARÂMETROS'!$B$6*J75</f>
        <v>50.494500000000002</v>
      </c>
      <c r="L75" s="20" t="str">
        <f t="shared" si="8"/>
        <v>✓</v>
      </c>
      <c r="M75" s="21">
        <f t="shared" si="6"/>
        <v>48.176749999999998</v>
      </c>
      <c r="N75" s="22">
        <f>IFERROR(M75/'01_PARÂMETROS'!$B$9,"")</f>
        <v>0.96353499999999992</v>
      </c>
      <c r="O75" s="33">
        <f>IFERROR(MAX('01_PARÂMETROS'!$B$11,MIN('01_PARÂMETROS'!$B$12,N75)),"")</f>
        <v>0.96353499999999992</v>
      </c>
    </row>
    <row r="76" spans="1:15" ht="13.5" customHeight="1" x14ac:dyDescent="0.25">
      <c r="A76" s="24" t="s">
        <v>270</v>
      </c>
      <c r="B76" s="25" t="s">
        <v>271</v>
      </c>
      <c r="C76" s="15">
        <v>67.11</v>
      </c>
      <c r="D76" s="15">
        <v>87.79</v>
      </c>
      <c r="E76" s="15">
        <v>94.6</v>
      </c>
      <c r="F76" s="16">
        <f>'01_PARÂMETROS'!$B$4*D76+'01_PARÂMETROS'!$B$5*C76+'01_PARÂMETROS'!$B$6*E76</f>
        <v>81.573499999999996</v>
      </c>
      <c r="G76" s="17" t="str">
        <f t="shared" si="7"/>
        <v>✓</v>
      </c>
      <c r="H76" s="18">
        <v>78.67</v>
      </c>
      <c r="I76" s="18">
        <v>82.39</v>
      </c>
      <c r="J76" s="18">
        <v>83.87</v>
      </c>
      <c r="K76" s="19">
        <f>'01_PARÂMETROS'!$B$4*I76+'01_PARÂMETROS'!$B$5*H76+'01_PARÂMETROS'!$B$6*J76</f>
        <v>81.31</v>
      </c>
      <c r="L76" s="20" t="str">
        <f t="shared" si="8"/>
        <v>✓</v>
      </c>
      <c r="M76" s="21">
        <f t="shared" si="6"/>
        <v>81.441749999999999</v>
      </c>
      <c r="N76" s="22">
        <f>IFERROR(M76/'01_PARÂMETROS'!$B$9,"")</f>
        <v>1.628835</v>
      </c>
      <c r="O76" s="32">
        <f>IFERROR(MAX('01_PARÂMETROS'!$B$11,MIN('01_PARÂMETROS'!$B$12,N76)),"")</f>
        <v>1.4</v>
      </c>
    </row>
    <row r="77" spans="1:15" ht="13.5" customHeight="1" x14ac:dyDescent="0.25">
      <c r="A77" s="13" t="s">
        <v>272</v>
      </c>
      <c r="B77" s="14" t="s">
        <v>273</v>
      </c>
      <c r="C77" s="15">
        <v>43.99</v>
      </c>
      <c r="D77" s="15">
        <v>51</v>
      </c>
      <c r="E77" s="15">
        <v>68.91</v>
      </c>
      <c r="F77" s="16">
        <f>'01_PARÂMETROS'!$B$4*D77+'01_PARÂMETROS'!$B$5*C77+'01_PARÂMETROS'!$B$6*E77</f>
        <v>51.233000000000004</v>
      </c>
      <c r="G77" s="17" t="str">
        <f t="shared" si="7"/>
        <v>✓</v>
      </c>
      <c r="H77" s="18">
        <v>42.24</v>
      </c>
      <c r="I77" s="18">
        <v>41.72</v>
      </c>
      <c r="J77" s="18">
        <v>62.06</v>
      </c>
      <c r="K77" s="19">
        <f>'01_PARÂMETROS'!$B$4*I77+'01_PARÂMETROS'!$B$5*H77+'01_PARÂMETROS'!$B$6*J77</f>
        <v>44.952999999999996</v>
      </c>
      <c r="L77" s="20" t="str">
        <f t="shared" si="8"/>
        <v>✓</v>
      </c>
      <c r="M77" s="21">
        <f t="shared" si="6"/>
        <v>48.093000000000004</v>
      </c>
      <c r="N77" s="22">
        <f>IFERROR(M77/'01_PARÂMETROS'!$B$9,"")</f>
        <v>0.96186000000000005</v>
      </c>
      <c r="O77" s="33">
        <f>IFERROR(MAX('01_PARÂMETROS'!$B$11,MIN('01_PARÂMETROS'!$B$12,N77)),"")</f>
        <v>0.96186000000000005</v>
      </c>
    </row>
    <row r="78" spans="1:15" ht="13.5" customHeight="1" x14ac:dyDescent="0.25">
      <c r="A78" s="24" t="s">
        <v>274</v>
      </c>
      <c r="B78" s="25" t="s">
        <v>275</v>
      </c>
      <c r="C78" s="15">
        <v>42.13</v>
      </c>
      <c r="D78" s="15">
        <v>50.53</v>
      </c>
      <c r="E78" s="15">
        <v>39.96</v>
      </c>
      <c r="F78" s="16">
        <f>'01_PARÂMETROS'!$B$4*D78+'01_PARÂMETROS'!$B$5*C78+'01_PARÂMETROS'!$B$6*E78</f>
        <v>46.0045</v>
      </c>
      <c r="G78" s="17" t="str">
        <f t="shared" si="7"/>
        <v>✓</v>
      </c>
      <c r="H78" s="18">
        <v>40.22</v>
      </c>
      <c r="I78" s="18">
        <v>53.41</v>
      </c>
      <c r="J78" s="18">
        <v>39.06</v>
      </c>
      <c r="K78" s="19">
        <f>'01_PARÂMETROS'!$B$4*I78+'01_PARÂMETROS'!$B$5*H78+'01_PARÂMETROS'!$B$6*J78</f>
        <v>46.640999999999998</v>
      </c>
      <c r="L78" s="20" t="str">
        <f t="shared" si="8"/>
        <v>✓</v>
      </c>
      <c r="M78" s="21">
        <f t="shared" si="6"/>
        <v>46.322749999999999</v>
      </c>
      <c r="N78" s="22">
        <f>IFERROR(M78/'01_PARÂMETROS'!$B$9,"")</f>
        <v>0.92645500000000003</v>
      </c>
      <c r="O78" s="34">
        <f>IFERROR(MAX('01_PARÂMETROS'!$B$11,MIN('01_PARÂMETROS'!$B$12,N78)),"")</f>
        <v>0.92645500000000003</v>
      </c>
    </row>
    <row r="79" spans="1:15" ht="13.5" customHeight="1" x14ac:dyDescent="0.25">
      <c r="A79" s="13" t="s">
        <v>276</v>
      </c>
      <c r="B79" s="14" t="s">
        <v>277</v>
      </c>
      <c r="C79" s="15">
        <v>91.31</v>
      </c>
      <c r="D79" s="15">
        <v>45.69</v>
      </c>
      <c r="E79" s="15">
        <v>9.9</v>
      </c>
      <c r="F79" s="16">
        <f>'01_PARÂMETROS'!$B$4*D79+'01_PARÂMETROS'!$B$5*C79+'01_PARÂMETROS'!$B$6*E79</f>
        <v>56.288499999999999</v>
      </c>
      <c r="G79" s="17" t="str">
        <f t="shared" si="7"/>
        <v>✓</v>
      </c>
      <c r="H79" s="18">
        <v>34.1</v>
      </c>
      <c r="I79" s="18">
        <v>44.41</v>
      </c>
      <c r="J79" s="18">
        <v>54.71</v>
      </c>
      <c r="K79" s="19">
        <f>'01_PARÂMETROS'!$B$4*I79+'01_PARÂMETROS'!$B$5*H79+'01_PARÂMETROS'!$B$6*J79</f>
        <v>42.346499999999999</v>
      </c>
      <c r="L79" s="20" t="str">
        <f t="shared" si="8"/>
        <v>✓</v>
      </c>
      <c r="M79" s="21">
        <f t="shared" si="6"/>
        <v>49.317499999999995</v>
      </c>
      <c r="N79" s="22">
        <f>IFERROR(M79/'01_PARÂMETROS'!$B$9,"")</f>
        <v>0.98634999999999995</v>
      </c>
      <c r="O79" s="33">
        <f>IFERROR(MAX('01_PARÂMETROS'!$B$11,MIN('01_PARÂMETROS'!$B$12,N79)),"")</f>
        <v>0.98634999999999995</v>
      </c>
    </row>
    <row r="80" spans="1:15" ht="13.5" customHeight="1" x14ac:dyDescent="0.25">
      <c r="A80" s="24" t="s">
        <v>278</v>
      </c>
      <c r="B80" s="25" t="s">
        <v>279</v>
      </c>
      <c r="C80" s="27">
        <v>0</v>
      </c>
      <c r="D80" s="27">
        <v>0</v>
      </c>
      <c r="E80" s="27">
        <v>0</v>
      </c>
      <c r="F80" s="28">
        <v>0</v>
      </c>
      <c r="G80" s="29" t="str">
        <f t="shared" si="7"/>
        <v>✗</v>
      </c>
      <c r="H80" s="27">
        <v>0</v>
      </c>
      <c r="I80" s="27">
        <v>0</v>
      </c>
      <c r="J80" s="27">
        <v>0</v>
      </c>
      <c r="K80" s="28">
        <v>0</v>
      </c>
      <c r="L80" s="29" t="str">
        <f t="shared" si="8"/>
        <v>✗</v>
      </c>
      <c r="M80" s="30"/>
      <c r="N80" s="28"/>
      <c r="O80" s="31"/>
    </row>
    <row r="81" spans="1:15" ht="13.5" customHeight="1" x14ac:dyDescent="0.25">
      <c r="A81" s="13" t="s">
        <v>280</v>
      </c>
      <c r="B81" s="14" t="s">
        <v>281</v>
      </c>
      <c r="C81" s="15">
        <v>76.180000000000007</v>
      </c>
      <c r="D81" s="15">
        <v>56.08</v>
      </c>
      <c r="E81" s="15">
        <v>23.54</v>
      </c>
      <c r="F81" s="16">
        <f>'01_PARÂMETROS'!$B$4*D81+'01_PARÂMETROS'!$B$5*C81+'01_PARÂMETROS'!$B$6*E81</f>
        <v>58.234000000000002</v>
      </c>
      <c r="G81" s="17" t="str">
        <f t="shared" si="7"/>
        <v>✓</v>
      </c>
      <c r="H81" s="18">
        <v>56.42</v>
      </c>
      <c r="I81" s="18">
        <v>56.41</v>
      </c>
      <c r="J81" s="18">
        <v>79.45</v>
      </c>
      <c r="K81" s="19">
        <f>'01_PARÂMETROS'!$B$4*I81+'01_PARÂMETROS'!$B$5*H81+'01_PARÂMETROS'!$B$6*J81</f>
        <v>59.869500000000002</v>
      </c>
      <c r="L81" s="20" t="str">
        <f t="shared" si="8"/>
        <v>✓</v>
      </c>
      <c r="M81" s="21">
        <f>AVERAGE(F81,K81)</f>
        <v>59.051749999999998</v>
      </c>
      <c r="N81" s="22">
        <f>IFERROR(M81/'01_PARÂMETROS'!$B$9,"")</f>
        <v>1.1810350000000001</v>
      </c>
      <c r="O81" s="23">
        <f>IFERROR(MAX('01_PARÂMETROS'!$B$11,MIN('01_PARÂMETROS'!$B$12,N81)),"")</f>
        <v>1.1810350000000001</v>
      </c>
    </row>
    <row r="82" spans="1:15" ht="13.5" customHeight="1" x14ac:dyDescent="0.25">
      <c r="A82" s="24" t="s">
        <v>282</v>
      </c>
      <c r="B82" s="25" t="s">
        <v>283</v>
      </c>
      <c r="C82" s="15">
        <v>63.85</v>
      </c>
      <c r="D82" s="15">
        <v>78.430000000000007</v>
      </c>
      <c r="E82" s="15">
        <v>65.099999999999994</v>
      </c>
      <c r="F82" s="16">
        <f>'01_PARÂMETROS'!$B$4*D82+'01_PARÂMETROS'!$B$5*C82+'01_PARÂMETROS'!$B$6*E82</f>
        <v>71.327500000000001</v>
      </c>
      <c r="G82" s="17" t="str">
        <f t="shared" si="7"/>
        <v>✓</v>
      </c>
      <c r="H82" s="18">
        <v>63.17</v>
      </c>
      <c r="I82" s="18">
        <v>66.83</v>
      </c>
      <c r="J82" s="18">
        <v>57.4</v>
      </c>
      <c r="K82" s="19">
        <f>'01_PARÂMETROS'!$B$4*I82+'01_PARÂMETROS'!$B$5*H82+'01_PARÂMETROS'!$B$6*J82</f>
        <v>64.134500000000003</v>
      </c>
      <c r="L82" s="20" t="str">
        <f t="shared" si="8"/>
        <v>✓</v>
      </c>
      <c r="M82" s="21">
        <f>AVERAGE(F82,K82)</f>
        <v>67.730999999999995</v>
      </c>
      <c r="N82" s="22">
        <f>IFERROR(M82/'01_PARÂMETROS'!$B$9,"")</f>
        <v>1.3546199999999999</v>
      </c>
      <c r="O82" s="32">
        <f>IFERROR(MAX('01_PARÂMETROS'!$B$11,MIN('01_PARÂMETROS'!$B$12,N82)),"")</f>
        <v>1.3546199999999999</v>
      </c>
    </row>
    <row r="83" spans="1:15" ht="13.5" customHeight="1" x14ac:dyDescent="0.25">
      <c r="A83" s="13" t="s">
        <v>284</v>
      </c>
      <c r="B83" s="14" t="s">
        <v>285</v>
      </c>
      <c r="C83" s="15">
        <v>72.31</v>
      </c>
      <c r="D83" s="15">
        <v>74.150000000000006</v>
      </c>
      <c r="E83" s="15">
        <v>63.75</v>
      </c>
      <c r="F83" s="16">
        <f>'01_PARÂMETROS'!$B$4*D83+'01_PARÂMETROS'!$B$5*C83+'01_PARÂMETROS'!$B$6*E83</f>
        <v>71.945999999999998</v>
      </c>
      <c r="G83" s="17" t="str">
        <f t="shared" si="7"/>
        <v>✓</v>
      </c>
      <c r="H83" s="18">
        <v>70.069999999999993</v>
      </c>
      <c r="I83" s="18">
        <v>63.99</v>
      </c>
      <c r="J83" s="18">
        <v>46.18</v>
      </c>
      <c r="K83" s="19">
        <f>'01_PARÂMETROS'!$B$4*I83+'01_PARÂMETROS'!$B$5*H83+'01_PARÂMETROS'!$B$6*J83</f>
        <v>63.446499999999993</v>
      </c>
      <c r="L83" s="20" t="str">
        <f t="shared" si="8"/>
        <v>✓</v>
      </c>
      <c r="M83" s="21">
        <f>AVERAGE(F83,K83)</f>
        <v>67.696249999999992</v>
      </c>
      <c r="N83" s="22">
        <f>IFERROR(M83/'01_PARÂMETROS'!$B$9,"")</f>
        <v>1.3539249999999998</v>
      </c>
      <c r="O83" s="32">
        <f>IFERROR(MAX('01_PARÂMETROS'!$B$11,MIN('01_PARÂMETROS'!$B$12,N83)),"")</f>
        <v>1.3539249999999998</v>
      </c>
    </row>
    <row r="84" spans="1:15" ht="13.5" customHeight="1" x14ac:dyDescent="0.25">
      <c r="A84" s="24" t="s">
        <v>286</v>
      </c>
      <c r="B84" s="25" t="s">
        <v>287</v>
      </c>
      <c r="C84" s="27">
        <v>0</v>
      </c>
      <c r="D84" s="27">
        <v>0</v>
      </c>
      <c r="E84" s="27">
        <v>0</v>
      </c>
      <c r="F84" s="28">
        <v>0</v>
      </c>
      <c r="G84" s="29" t="str">
        <f t="shared" si="7"/>
        <v>✗</v>
      </c>
      <c r="H84" s="27">
        <v>0</v>
      </c>
      <c r="I84" s="27">
        <v>0</v>
      </c>
      <c r="J84" s="27">
        <v>0</v>
      </c>
      <c r="K84" s="28">
        <v>0</v>
      </c>
      <c r="L84" s="29" t="str">
        <f t="shared" si="8"/>
        <v>✗</v>
      </c>
      <c r="M84" s="30"/>
      <c r="N84" s="28"/>
      <c r="O84" s="31"/>
    </row>
    <row r="85" spans="1:15" ht="13.5" customHeight="1" x14ac:dyDescent="0.25">
      <c r="A85" s="13" t="s">
        <v>288</v>
      </c>
      <c r="B85" s="14" t="s">
        <v>289</v>
      </c>
      <c r="C85" s="15">
        <v>59.43</v>
      </c>
      <c r="D85" s="15">
        <v>60.36</v>
      </c>
      <c r="E85" s="15">
        <v>39.090000000000003</v>
      </c>
      <c r="F85" s="16">
        <f>'01_PARÂMETROS'!$B$4*D85+'01_PARÂMETROS'!$B$5*C85+'01_PARÂMETROS'!$B$6*E85</f>
        <v>56.844000000000001</v>
      </c>
      <c r="G85" s="17" t="str">
        <f t="shared" si="7"/>
        <v>✓</v>
      </c>
      <c r="H85" s="18">
        <v>62.55</v>
      </c>
      <c r="I85" s="18">
        <v>64.78</v>
      </c>
      <c r="J85" s="18">
        <v>55.74</v>
      </c>
      <c r="K85" s="19">
        <f>'01_PARÂMETROS'!$B$4*I85+'01_PARÂMETROS'!$B$5*H85+'01_PARÂMETROS'!$B$6*J85</f>
        <v>62.643500000000003</v>
      </c>
      <c r="L85" s="20" t="str">
        <f t="shared" si="8"/>
        <v>✓</v>
      </c>
      <c r="M85" s="21">
        <f t="shared" ref="M85:M97" si="9">AVERAGE(F85,K85)</f>
        <v>59.743750000000006</v>
      </c>
      <c r="N85" s="22">
        <f>IFERROR(M85/'01_PARÂMETROS'!$B$9,"")</f>
        <v>1.1948750000000001</v>
      </c>
      <c r="O85" s="23">
        <f>IFERROR(MAX('01_PARÂMETROS'!$B$11,MIN('01_PARÂMETROS'!$B$12,N85)),"")</f>
        <v>1.1948750000000001</v>
      </c>
    </row>
    <row r="86" spans="1:15" ht="13.5" customHeight="1" x14ac:dyDescent="0.25">
      <c r="A86" s="24" t="s">
        <v>290</v>
      </c>
      <c r="B86" s="25" t="s">
        <v>291</v>
      </c>
      <c r="C86" s="15">
        <v>100</v>
      </c>
      <c r="D86" s="27">
        <v>0</v>
      </c>
      <c r="E86" s="27">
        <v>0</v>
      </c>
      <c r="F86" s="16">
        <f>'01_PARÂMETROS'!$B$4*D86+'01_PARÂMETROS'!$B$5*C86+'01_PARÂMETROS'!$B$6*E86</f>
        <v>35</v>
      </c>
      <c r="G86" s="17" t="str">
        <f t="shared" si="7"/>
        <v>✓</v>
      </c>
      <c r="H86" s="18">
        <v>99.92</v>
      </c>
      <c r="I86" s="27">
        <v>0</v>
      </c>
      <c r="J86" s="27">
        <v>0</v>
      </c>
      <c r="K86" s="19">
        <f>'01_PARÂMETROS'!$B$4*I86+'01_PARÂMETROS'!$B$5*H86+'01_PARÂMETROS'!$B$6*J86</f>
        <v>34.972000000000001</v>
      </c>
      <c r="L86" s="20" t="str">
        <f t="shared" si="8"/>
        <v>✓</v>
      </c>
      <c r="M86" s="21">
        <f t="shared" si="9"/>
        <v>34.986000000000004</v>
      </c>
      <c r="N86" s="22">
        <f>IFERROR(M86/'01_PARÂMETROS'!$B$9,"")</f>
        <v>0.69972000000000012</v>
      </c>
      <c r="O86" s="26">
        <f>IFERROR(MAX('01_PARÂMETROS'!$B$11,MIN('01_PARÂMETROS'!$B$12,N86)),"")</f>
        <v>0.75</v>
      </c>
    </row>
    <row r="87" spans="1:15" ht="13.5" customHeight="1" x14ac:dyDescent="0.25">
      <c r="A87" s="13" t="s">
        <v>292</v>
      </c>
      <c r="B87" s="14" t="s">
        <v>293</v>
      </c>
      <c r="C87" s="15">
        <v>92.01</v>
      </c>
      <c r="D87" s="15">
        <v>95.56</v>
      </c>
      <c r="E87" s="15">
        <v>81.75</v>
      </c>
      <c r="F87" s="16">
        <f>'01_PARÂMETROS'!$B$4*D87+'01_PARÂMETROS'!$B$5*C87+'01_PARÂMETROS'!$B$6*E87</f>
        <v>92.245999999999995</v>
      </c>
      <c r="G87" s="17" t="str">
        <f t="shared" si="7"/>
        <v>✓</v>
      </c>
      <c r="H87" s="18">
        <v>90.85</v>
      </c>
      <c r="I87" s="18">
        <v>95.34</v>
      </c>
      <c r="J87" s="18">
        <v>84.03</v>
      </c>
      <c r="K87" s="19">
        <f>'01_PARÂMETROS'!$B$4*I87+'01_PARÂMETROS'!$B$5*H87+'01_PARÂMETROS'!$B$6*J87</f>
        <v>92.072000000000003</v>
      </c>
      <c r="L87" s="20" t="str">
        <f t="shared" si="8"/>
        <v>✓</v>
      </c>
      <c r="M87" s="21">
        <f t="shared" si="9"/>
        <v>92.158999999999992</v>
      </c>
      <c r="N87" s="22">
        <f>IFERROR(M87/'01_PARÂMETROS'!$B$9,"")</f>
        <v>1.8431799999999998</v>
      </c>
      <c r="O87" s="32">
        <f>IFERROR(MAX('01_PARÂMETROS'!$B$11,MIN('01_PARÂMETROS'!$B$12,N87)),"")</f>
        <v>1.4</v>
      </c>
    </row>
    <row r="88" spans="1:15" ht="13.5" customHeight="1" x14ac:dyDescent="0.25">
      <c r="A88" s="24" t="s">
        <v>294</v>
      </c>
      <c r="B88" s="25" t="s">
        <v>295</v>
      </c>
      <c r="C88" s="15">
        <v>93.56</v>
      </c>
      <c r="D88" s="15">
        <v>82.87</v>
      </c>
      <c r="E88" s="15">
        <v>72.08</v>
      </c>
      <c r="F88" s="16">
        <f>'01_PARÂMETROS'!$B$4*D88+'01_PARÂMETROS'!$B$5*C88+'01_PARÂMETROS'!$B$6*E88</f>
        <v>84.993000000000009</v>
      </c>
      <c r="G88" s="17" t="str">
        <f t="shared" si="7"/>
        <v>✓</v>
      </c>
      <c r="H88" s="18">
        <v>83.71</v>
      </c>
      <c r="I88" s="18">
        <v>56.96</v>
      </c>
      <c r="J88" s="18">
        <v>12.43</v>
      </c>
      <c r="K88" s="19">
        <f>'01_PARÂMETROS'!$B$4*I88+'01_PARÂMETROS'!$B$5*H88+'01_PARÂMETROS'!$B$6*J88</f>
        <v>59.642999999999994</v>
      </c>
      <c r="L88" s="20" t="str">
        <f t="shared" si="8"/>
        <v>✓</v>
      </c>
      <c r="M88" s="21">
        <f t="shared" si="9"/>
        <v>72.317999999999998</v>
      </c>
      <c r="N88" s="22">
        <f>IFERROR(M88/'01_PARÂMETROS'!$B$9,"")</f>
        <v>1.4463599999999999</v>
      </c>
      <c r="O88" s="32">
        <f>IFERROR(MAX('01_PARÂMETROS'!$B$11,MIN('01_PARÂMETROS'!$B$12,N88)),"")</f>
        <v>1.4</v>
      </c>
    </row>
    <row r="89" spans="1:15" ht="13.5" customHeight="1" x14ac:dyDescent="0.25">
      <c r="A89" s="13" t="s">
        <v>296</v>
      </c>
      <c r="B89" s="14" t="s">
        <v>297</v>
      </c>
      <c r="C89" s="15">
        <v>65.790000000000006</v>
      </c>
      <c r="D89" s="15">
        <v>35.549999999999997</v>
      </c>
      <c r="E89" s="15">
        <v>11.09</v>
      </c>
      <c r="F89" s="16">
        <f>'01_PARÂMETROS'!$B$4*D89+'01_PARÂMETROS'!$B$5*C89+'01_PARÂMETROS'!$B$6*E89</f>
        <v>42.465000000000003</v>
      </c>
      <c r="G89" s="17" t="str">
        <f t="shared" si="7"/>
        <v>✓</v>
      </c>
      <c r="H89" s="18">
        <v>62.63</v>
      </c>
      <c r="I89" s="18">
        <v>33.19</v>
      </c>
      <c r="J89" s="18">
        <v>13.38</v>
      </c>
      <c r="K89" s="19">
        <f>'01_PARÂMETROS'!$B$4*I89+'01_PARÂMETROS'!$B$5*H89+'01_PARÂMETROS'!$B$6*J89</f>
        <v>40.522500000000001</v>
      </c>
      <c r="L89" s="20" t="str">
        <f t="shared" si="8"/>
        <v>✓</v>
      </c>
      <c r="M89" s="21">
        <f t="shared" si="9"/>
        <v>41.493750000000006</v>
      </c>
      <c r="N89" s="22">
        <f>IFERROR(M89/'01_PARÂMETROS'!$B$9,"")</f>
        <v>0.82987500000000014</v>
      </c>
      <c r="O89" s="26">
        <f>IFERROR(MAX('01_PARÂMETROS'!$B$11,MIN('01_PARÂMETROS'!$B$12,N89)),"")</f>
        <v>0.82987500000000014</v>
      </c>
    </row>
    <row r="90" spans="1:15" ht="13.5" customHeight="1" x14ac:dyDescent="0.25">
      <c r="A90" s="24" t="s">
        <v>298</v>
      </c>
      <c r="B90" s="25" t="s">
        <v>299</v>
      </c>
      <c r="C90" s="15">
        <v>70.75</v>
      </c>
      <c r="D90" s="15">
        <v>65.430000000000007</v>
      </c>
      <c r="E90" s="15">
        <v>48.6</v>
      </c>
      <c r="F90" s="16">
        <f>'01_PARÂMETROS'!$B$4*D90+'01_PARÂMETROS'!$B$5*C90+'01_PARÂMETROS'!$B$6*E90</f>
        <v>64.767500000000013</v>
      </c>
      <c r="G90" s="17" t="str">
        <f t="shared" si="7"/>
        <v>✓</v>
      </c>
      <c r="H90" s="18">
        <v>67.05</v>
      </c>
      <c r="I90" s="18">
        <v>49.78</v>
      </c>
      <c r="J90" s="18">
        <v>35.270000000000003</v>
      </c>
      <c r="K90" s="19">
        <f>'01_PARÂMETROS'!$B$4*I90+'01_PARÂMETROS'!$B$5*H90+'01_PARÂMETROS'!$B$6*J90</f>
        <v>53.648000000000003</v>
      </c>
      <c r="L90" s="20" t="str">
        <f t="shared" si="8"/>
        <v>✓</v>
      </c>
      <c r="M90" s="21">
        <f t="shared" si="9"/>
        <v>59.207750000000004</v>
      </c>
      <c r="N90" s="22">
        <f>IFERROR(M90/'01_PARÂMETROS'!$B$9,"")</f>
        <v>1.1841550000000001</v>
      </c>
      <c r="O90" s="23">
        <f>IFERROR(MAX('01_PARÂMETROS'!$B$11,MIN('01_PARÂMETROS'!$B$12,N90)),"")</f>
        <v>1.1841550000000001</v>
      </c>
    </row>
    <row r="91" spans="1:15" ht="13.5" customHeight="1" x14ac:dyDescent="0.25">
      <c r="A91" s="13" t="s">
        <v>300</v>
      </c>
      <c r="B91" s="14" t="s">
        <v>301</v>
      </c>
      <c r="C91" s="15">
        <v>86.73</v>
      </c>
      <c r="D91" s="15">
        <v>95.08</v>
      </c>
      <c r="E91" s="15">
        <v>89.37</v>
      </c>
      <c r="F91" s="16">
        <f>'01_PARÂMETROS'!$B$4*D91+'01_PARÂMETROS'!$B$5*C91+'01_PARÂMETROS'!$B$6*E91</f>
        <v>91.301000000000002</v>
      </c>
      <c r="G91" s="17" t="str">
        <f t="shared" si="7"/>
        <v>✓</v>
      </c>
      <c r="H91" s="18">
        <v>83.02</v>
      </c>
      <c r="I91" s="18">
        <v>93.52</v>
      </c>
      <c r="J91" s="18">
        <v>89.41</v>
      </c>
      <c r="K91" s="19">
        <f>'01_PARÂMETROS'!$B$4*I91+'01_PARÂMETROS'!$B$5*H91+'01_PARÂMETROS'!$B$6*J91</f>
        <v>89.228499999999997</v>
      </c>
      <c r="L91" s="20" t="str">
        <f t="shared" si="8"/>
        <v>✓</v>
      </c>
      <c r="M91" s="21">
        <f t="shared" si="9"/>
        <v>90.264749999999992</v>
      </c>
      <c r="N91" s="22">
        <f>IFERROR(M91/'01_PARÂMETROS'!$B$9,"")</f>
        <v>1.8052949999999999</v>
      </c>
      <c r="O91" s="32">
        <f>IFERROR(MAX('01_PARÂMETROS'!$B$11,MIN('01_PARÂMETROS'!$B$12,N91)),"")</f>
        <v>1.4</v>
      </c>
    </row>
    <row r="92" spans="1:15" ht="13.5" customHeight="1" x14ac:dyDescent="0.25">
      <c r="A92" s="24" t="s">
        <v>302</v>
      </c>
      <c r="B92" s="25" t="s">
        <v>303</v>
      </c>
      <c r="C92" s="15">
        <v>70.91</v>
      </c>
      <c r="D92" s="15">
        <v>86.52</v>
      </c>
      <c r="E92" s="15">
        <v>82.71</v>
      </c>
      <c r="F92" s="16">
        <f>'01_PARÂMETROS'!$B$4*D92+'01_PARÂMETROS'!$B$5*C92+'01_PARÂMETROS'!$B$6*E92</f>
        <v>80.484999999999985</v>
      </c>
      <c r="G92" s="17" t="str">
        <f t="shared" si="7"/>
        <v>✓</v>
      </c>
      <c r="H92" s="18">
        <v>56.81</v>
      </c>
      <c r="I92" s="18">
        <v>63.83</v>
      </c>
      <c r="J92" s="18">
        <v>50.05</v>
      </c>
      <c r="K92" s="19">
        <f>'01_PARÂMETROS'!$B$4*I92+'01_PARÂMETROS'!$B$5*H92+'01_PARÂMETROS'!$B$6*J92</f>
        <v>59.305999999999997</v>
      </c>
      <c r="L92" s="20" t="str">
        <f t="shared" si="8"/>
        <v>✓</v>
      </c>
      <c r="M92" s="21">
        <f t="shared" si="9"/>
        <v>69.895499999999998</v>
      </c>
      <c r="N92" s="22">
        <f>IFERROR(M92/'01_PARÂMETROS'!$B$9,"")</f>
        <v>1.39791</v>
      </c>
      <c r="O92" s="32">
        <f>IFERROR(MAX('01_PARÂMETROS'!$B$11,MIN('01_PARÂMETROS'!$B$12,N92)),"")</f>
        <v>1.39791</v>
      </c>
    </row>
    <row r="93" spans="1:15" ht="13.5" customHeight="1" x14ac:dyDescent="0.25">
      <c r="A93" s="13" t="s">
        <v>304</v>
      </c>
      <c r="B93" s="14" t="s">
        <v>305</v>
      </c>
      <c r="C93" s="15">
        <v>65.87</v>
      </c>
      <c r="D93" s="27">
        <v>0</v>
      </c>
      <c r="E93" s="27">
        <v>0</v>
      </c>
      <c r="F93" s="16">
        <f>'01_PARÂMETROS'!$B$4*D93+'01_PARÂMETROS'!$B$5*C93+'01_PARÂMETROS'!$B$6*E93</f>
        <v>23.054500000000001</v>
      </c>
      <c r="G93" s="17" t="str">
        <f t="shared" si="7"/>
        <v>✓</v>
      </c>
      <c r="H93" s="18">
        <v>42.62</v>
      </c>
      <c r="I93" s="27">
        <v>0</v>
      </c>
      <c r="J93" s="27">
        <v>0</v>
      </c>
      <c r="K93" s="19">
        <f>'01_PARÂMETROS'!$B$4*I93+'01_PARÂMETROS'!$B$5*H93+'01_PARÂMETROS'!$B$6*J93</f>
        <v>14.916999999999998</v>
      </c>
      <c r="L93" s="20" t="str">
        <f t="shared" si="8"/>
        <v>✓</v>
      </c>
      <c r="M93" s="21">
        <f t="shared" si="9"/>
        <v>18.985749999999999</v>
      </c>
      <c r="N93" s="22">
        <f>IFERROR(M93/'01_PARÂMETROS'!$B$9,"")</f>
        <v>0.37971499999999997</v>
      </c>
      <c r="O93" s="26">
        <f>IFERROR(MAX('01_PARÂMETROS'!$B$11,MIN('01_PARÂMETROS'!$B$12,N93)),"")</f>
        <v>0.75</v>
      </c>
    </row>
    <row r="94" spans="1:15" ht="13.5" customHeight="1" x14ac:dyDescent="0.25">
      <c r="A94" s="24" t="s">
        <v>306</v>
      </c>
      <c r="B94" s="25" t="s">
        <v>307</v>
      </c>
      <c r="C94" s="15">
        <v>47.95</v>
      </c>
      <c r="D94" s="15">
        <v>44.11</v>
      </c>
      <c r="E94" s="15">
        <v>23.86</v>
      </c>
      <c r="F94" s="16">
        <f>'01_PARÂMETROS'!$B$4*D94+'01_PARÂMETROS'!$B$5*C94+'01_PARÂMETROS'!$B$6*E94</f>
        <v>42.416499999999999</v>
      </c>
      <c r="G94" s="17" t="str">
        <f t="shared" si="7"/>
        <v>✓</v>
      </c>
      <c r="H94" s="18">
        <v>45.34</v>
      </c>
      <c r="I94" s="18">
        <v>40.54</v>
      </c>
      <c r="J94" s="18">
        <v>25.08</v>
      </c>
      <c r="K94" s="19">
        <f>'01_PARÂMETROS'!$B$4*I94+'01_PARÂMETROS'!$B$5*H94+'01_PARÂMETROS'!$B$6*J94</f>
        <v>39.900999999999996</v>
      </c>
      <c r="L94" s="20" t="str">
        <f t="shared" si="8"/>
        <v>✓</v>
      </c>
      <c r="M94" s="21">
        <f t="shared" si="9"/>
        <v>41.158749999999998</v>
      </c>
      <c r="N94" s="22">
        <f>IFERROR(M94/'01_PARÂMETROS'!$B$9,"")</f>
        <v>0.82317499999999999</v>
      </c>
      <c r="O94" s="26">
        <f>IFERROR(MAX('01_PARÂMETROS'!$B$11,MIN('01_PARÂMETROS'!$B$12,N94)),"")</f>
        <v>0.82317499999999999</v>
      </c>
    </row>
    <row r="95" spans="1:15" ht="13.5" customHeight="1" x14ac:dyDescent="0.25">
      <c r="A95" s="13" t="s">
        <v>308</v>
      </c>
      <c r="B95" s="14" t="s">
        <v>309</v>
      </c>
      <c r="C95" s="15">
        <v>85.41</v>
      </c>
      <c r="D95" s="15">
        <v>84.46</v>
      </c>
      <c r="E95" s="15">
        <v>92.54</v>
      </c>
      <c r="F95" s="16">
        <f>'01_PARÂMETROS'!$B$4*D95+'01_PARÂMETROS'!$B$5*C95+'01_PARÂMETROS'!$B$6*E95</f>
        <v>86.004499999999993</v>
      </c>
      <c r="G95" s="17" t="str">
        <f t="shared" si="7"/>
        <v>✓</v>
      </c>
      <c r="H95" s="18">
        <v>82.94</v>
      </c>
      <c r="I95" s="18">
        <v>89.34</v>
      </c>
      <c r="J95" s="18">
        <v>96.68</v>
      </c>
      <c r="K95" s="19">
        <f>'01_PARÂMETROS'!$B$4*I95+'01_PARÂMETROS'!$B$5*H95+'01_PARÂMETROS'!$B$6*J95</f>
        <v>88.200999999999993</v>
      </c>
      <c r="L95" s="20" t="str">
        <f t="shared" si="8"/>
        <v>✓</v>
      </c>
      <c r="M95" s="21">
        <f t="shared" si="9"/>
        <v>87.102749999999986</v>
      </c>
      <c r="N95" s="22">
        <f>IFERROR(M95/'01_PARÂMETROS'!$B$9,"")</f>
        <v>1.7420549999999997</v>
      </c>
      <c r="O95" s="32">
        <f>IFERROR(MAX('01_PARÂMETROS'!$B$11,MIN('01_PARÂMETROS'!$B$12,N95)),"")</f>
        <v>1.4</v>
      </c>
    </row>
    <row r="96" spans="1:15" ht="13.5" customHeight="1" x14ac:dyDescent="0.25">
      <c r="A96" s="24" t="s">
        <v>310</v>
      </c>
      <c r="B96" s="25" t="s">
        <v>311</v>
      </c>
      <c r="C96" s="15">
        <v>55.16</v>
      </c>
      <c r="D96" s="15">
        <v>69.48</v>
      </c>
      <c r="E96" s="15">
        <v>26.16</v>
      </c>
      <c r="F96" s="16">
        <f>'01_PARÂMETROS'!$B$4*D96+'01_PARÂMETROS'!$B$5*C96+'01_PARÂMETROS'!$B$6*E96</f>
        <v>57.97</v>
      </c>
      <c r="G96" s="17" t="str">
        <f t="shared" si="7"/>
        <v>✓</v>
      </c>
      <c r="H96" s="18">
        <v>54.87</v>
      </c>
      <c r="I96" s="18">
        <v>82.62</v>
      </c>
      <c r="J96" s="18">
        <v>71.540000000000006</v>
      </c>
      <c r="K96" s="19">
        <f>'01_PARÂMETROS'!$B$4*I96+'01_PARÂMETROS'!$B$5*H96+'01_PARÂMETROS'!$B$6*J96</f>
        <v>71.245499999999993</v>
      </c>
      <c r="L96" s="20" t="str">
        <f t="shared" si="8"/>
        <v>✓</v>
      </c>
      <c r="M96" s="21">
        <f t="shared" si="9"/>
        <v>64.607749999999996</v>
      </c>
      <c r="N96" s="22">
        <f>IFERROR(M96/'01_PARÂMETROS'!$B$9,"")</f>
        <v>1.2921549999999999</v>
      </c>
      <c r="O96" s="32">
        <f>IFERROR(MAX('01_PARÂMETROS'!$B$11,MIN('01_PARÂMETROS'!$B$12,N96)),"")</f>
        <v>1.2921549999999999</v>
      </c>
    </row>
    <row r="97" spans="1:15" ht="13.5" customHeight="1" x14ac:dyDescent="0.25">
      <c r="A97" s="13" t="s">
        <v>312</v>
      </c>
      <c r="B97" s="14" t="s">
        <v>313</v>
      </c>
      <c r="C97" s="15">
        <v>86.5</v>
      </c>
      <c r="D97" s="15">
        <v>98.57</v>
      </c>
      <c r="E97" s="15">
        <v>55.19</v>
      </c>
      <c r="F97" s="16">
        <f>'01_PARÂMETROS'!$B$4*D97+'01_PARÂMETROS'!$B$5*C97+'01_PARÂMETROS'!$B$6*E97</f>
        <v>87.838499999999996</v>
      </c>
      <c r="G97" s="17" t="str">
        <f t="shared" si="7"/>
        <v>✓</v>
      </c>
      <c r="H97" s="18">
        <v>83.64</v>
      </c>
      <c r="I97" s="18">
        <v>97.23</v>
      </c>
      <c r="J97" s="18">
        <v>19.07</v>
      </c>
      <c r="K97" s="19">
        <f>'01_PARÂMETROS'!$B$4*I97+'01_PARÂMETROS'!$B$5*H97+'01_PARÂMETROS'!$B$6*J97</f>
        <v>80.749499999999998</v>
      </c>
      <c r="L97" s="20" t="str">
        <f t="shared" si="8"/>
        <v>✓</v>
      </c>
      <c r="M97" s="21">
        <f t="shared" si="9"/>
        <v>84.293999999999997</v>
      </c>
      <c r="N97" s="22">
        <f>IFERROR(M97/'01_PARÂMETROS'!$B$9,"")</f>
        <v>1.68588</v>
      </c>
      <c r="O97" s="32">
        <f>IFERROR(MAX('01_PARÂMETROS'!$B$11,MIN('01_PARÂMETROS'!$B$12,N97)),"")</f>
        <v>1.4</v>
      </c>
    </row>
    <row r="98" spans="1:15" ht="13.5" customHeight="1" x14ac:dyDescent="0.25">
      <c r="A98" s="24" t="s">
        <v>314</v>
      </c>
      <c r="B98" s="25" t="s">
        <v>315</v>
      </c>
      <c r="C98" s="27">
        <v>0</v>
      </c>
      <c r="D98" s="27">
        <v>0</v>
      </c>
      <c r="E98" s="27">
        <v>0</v>
      </c>
      <c r="F98" s="28">
        <v>0</v>
      </c>
      <c r="G98" s="29" t="str">
        <f t="shared" si="7"/>
        <v>✗</v>
      </c>
      <c r="H98" s="18">
        <v>61</v>
      </c>
      <c r="I98" s="18">
        <v>72.75</v>
      </c>
      <c r="J98" s="18">
        <v>13.78</v>
      </c>
      <c r="K98" s="19">
        <f>'01_PARÂMETROS'!$B$4*I98+'01_PARÂMETROS'!$B$5*H98+'01_PARÂMETROS'!$B$6*J98</f>
        <v>59.791999999999994</v>
      </c>
      <c r="L98" s="20" t="str">
        <f t="shared" si="8"/>
        <v>✓</v>
      </c>
      <c r="M98" s="21">
        <f>K98</f>
        <v>59.791999999999994</v>
      </c>
      <c r="N98" s="22">
        <f>IFERROR(M98/'01_PARÂMETROS'!$B$9,"")</f>
        <v>1.1958399999999998</v>
      </c>
      <c r="O98" s="23">
        <f>IFERROR(MAX('01_PARÂMETROS'!$B$11,MIN('01_PARÂMETROS'!$B$12,N98)),"")</f>
        <v>1.1958399999999998</v>
      </c>
    </row>
    <row r="99" spans="1:15" ht="13.5" customHeight="1" x14ac:dyDescent="0.25">
      <c r="A99" s="13" t="s">
        <v>316</v>
      </c>
      <c r="B99" s="14" t="s">
        <v>317</v>
      </c>
      <c r="C99" s="27">
        <v>0</v>
      </c>
      <c r="D99" s="27">
        <v>0</v>
      </c>
      <c r="E99" s="27">
        <v>0</v>
      </c>
      <c r="F99" s="28">
        <v>0</v>
      </c>
      <c r="G99" s="29" t="str">
        <f t="shared" si="7"/>
        <v>✗</v>
      </c>
      <c r="H99" s="18">
        <v>100</v>
      </c>
      <c r="I99" s="18">
        <v>99.92</v>
      </c>
      <c r="J99" s="18">
        <v>99.52</v>
      </c>
      <c r="K99" s="19">
        <f>'01_PARÂMETROS'!$B$4*I99+'01_PARÂMETROS'!$B$5*H99+'01_PARÂMETROS'!$B$6*J99</f>
        <v>99.888000000000005</v>
      </c>
      <c r="L99" s="20" t="str">
        <f t="shared" si="8"/>
        <v>✓</v>
      </c>
      <c r="M99" s="21">
        <f>K99</f>
        <v>99.888000000000005</v>
      </c>
      <c r="N99" s="22">
        <f>IFERROR(M99/'01_PARÂMETROS'!$B$9,"")</f>
        <v>1.9977600000000002</v>
      </c>
      <c r="O99" s="32">
        <f>IFERROR(MAX('01_PARÂMETROS'!$B$11,MIN('01_PARÂMETROS'!$B$12,N99)),"")</f>
        <v>1.4</v>
      </c>
    </row>
    <row r="100" spans="1:15" ht="13.5" customHeight="1" x14ac:dyDescent="0.25">
      <c r="A100" s="24" t="s">
        <v>318</v>
      </c>
      <c r="B100" s="25" t="s">
        <v>319</v>
      </c>
      <c r="C100" s="15">
        <v>47.56</v>
      </c>
      <c r="D100" s="15">
        <v>68.44</v>
      </c>
      <c r="E100" s="15">
        <v>85.72</v>
      </c>
      <c r="F100" s="16">
        <f>'01_PARÂMETROS'!$B$4*D100+'01_PARÂMETROS'!$B$5*C100+'01_PARÂMETROS'!$B$6*E100</f>
        <v>63.723999999999997</v>
      </c>
      <c r="G100" s="17" t="str">
        <f t="shared" si="7"/>
        <v>✓</v>
      </c>
      <c r="H100" s="18">
        <v>57.51</v>
      </c>
      <c r="I100" s="18">
        <v>80.33</v>
      </c>
      <c r="J100" s="18">
        <v>75.58</v>
      </c>
      <c r="K100" s="19">
        <f>'01_PARÂMETROS'!$B$4*I100+'01_PARÂMETROS'!$B$5*H100+'01_PARÂMETROS'!$B$6*J100</f>
        <v>71.630499999999998</v>
      </c>
      <c r="L100" s="20" t="str">
        <f t="shared" si="8"/>
        <v>✓</v>
      </c>
      <c r="M100" s="21">
        <f>AVERAGE(F100,K100)</f>
        <v>67.677250000000001</v>
      </c>
      <c r="N100" s="22">
        <f>IFERROR(M100/'01_PARÂMETROS'!$B$9,"")</f>
        <v>1.353545</v>
      </c>
      <c r="O100" s="32">
        <f>IFERROR(MAX('01_PARÂMETROS'!$B$11,MIN('01_PARÂMETROS'!$B$12,N100)),"")</f>
        <v>1.353545</v>
      </c>
    </row>
    <row r="101" spans="1:15" ht="13.5" customHeight="1" x14ac:dyDescent="0.25">
      <c r="A101" s="13" t="s">
        <v>320</v>
      </c>
      <c r="B101" s="14" t="s">
        <v>321</v>
      </c>
      <c r="C101" s="15">
        <v>49.97</v>
      </c>
      <c r="D101" s="15">
        <v>49.97</v>
      </c>
      <c r="E101" s="15">
        <v>21.4</v>
      </c>
      <c r="F101" s="16">
        <f>'01_PARÂMETROS'!$B$4*D101+'01_PARÂMETROS'!$B$5*C101+'01_PARÂMETROS'!$B$6*E101</f>
        <v>45.6845</v>
      </c>
      <c r="G101" s="17" t="str">
        <f t="shared" ref="G101:G132" si="10">IF(AND(C101=0,D101=0,E101=0),"✗","✓")</f>
        <v>✓</v>
      </c>
      <c r="H101" s="18">
        <v>51.07</v>
      </c>
      <c r="I101" s="18">
        <v>48.91</v>
      </c>
      <c r="J101" s="18">
        <v>45.15</v>
      </c>
      <c r="K101" s="19">
        <f>'01_PARÂMETROS'!$B$4*I101+'01_PARÂMETROS'!$B$5*H101+'01_PARÂMETROS'!$B$6*J101</f>
        <v>49.101999999999997</v>
      </c>
      <c r="L101" s="20" t="str">
        <f t="shared" ref="L101:L137" si="11">IF(AND(H101=0,I101=0,J101=0),"✗","✓")</f>
        <v>✓</v>
      </c>
      <c r="M101" s="21">
        <f>AVERAGE(F101,K101)</f>
        <v>47.393249999999995</v>
      </c>
      <c r="N101" s="22">
        <f>IFERROR(M101/'01_PARÂMETROS'!$B$9,"")</f>
        <v>0.94786499999999985</v>
      </c>
      <c r="O101" s="34">
        <f>IFERROR(MAX('01_PARÂMETROS'!$B$11,MIN('01_PARÂMETROS'!$B$12,N101)),"")</f>
        <v>0.94786499999999985</v>
      </c>
    </row>
    <row r="102" spans="1:15" ht="13.5" customHeight="1" x14ac:dyDescent="0.25">
      <c r="A102" s="24" t="s">
        <v>322</v>
      </c>
      <c r="B102" s="25" t="s">
        <v>323</v>
      </c>
      <c r="C102" s="15">
        <v>64.39</v>
      </c>
      <c r="D102" s="15">
        <v>58.85</v>
      </c>
      <c r="E102" s="15">
        <v>58.68</v>
      </c>
      <c r="F102" s="16">
        <f>'01_PARÂMETROS'!$B$4*D102+'01_PARÂMETROS'!$B$5*C102+'01_PARÂMETROS'!$B$6*E102</f>
        <v>60.763500000000001</v>
      </c>
      <c r="G102" s="17" t="str">
        <f t="shared" si="10"/>
        <v>✓</v>
      </c>
      <c r="H102" s="18">
        <v>66.81</v>
      </c>
      <c r="I102" s="18">
        <v>60.04</v>
      </c>
      <c r="J102" s="18">
        <v>55.5</v>
      </c>
      <c r="K102" s="19">
        <f>'01_PARÂMETROS'!$B$4*I102+'01_PARÂMETROS'!$B$5*H102+'01_PARÂMETROS'!$B$6*J102</f>
        <v>61.728499999999997</v>
      </c>
      <c r="L102" s="20" t="str">
        <f t="shared" si="11"/>
        <v>✓</v>
      </c>
      <c r="M102" s="21">
        <f>AVERAGE(F102,K102)</f>
        <v>61.245999999999995</v>
      </c>
      <c r="N102" s="22">
        <f>IFERROR(M102/'01_PARÂMETROS'!$B$9,"")</f>
        <v>1.22492</v>
      </c>
      <c r="O102" s="23">
        <f>IFERROR(MAX('01_PARÂMETROS'!$B$11,MIN('01_PARÂMETROS'!$B$12,N102)),"")</f>
        <v>1.22492</v>
      </c>
    </row>
    <row r="103" spans="1:15" ht="13.5" customHeight="1" x14ac:dyDescent="0.25">
      <c r="A103" s="13" t="s">
        <v>324</v>
      </c>
      <c r="B103" s="14" t="s">
        <v>325</v>
      </c>
      <c r="C103" s="15">
        <v>74.86</v>
      </c>
      <c r="D103" s="15">
        <v>95</v>
      </c>
      <c r="E103" s="15">
        <v>95.24</v>
      </c>
      <c r="F103" s="16">
        <f>'01_PARÂMETROS'!$B$4*D103+'01_PARÂMETROS'!$B$5*C103+'01_PARÂMETROS'!$B$6*E103</f>
        <v>87.986999999999995</v>
      </c>
      <c r="G103" s="17" t="str">
        <f t="shared" si="10"/>
        <v>✓</v>
      </c>
      <c r="H103" s="18">
        <v>57.2</v>
      </c>
      <c r="I103" s="18">
        <v>91.31</v>
      </c>
      <c r="J103" s="18">
        <v>96.83</v>
      </c>
      <c r="K103" s="19">
        <f>'01_PARÂMETROS'!$B$4*I103+'01_PARÂMETROS'!$B$5*H103+'01_PARÂMETROS'!$B$6*J103</f>
        <v>80.1995</v>
      </c>
      <c r="L103" s="20" t="str">
        <f t="shared" si="11"/>
        <v>✓</v>
      </c>
      <c r="M103" s="21">
        <f>AVERAGE(F103,K103)</f>
        <v>84.093249999999998</v>
      </c>
      <c r="N103" s="22">
        <f>IFERROR(M103/'01_PARÂMETROS'!$B$9,"")</f>
        <v>1.6818649999999999</v>
      </c>
      <c r="O103" s="32">
        <f>IFERROR(MAX('01_PARÂMETROS'!$B$11,MIN('01_PARÂMETROS'!$B$12,N103)),"")</f>
        <v>1.4</v>
      </c>
    </row>
    <row r="104" spans="1:15" ht="13.5" customHeight="1" x14ac:dyDescent="0.25">
      <c r="A104" s="24" t="s">
        <v>326</v>
      </c>
      <c r="B104" s="25" t="s">
        <v>327</v>
      </c>
      <c r="C104" s="15">
        <v>48.03</v>
      </c>
      <c r="D104" s="15">
        <v>76.37</v>
      </c>
      <c r="E104" s="15">
        <v>24.42</v>
      </c>
      <c r="F104" s="16">
        <f>'01_PARÂMETROS'!$B$4*D104+'01_PARÂMETROS'!$B$5*C104+'01_PARÂMETROS'!$B$6*E104</f>
        <v>58.658500000000004</v>
      </c>
      <c r="G104" s="17" t="str">
        <f t="shared" si="10"/>
        <v>✓</v>
      </c>
      <c r="H104" s="18">
        <v>16.649999999999999</v>
      </c>
      <c r="I104" s="18">
        <v>47.8</v>
      </c>
      <c r="J104" s="18">
        <v>65.930000000000007</v>
      </c>
      <c r="K104" s="19">
        <f>'01_PARÂMETROS'!$B$4*I104+'01_PARÂMETROS'!$B$5*H104+'01_PARÂMETROS'!$B$6*J104</f>
        <v>39.616999999999997</v>
      </c>
      <c r="L104" s="20" t="str">
        <f t="shared" si="11"/>
        <v>✓</v>
      </c>
      <c r="M104" s="21">
        <f>AVERAGE(F104,K104)</f>
        <v>49.137749999999997</v>
      </c>
      <c r="N104" s="22">
        <f>IFERROR(M104/'01_PARÂMETROS'!$B$9,"")</f>
        <v>0.98275499999999993</v>
      </c>
      <c r="O104" s="33">
        <f>IFERROR(MAX('01_PARÂMETROS'!$B$11,MIN('01_PARÂMETROS'!$B$12,N104)),"")</f>
        <v>0.98275499999999993</v>
      </c>
    </row>
    <row r="105" spans="1:15" ht="13.5" customHeight="1" x14ac:dyDescent="0.25">
      <c r="A105" s="13" t="s">
        <v>328</v>
      </c>
      <c r="B105" s="14" t="s">
        <v>329</v>
      </c>
      <c r="C105" s="27">
        <v>0</v>
      </c>
      <c r="D105" s="27">
        <v>0</v>
      </c>
      <c r="E105" s="27">
        <v>0</v>
      </c>
      <c r="F105" s="28">
        <v>0</v>
      </c>
      <c r="G105" s="29" t="str">
        <f t="shared" si="10"/>
        <v>✗</v>
      </c>
      <c r="H105" s="18">
        <v>99.3</v>
      </c>
      <c r="I105" s="18">
        <v>100</v>
      </c>
      <c r="J105" s="18">
        <v>100</v>
      </c>
      <c r="K105" s="19">
        <f>'01_PARÂMETROS'!$B$4*I105+'01_PARÂMETROS'!$B$5*H105+'01_PARÂMETROS'!$B$6*J105</f>
        <v>99.754999999999995</v>
      </c>
      <c r="L105" s="20" t="str">
        <f t="shared" si="11"/>
        <v>✓</v>
      </c>
      <c r="M105" s="21">
        <f>K105</f>
        <v>99.754999999999995</v>
      </c>
      <c r="N105" s="22">
        <f>IFERROR(M105/'01_PARÂMETROS'!$B$9,"")</f>
        <v>1.9950999999999999</v>
      </c>
      <c r="O105" s="32">
        <f>IFERROR(MAX('01_PARÂMETROS'!$B$11,MIN('01_PARÂMETROS'!$B$12,N105)),"")</f>
        <v>1.4</v>
      </c>
    </row>
    <row r="106" spans="1:15" ht="13.5" customHeight="1" x14ac:dyDescent="0.25">
      <c r="A106" s="24" t="s">
        <v>330</v>
      </c>
      <c r="B106" s="25" t="s">
        <v>331</v>
      </c>
      <c r="C106" s="15">
        <v>17</v>
      </c>
      <c r="D106" s="15">
        <v>40.299999999999997</v>
      </c>
      <c r="E106" s="15">
        <v>13.87</v>
      </c>
      <c r="F106" s="16">
        <f>'01_PARÂMETROS'!$B$4*D106+'01_PARÂMETROS'!$B$5*C106+'01_PARÂMETROS'!$B$6*E106</f>
        <v>28.180499999999999</v>
      </c>
      <c r="G106" s="17" t="str">
        <f t="shared" si="10"/>
        <v>✓</v>
      </c>
      <c r="H106" s="18">
        <v>19.600000000000001</v>
      </c>
      <c r="I106" s="18">
        <v>43.46</v>
      </c>
      <c r="J106" s="18">
        <v>13.22</v>
      </c>
      <c r="K106" s="19">
        <f>'01_PARÂMETROS'!$B$4*I106+'01_PARÂMETROS'!$B$5*H106+'01_PARÂMETROS'!$B$6*J106</f>
        <v>30.573</v>
      </c>
      <c r="L106" s="20" t="str">
        <f t="shared" si="11"/>
        <v>✓</v>
      </c>
      <c r="M106" s="21">
        <f>AVERAGE(F106,K106)</f>
        <v>29.376750000000001</v>
      </c>
      <c r="N106" s="22">
        <f>IFERROR(M106/'01_PARÂMETROS'!$B$9,"")</f>
        <v>0.58753500000000003</v>
      </c>
      <c r="O106" s="26">
        <f>IFERROR(MAX('01_PARÂMETROS'!$B$11,MIN('01_PARÂMETROS'!$B$12,N106)),"")</f>
        <v>0.75</v>
      </c>
    </row>
    <row r="107" spans="1:15" ht="13.5" customHeight="1" x14ac:dyDescent="0.25">
      <c r="A107" s="13" t="s">
        <v>332</v>
      </c>
      <c r="B107" s="14" t="s">
        <v>333</v>
      </c>
      <c r="C107" s="15">
        <v>52.14</v>
      </c>
      <c r="D107" s="15">
        <v>63.13</v>
      </c>
      <c r="E107" s="15">
        <v>97.77</v>
      </c>
      <c r="F107" s="16">
        <f>'01_PARÂMETROS'!$B$4*D107+'01_PARÂMETROS'!$B$5*C107+'01_PARÂMETROS'!$B$6*E107</f>
        <v>64.479500000000002</v>
      </c>
      <c r="G107" s="17" t="str">
        <f t="shared" si="10"/>
        <v>✓</v>
      </c>
      <c r="H107" s="18">
        <v>38.130000000000003</v>
      </c>
      <c r="I107" s="18">
        <v>69.75</v>
      </c>
      <c r="J107" s="18">
        <v>98.97</v>
      </c>
      <c r="K107" s="19">
        <f>'01_PARÂMETROS'!$B$4*I107+'01_PARÂMETROS'!$B$5*H107+'01_PARÂMETROS'!$B$6*J107</f>
        <v>63.066000000000003</v>
      </c>
      <c r="L107" s="20" t="str">
        <f t="shared" si="11"/>
        <v>✓</v>
      </c>
      <c r="M107" s="21">
        <f>AVERAGE(F107,K107)</f>
        <v>63.772750000000002</v>
      </c>
      <c r="N107" s="22">
        <f>IFERROR(M107/'01_PARÂMETROS'!$B$9,"")</f>
        <v>1.275455</v>
      </c>
      <c r="O107" s="32">
        <f>IFERROR(MAX('01_PARÂMETROS'!$B$11,MIN('01_PARÂMETROS'!$B$12,N107)),"")</f>
        <v>1.275455</v>
      </c>
    </row>
    <row r="108" spans="1:15" ht="13.5" customHeight="1" x14ac:dyDescent="0.25">
      <c r="A108" s="24" t="s">
        <v>334</v>
      </c>
      <c r="B108" s="25" t="s">
        <v>335</v>
      </c>
      <c r="C108" s="15">
        <v>87.9</v>
      </c>
      <c r="D108" s="27">
        <v>0</v>
      </c>
      <c r="E108" s="27">
        <v>0</v>
      </c>
      <c r="F108" s="16">
        <f>'01_PARÂMETROS'!$B$4*D108+'01_PARÂMETROS'!$B$5*C108+'01_PARÂMETROS'!$B$6*E108</f>
        <v>30.765000000000001</v>
      </c>
      <c r="G108" s="17" t="str">
        <f t="shared" si="10"/>
        <v>✓</v>
      </c>
      <c r="H108" s="27">
        <v>0</v>
      </c>
      <c r="I108" s="27">
        <v>0</v>
      </c>
      <c r="J108" s="27">
        <v>0</v>
      </c>
      <c r="K108" s="28">
        <v>0</v>
      </c>
      <c r="L108" s="29" t="str">
        <f t="shared" si="11"/>
        <v>✗</v>
      </c>
      <c r="M108" s="21">
        <f>F108</f>
        <v>30.765000000000001</v>
      </c>
      <c r="N108" s="22">
        <f>IFERROR(M108/'01_PARÂMETROS'!$B$9,"")</f>
        <v>0.61529999999999996</v>
      </c>
      <c r="O108" s="26">
        <f>IFERROR(MAX('01_PARÂMETROS'!$B$11,MIN('01_PARÂMETROS'!$B$12,N108)),"")</f>
        <v>0.75</v>
      </c>
    </row>
    <row r="109" spans="1:15" ht="13.5" customHeight="1" x14ac:dyDescent="0.25">
      <c r="A109" s="13" t="s">
        <v>336</v>
      </c>
      <c r="B109" s="14" t="s">
        <v>337</v>
      </c>
      <c r="C109" s="27">
        <v>0</v>
      </c>
      <c r="D109" s="27">
        <v>0</v>
      </c>
      <c r="E109" s="27">
        <v>0</v>
      </c>
      <c r="F109" s="28">
        <v>0</v>
      </c>
      <c r="G109" s="29" t="str">
        <f t="shared" si="10"/>
        <v>✗</v>
      </c>
      <c r="H109" s="27">
        <v>0</v>
      </c>
      <c r="I109" s="27">
        <v>0</v>
      </c>
      <c r="J109" s="27">
        <v>0</v>
      </c>
      <c r="K109" s="28">
        <v>0</v>
      </c>
      <c r="L109" s="29" t="str">
        <f t="shared" si="11"/>
        <v>✗</v>
      </c>
      <c r="M109" s="30"/>
      <c r="N109" s="28"/>
      <c r="O109" s="31"/>
    </row>
    <row r="110" spans="1:15" ht="13.5" customHeight="1" x14ac:dyDescent="0.25">
      <c r="A110" s="24" t="s">
        <v>338</v>
      </c>
      <c r="B110" s="25" t="s">
        <v>339</v>
      </c>
      <c r="C110" s="27">
        <v>0</v>
      </c>
      <c r="D110" s="27">
        <v>0</v>
      </c>
      <c r="E110" s="27">
        <v>0</v>
      </c>
      <c r="F110" s="28">
        <v>0</v>
      </c>
      <c r="G110" s="29" t="str">
        <f t="shared" si="10"/>
        <v>✗</v>
      </c>
      <c r="H110" s="27">
        <v>0</v>
      </c>
      <c r="I110" s="27">
        <v>0</v>
      </c>
      <c r="J110" s="27">
        <v>0</v>
      </c>
      <c r="K110" s="28">
        <v>0</v>
      </c>
      <c r="L110" s="29" t="str">
        <f t="shared" si="11"/>
        <v>✗</v>
      </c>
      <c r="M110" s="30"/>
      <c r="N110" s="28"/>
      <c r="O110" s="31"/>
    </row>
    <row r="111" spans="1:15" ht="13.5" customHeight="1" x14ac:dyDescent="0.25">
      <c r="A111" s="13" t="s">
        <v>340</v>
      </c>
      <c r="B111" s="14" t="s">
        <v>341</v>
      </c>
      <c r="C111" s="15">
        <v>57.34</v>
      </c>
      <c r="D111" s="15">
        <v>32.53</v>
      </c>
      <c r="E111" s="15">
        <v>14.74</v>
      </c>
      <c r="F111" s="16">
        <f>'01_PARÂMETROS'!$B$4*D111+'01_PARÂMETROS'!$B$5*C111+'01_PARÂMETROS'!$B$6*E111</f>
        <v>38.545000000000002</v>
      </c>
      <c r="G111" s="17" t="str">
        <f t="shared" si="10"/>
        <v>✓</v>
      </c>
      <c r="H111" s="18">
        <v>41.23</v>
      </c>
      <c r="I111" s="18">
        <v>40.700000000000003</v>
      </c>
      <c r="J111" s="18">
        <v>34.090000000000003</v>
      </c>
      <c r="K111" s="19">
        <f>'01_PARÂMETROS'!$B$4*I111+'01_PARÂMETROS'!$B$5*H111+'01_PARÂMETROS'!$B$6*J111</f>
        <v>39.894000000000005</v>
      </c>
      <c r="L111" s="20" t="str">
        <f t="shared" si="11"/>
        <v>✓</v>
      </c>
      <c r="M111" s="21">
        <f>AVERAGE(F111,K111)</f>
        <v>39.219500000000004</v>
      </c>
      <c r="N111" s="22">
        <f>IFERROR(M111/'01_PARÂMETROS'!$B$9,"")</f>
        <v>0.78439000000000003</v>
      </c>
      <c r="O111" s="26">
        <f>IFERROR(MAX('01_PARÂMETROS'!$B$11,MIN('01_PARÂMETROS'!$B$12,N111)),"")</f>
        <v>0.78439000000000003</v>
      </c>
    </row>
    <row r="112" spans="1:15" ht="13.5" customHeight="1" x14ac:dyDescent="0.25">
      <c r="A112" s="24" t="s">
        <v>342</v>
      </c>
      <c r="B112" s="25" t="s">
        <v>343</v>
      </c>
      <c r="C112" s="27">
        <v>0</v>
      </c>
      <c r="D112" s="27">
        <v>0</v>
      </c>
      <c r="E112" s="27">
        <v>0</v>
      </c>
      <c r="F112" s="28">
        <v>0</v>
      </c>
      <c r="G112" s="29" t="str">
        <f t="shared" si="10"/>
        <v>✗</v>
      </c>
      <c r="H112" s="27">
        <v>0</v>
      </c>
      <c r="I112" s="27">
        <v>0</v>
      </c>
      <c r="J112" s="27">
        <v>0</v>
      </c>
      <c r="K112" s="28">
        <v>0</v>
      </c>
      <c r="L112" s="29" t="str">
        <f t="shared" si="11"/>
        <v>✗</v>
      </c>
      <c r="M112" s="30"/>
      <c r="N112" s="28"/>
      <c r="O112" s="31"/>
    </row>
    <row r="113" spans="1:15" ht="13.5" customHeight="1" x14ac:dyDescent="0.25">
      <c r="A113" s="13" t="s">
        <v>344</v>
      </c>
      <c r="B113" s="14" t="s">
        <v>345</v>
      </c>
      <c r="C113" s="15">
        <v>99.45</v>
      </c>
      <c r="D113" s="15">
        <v>100</v>
      </c>
      <c r="E113" s="15">
        <v>73.739999999999995</v>
      </c>
      <c r="F113" s="16">
        <f>'01_PARÂMETROS'!$B$4*D113+'01_PARÂMETROS'!$B$5*C113+'01_PARÂMETROS'!$B$6*E113</f>
        <v>95.868499999999997</v>
      </c>
      <c r="G113" s="17" t="str">
        <f t="shared" si="10"/>
        <v>✓</v>
      </c>
      <c r="H113" s="18">
        <v>48.21</v>
      </c>
      <c r="I113" s="18">
        <v>97.55</v>
      </c>
      <c r="J113" s="18">
        <v>60.64</v>
      </c>
      <c r="K113" s="19">
        <f>'01_PARÂMETROS'!$B$4*I113+'01_PARÂMETROS'!$B$5*H113+'01_PARÂMETROS'!$B$6*J113</f>
        <v>74.744500000000002</v>
      </c>
      <c r="L113" s="20" t="str">
        <f t="shared" si="11"/>
        <v>✓</v>
      </c>
      <c r="M113" s="21">
        <f>AVERAGE(F113,K113)</f>
        <v>85.3065</v>
      </c>
      <c r="N113" s="22">
        <f>IFERROR(M113/'01_PARÂMETROS'!$B$9,"")</f>
        <v>1.7061299999999999</v>
      </c>
      <c r="O113" s="32">
        <f>IFERROR(MAX('01_PARÂMETROS'!$B$11,MIN('01_PARÂMETROS'!$B$12,N113)),"")</f>
        <v>1.4</v>
      </c>
    </row>
    <row r="114" spans="1:15" ht="13.5" customHeight="1" x14ac:dyDescent="0.25">
      <c r="A114" s="24" t="s">
        <v>346</v>
      </c>
      <c r="B114" s="25" t="s">
        <v>347</v>
      </c>
      <c r="C114" s="15">
        <v>34.07</v>
      </c>
      <c r="D114" s="27">
        <v>0</v>
      </c>
      <c r="E114" s="27">
        <v>0</v>
      </c>
      <c r="F114" s="16">
        <f>'01_PARÂMETROS'!$B$4*D114+'01_PARÂMETROS'!$B$5*C114+'01_PARÂMETROS'!$B$6*E114</f>
        <v>11.9245</v>
      </c>
      <c r="G114" s="17" t="str">
        <f t="shared" si="10"/>
        <v>✓</v>
      </c>
      <c r="H114" s="18">
        <v>52.94</v>
      </c>
      <c r="I114" s="18">
        <v>39.119999999999997</v>
      </c>
      <c r="J114" s="18">
        <v>22.07</v>
      </c>
      <c r="K114" s="19">
        <f>'01_PARÂMETROS'!$B$4*I114+'01_PARÂMETROS'!$B$5*H114+'01_PARÂMETROS'!$B$6*J114</f>
        <v>41.399499999999996</v>
      </c>
      <c r="L114" s="20" t="str">
        <f t="shared" si="11"/>
        <v>✓</v>
      </c>
      <c r="M114" s="21">
        <f>AVERAGE(F114,K114)</f>
        <v>26.661999999999999</v>
      </c>
      <c r="N114" s="22">
        <f>IFERROR(M114/'01_PARÂMETROS'!$B$9,"")</f>
        <v>0.53323999999999994</v>
      </c>
      <c r="O114" s="26">
        <f>IFERROR(MAX('01_PARÂMETROS'!$B$11,MIN('01_PARÂMETROS'!$B$12,N114)),"")</f>
        <v>0.75</v>
      </c>
    </row>
    <row r="115" spans="1:15" ht="13.5" customHeight="1" x14ac:dyDescent="0.25">
      <c r="A115" s="13" t="s">
        <v>348</v>
      </c>
      <c r="B115" s="14" t="s">
        <v>349</v>
      </c>
      <c r="C115" s="27">
        <v>0</v>
      </c>
      <c r="D115" s="27">
        <v>0</v>
      </c>
      <c r="E115" s="27">
        <v>0</v>
      </c>
      <c r="F115" s="28">
        <v>0</v>
      </c>
      <c r="G115" s="29" t="str">
        <f t="shared" si="10"/>
        <v>✗</v>
      </c>
      <c r="H115" s="18">
        <v>25.72</v>
      </c>
      <c r="I115" s="27">
        <v>0</v>
      </c>
      <c r="J115" s="27">
        <v>0</v>
      </c>
      <c r="K115" s="19">
        <f>'01_PARÂMETROS'!$B$4*I115+'01_PARÂMETROS'!$B$5*H115+'01_PARÂMETROS'!$B$6*J115</f>
        <v>9.0019999999999989</v>
      </c>
      <c r="L115" s="20" t="str">
        <f t="shared" si="11"/>
        <v>✓</v>
      </c>
      <c r="M115" s="21">
        <f>K115</f>
        <v>9.0019999999999989</v>
      </c>
      <c r="N115" s="22">
        <f>IFERROR(M115/'01_PARÂMETROS'!$B$9,"")</f>
        <v>0.18003999999999998</v>
      </c>
      <c r="O115" s="26">
        <f>IFERROR(MAX('01_PARÂMETROS'!$B$11,MIN('01_PARÂMETROS'!$B$12,N115)),"")</f>
        <v>0.75</v>
      </c>
    </row>
    <row r="116" spans="1:15" ht="13.5" customHeight="1" x14ac:dyDescent="0.25">
      <c r="A116" s="24" t="s">
        <v>350</v>
      </c>
      <c r="B116" s="25" t="s">
        <v>351</v>
      </c>
      <c r="C116" s="15">
        <v>50.43</v>
      </c>
      <c r="D116" s="15">
        <v>24.61</v>
      </c>
      <c r="E116" s="15">
        <v>15.22</v>
      </c>
      <c r="F116" s="16">
        <f>'01_PARÂMETROS'!$B$4*D116+'01_PARÂMETROS'!$B$5*C116+'01_PARÂMETROS'!$B$6*E116</f>
        <v>32.238499999999995</v>
      </c>
      <c r="G116" s="17" t="str">
        <f t="shared" si="10"/>
        <v>✓</v>
      </c>
      <c r="H116" s="18">
        <v>58.05</v>
      </c>
      <c r="I116" s="18">
        <v>25.77</v>
      </c>
      <c r="J116" s="18">
        <v>23.89</v>
      </c>
      <c r="K116" s="19">
        <f>'01_PARÂMETROS'!$B$4*I116+'01_PARÂMETROS'!$B$5*H116+'01_PARÂMETROS'!$B$6*J116</f>
        <v>36.786000000000001</v>
      </c>
      <c r="L116" s="20" t="str">
        <f t="shared" si="11"/>
        <v>✓</v>
      </c>
      <c r="M116" s="21">
        <f>AVERAGE(F116,K116)</f>
        <v>34.512249999999995</v>
      </c>
      <c r="N116" s="22">
        <f>IFERROR(M116/'01_PARÂMETROS'!$B$9,"")</f>
        <v>0.69024499999999989</v>
      </c>
      <c r="O116" s="26">
        <f>IFERROR(MAX('01_PARÂMETROS'!$B$11,MIN('01_PARÂMETROS'!$B$12,N116)),"")</f>
        <v>0.75</v>
      </c>
    </row>
    <row r="117" spans="1:15" ht="13.5" customHeight="1" x14ac:dyDescent="0.25">
      <c r="A117" s="13" t="s">
        <v>352</v>
      </c>
      <c r="B117" s="14" t="s">
        <v>353</v>
      </c>
      <c r="C117" s="15">
        <v>19.02</v>
      </c>
      <c r="D117" s="15">
        <v>12.95</v>
      </c>
      <c r="E117" s="15">
        <v>9.0299999999999994</v>
      </c>
      <c r="F117" s="16">
        <f>'01_PARÂMETROS'!$B$4*D117+'01_PARÂMETROS'!$B$5*C117+'01_PARÂMETROS'!$B$6*E117</f>
        <v>14.486499999999998</v>
      </c>
      <c r="G117" s="17" t="str">
        <f t="shared" si="10"/>
        <v>✓</v>
      </c>
      <c r="H117" s="18">
        <v>26.81</v>
      </c>
      <c r="I117" s="18">
        <v>11.09</v>
      </c>
      <c r="J117" s="18">
        <v>5</v>
      </c>
      <c r="K117" s="19">
        <f>'01_PARÂMETROS'!$B$4*I117+'01_PARÂMETROS'!$B$5*H117+'01_PARÂMETROS'!$B$6*J117</f>
        <v>15.6785</v>
      </c>
      <c r="L117" s="20" t="str">
        <f t="shared" si="11"/>
        <v>✓</v>
      </c>
      <c r="M117" s="21">
        <f>AVERAGE(F117,K117)</f>
        <v>15.0825</v>
      </c>
      <c r="N117" s="22">
        <f>IFERROR(M117/'01_PARÂMETROS'!$B$9,"")</f>
        <v>0.30164999999999997</v>
      </c>
      <c r="O117" s="26">
        <f>IFERROR(MAX('01_PARÂMETROS'!$B$11,MIN('01_PARÂMETROS'!$B$12,N117)),"")</f>
        <v>0.75</v>
      </c>
    </row>
    <row r="118" spans="1:15" ht="13.5" customHeight="1" x14ac:dyDescent="0.25">
      <c r="A118" s="24" t="s">
        <v>354</v>
      </c>
      <c r="B118" s="25" t="s">
        <v>355</v>
      </c>
      <c r="C118" s="15">
        <v>13.9</v>
      </c>
      <c r="D118" s="15">
        <v>27.62</v>
      </c>
      <c r="E118" s="15">
        <v>15.77</v>
      </c>
      <c r="F118" s="16">
        <f>'01_PARÂMETROS'!$B$4*D118+'01_PARÂMETROS'!$B$5*C118+'01_PARÂMETROS'!$B$6*E118</f>
        <v>21.040500000000002</v>
      </c>
      <c r="G118" s="17" t="str">
        <f t="shared" si="10"/>
        <v>✓</v>
      </c>
      <c r="H118" s="18">
        <v>37.270000000000003</v>
      </c>
      <c r="I118" s="18">
        <v>57.67</v>
      </c>
      <c r="J118" s="18">
        <v>17.170000000000002</v>
      </c>
      <c r="K118" s="19">
        <f>'01_PARÂMETROS'!$B$4*I118+'01_PARÂMETROS'!$B$5*H118+'01_PARÂMETROS'!$B$6*J118</f>
        <v>44.454999999999998</v>
      </c>
      <c r="L118" s="20" t="str">
        <f t="shared" si="11"/>
        <v>✓</v>
      </c>
      <c r="M118" s="21">
        <f>AVERAGE(F118,K118)</f>
        <v>32.747749999999996</v>
      </c>
      <c r="N118" s="22">
        <f>IFERROR(M118/'01_PARÂMETROS'!$B$9,"")</f>
        <v>0.65495499999999995</v>
      </c>
      <c r="O118" s="26">
        <f>IFERROR(MAX('01_PARÂMETROS'!$B$11,MIN('01_PARÂMETROS'!$B$12,N118)),"")</f>
        <v>0.75</v>
      </c>
    </row>
    <row r="119" spans="1:15" ht="13.5" customHeight="1" x14ac:dyDescent="0.25">
      <c r="A119" s="13" t="s">
        <v>356</v>
      </c>
      <c r="B119" s="14" t="s">
        <v>357</v>
      </c>
      <c r="C119" s="15">
        <v>99.53</v>
      </c>
      <c r="D119" s="27">
        <v>0</v>
      </c>
      <c r="E119" s="27">
        <v>0</v>
      </c>
      <c r="F119" s="16">
        <f>'01_PARÂMETROS'!$B$4*D119+'01_PARÂMETROS'!$B$5*C119+'01_PARÂMETROS'!$B$6*E119</f>
        <v>34.835499999999996</v>
      </c>
      <c r="G119" s="17" t="str">
        <f t="shared" si="10"/>
        <v>✓</v>
      </c>
      <c r="H119" s="27">
        <v>0</v>
      </c>
      <c r="I119" s="27">
        <v>0</v>
      </c>
      <c r="J119" s="27">
        <v>0</v>
      </c>
      <c r="K119" s="28">
        <v>0</v>
      </c>
      <c r="L119" s="29" t="str">
        <f t="shared" si="11"/>
        <v>✗</v>
      </c>
      <c r="M119" s="21">
        <f>F119</f>
        <v>34.835499999999996</v>
      </c>
      <c r="N119" s="22">
        <f>IFERROR(M119/'01_PARÂMETROS'!$B$9,"")</f>
        <v>0.69670999999999994</v>
      </c>
      <c r="O119" s="26">
        <f>IFERROR(MAX('01_PARÂMETROS'!$B$11,MIN('01_PARÂMETROS'!$B$12,N119)),"")</f>
        <v>0.75</v>
      </c>
    </row>
    <row r="120" spans="1:15" ht="13.5" customHeight="1" x14ac:dyDescent="0.25">
      <c r="A120" s="24" t="s">
        <v>358</v>
      </c>
      <c r="B120" s="25" t="s">
        <v>359</v>
      </c>
      <c r="C120" s="27">
        <v>0</v>
      </c>
      <c r="D120" s="27">
        <v>0</v>
      </c>
      <c r="E120" s="27">
        <v>0</v>
      </c>
      <c r="F120" s="28">
        <v>0</v>
      </c>
      <c r="G120" s="29" t="str">
        <f t="shared" si="10"/>
        <v>✗</v>
      </c>
      <c r="H120" s="27">
        <v>0</v>
      </c>
      <c r="I120" s="27">
        <v>0</v>
      </c>
      <c r="J120" s="27">
        <v>0</v>
      </c>
      <c r="K120" s="28">
        <v>0</v>
      </c>
      <c r="L120" s="29" t="str">
        <f t="shared" si="11"/>
        <v>✗</v>
      </c>
      <c r="M120" s="30"/>
      <c r="N120" s="28"/>
      <c r="O120" s="31"/>
    </row>
    <row r="121" spans="1:15" ht="13.5" customHeight="1" x14ac:dyDescent="0.25">
      <c r="A121" s="13" t="s">
        <v>360</v>
      </c>
      <c r="B121" s="14" t="s">
        <v>361</v>
      </c>
      <c r="C121" s="27">
        <v>0</v>
      </c>
      <c r="D121" s="27">
        <v>0</v>
      </c>
      <c r="E121" s="27">
        <v>0</v>
      </c>
      <c r="F121" s="28">
        <v>0</v>
      </c>
      <c r="G121" s="29" t="str">
        <f t="shared" si="10"/>
        <v>✗</v>
      </c>
      <c r="H121" s="27">
        <v>0</v>
      </c>
      <c r="I121" s="27">
        <v>0</v>
      </c>
      <c r="J121" s="27">
        <v>0</v>
      </c>
      <c r="K121" s="28">
        <v>0</v>
      </c>
      <c r="L121" s="29" t="str">
        <f t="shared" si="11"/>
        <v>✗</v>
      </c>
      <c r="M121" s="30"/>
      <c r="N121" s="28"/>
      <c r="O121" s="31"/>
    </row>
    <row r="122" spans="1:15" ht="13.5" customHeight="1" x14ac:dyDescent="0.25">
      <c r="A122" s="24" t="s">
        <v>362</v>
      </c>
      <c r="B122" s="25" t="s">
        <v>363</v>
      </c>
      <c r="C122" s="15">
        <v>82.23</v>
      </c>
      <c r="D122" s="27">
        <v>0</v>
      </c>
      <c r="E122" s="27">
        <v>0</v>
      </c>
      <c r="F122" s="16">
        <f>'01_PARÂMETROS'!$B$4*D122+'01_PARÂMETROS'!$B$5*C122+'01_PARÂMETROS'!$B$6*E122</f>
        <v>28.7805</v>
      </c>
      <c r="G122" s="17" t="str">
        <f t="shared" si="10"/>
        <v>✓</v>
      </c>
      <c r="H122" s="18">
        <v>55.65</v>
      </c>
      <c r="I122" s="27">
        <v>0</v>
      </c>
      <c r="J122" s="27">
        <v>0</v>
      </c>
      <c r="K122" s="19">
        <f>'01_PARÂMETROS'!$B$4*I122+'01_PARÂMETROS'!$B$5*H122+'01_PARÂMETROS'!$B$6*J122</f>
        <v>19.477499999999999</v>
      </c>
      <c r="L122" s="20" t="str">
        <f t="shared" si="11"/>
        <v>✓</v>
      </c>
      <c r="M122" s="21">
        <f>AVERAGE(F122,K122)</f>
        <v>24.128999999999998</v>
      </c>
      <c r="N122" s="22">
        <f>IFERROR(M122/'01_PARÂMETROS'!$B$9,"")</f>
        <v>0.48257999999999995</v>
      </c>
      <c r="O122" s="26">
        <f>IFERROR(MAX('01_PARÂMETROS'!$B$11,MIN('01_PARÂMETROS'!$B$12,N122)),"")</f>
        <v>0.75</v>
      </c>
    </row>
    <row r="123" spans="1:15" ht="13.5" customHeight="1" x14ac:dyDescent="0.25">
      <c r="A123" s="13" t="s">
        <v>364</v>
      </c>
      <c r="B123" s="14" t="s">
        <v>365</v>
      </c>
      <c r="C123" s="15">
        <v>99.3</v>
      </c>
      <c r="D123" s="15">
        <v>99.92</v>
      </c>
      <c r="E123" s="15">
        <v>100</v>
      </c>
      <c r="F123" s="16">
        <f>'01_PARÂMETROS'!$B$4*D123+'01_PARÂMETROS'!$B$5*C123+'01_PARÂMETROS'!$B$6*E123</f>
        <v>99.715000000000003</v>
      </c>
      <c r="G123" s="17" t="str">
        <f t="shared" si="10"/>
        <v>✓</v>
      </c>
      <c r="H123" s="18">
        <v>99.53</v>
      </c>
      <c r="I123" s="18">
        <v>99.84</v>
      </c>
      <c r="J123" s="18">
        <v>99.76</v>
      </c>
      <c r="K123" s="19">
        <f>'01_PARÂMETROS'!$B$4*I123+'01_PARÂMETROS'!$B$5*H123+'01_PARÂMETROS'!$B$6*J123</f>
        <v>99.719499999999996</v>
      </c>
      <c r="L123" s="20" t="str">
        <f t="shared" si="11"/>
        <v>✓</v>
      </c>
      <c r="M123" s="21">
        <f>AVERAGE(F123,K123)</f>
        <v>99.717250000000007</v>
      </c>
      <c r="N123" s="22">
        <f>IFERROR(M123/'01_PARÂMETROS'!$B$9,"")</f>
        <v>1.994345</v>
      </c>
      <c r="O123" s="32">
        <f>IFERROR(MAX('01_PARÂMETROS'!$B$11,MIN('01_PARÂMETROS'!$B$12,N123)),"")</f>
        <v>1.4</v>
      </c>
    </row>
    <row r="124" spans="1:15" ht="13.5" customHeight="1" x14ac:dyDescent="0.25">
      <c r="A124" s="24" t="s">
        <v>366</v>
      </c>
      <c r="B124" s="25" t="s">
        <v>367</v>
      </c>
      <c r="C124" s="15">
        <v>97.28</v>
      </c>
      <c r="D124" s="15">
        <v>99.76</v>
      </c>
      <c r="E124" s="15">
        <v>97.06</v>
      </c>
      <c r="F124" s="16">
        <f>'01_PARÂMETROS'!$B$4*D124+'01_PARÂMETROS'!$B$5*C124+'01_PARÂMETROS'!$B$6*E124</f>
        <v>98.486999999999995</v>
      </c>
      <c r="G124" s="17" t="str">
        <f t="shared" si="10"/>
        <v>✓</v>
      </c>
      <c r="H124" s="18">
        <v>97.13</v>
      </c>
      <c r="I124" s="18">
        <v>99.68</v>
      </c>
      <c r="J124" s="18">
        <v>98.34</v>
      </c>
      <c r="K124" s="19">
        <f>'01_PARÂMETROS'!$B$4*I124+'01_PARÂMETROS'!$B$5*H124+'01_PARÂMETROS'!$B$6*J124</f>
        <v>98.586500000000001</v>
      </c>
      <c r="L124" s="20" t="str">
        <f t="shared" si="11"/>
        <v>✓</v>
      </c>
      <c r="M124" s="21">
        <f>AVERAGE(F124,K124)</f>
        <v>98.536749999999998</v>
      </c>
      <c r="N124" s="22">
        <f>IFERROR(M124/'01_PARÂMETROS'!$B$9,"")</f>
        <v>1.9707349999999999</v>
      </c>
      <c r="O124" s="32">
        <f>IFERROR(MAX('01_PARÂMETROS'!$B$11,MIN('01_PARÂMETROS'!$B$12,N124)),"")</f>
        <v>1.4</v>
      </c>
    </row>
    <row r="125" spans="1:15" ht="13.5" customHeight="1" x14ac:dyDescent="0.25">
      <c r="A125" s="13" t="s">
        <v>368</v>
      </c>
      <c r="B125" s="14" t="s">
        <v>369</v>
      </c>
      <c r="C125" s="15">
        <v>72.069999999999993</v>
      </c>
      <c r="D125" s="15">
        <v>23.97</v>
      </c>
      <c r="E125" s="15">
        <v>12.84</v>
      </c>
      <c r="F125" s="16">
        <f>'01_PARÂMETROS'!$B$4*D125+'01_PARÂMETROS'!$B$5*C125+'01_PARÂMETROS'!$B$6*E125</f>
        <v>39.135499999999993</v>
      </c>
      <c r="G125" s="17" t="str">
        <f t="shared" si="10"/>
        <v>✓</v>
      </c>
      <c r="H125" s="18">
        <v>64.180000000000007</v>
      </c>
      <c r="I125" s="18">
        <v>24.43</v>
      </c>
      <c r="J125" s="18">
        <v>8.9499999999999993</v>
      </c>
      <c r="K125" s="19">
        <f>'01_PARÂMETROS'!$B$4*I125+'01_PARÂMETROS'!$B$5*H125+'01_PARÂMETROS'!$B$6*J125</f>
        <v>36.020499999999998</v>
      </c>
      <c r="L125" s="20" t="str">
        <f t="shared" si="11"/>
        <v>✓</v>
      </c>
      <c r="M125" s="21">
        <f>AVERAGE(F125,K125)</f>
        <v>37.577999999999996</v>
      </c>
      <c r="N125" s="22">
        <f>IFERROR(M125/'01_PARÂMETROS'!$B$9,"")</f>
        <v>0.75155999999999989</v>
      </c>
      <c r="O125" s="26">
        <f>IFERROR(MAX('01_PARÂMETROS'!$B$11,MIN('01_PARÂMETROS'!$B$12,N125)),"")</f>
        <v>0.75155999999999989</v>
      </c>
    </row>
    <row r="126" spans="1:15" ht="13.5" customHeight="1" x14ac:dyDescent="0.25">
      <c r="A126" s="24" t="s">
        <v>370</v>
      </c>
      <c r="B126" s="25" t="s">
        <v>371</v>
      </c>
      <c r="C126" s="27">
        <v>0</v>
      </c>
      <c r="D126" s="27">
        <v>0</v>
      </c>
      <c r="E126" s="27">
        <v>0</v>
      </c>
      <c r="F126" s="28">
        <v>0</v>
      </c>
      <c r="G126" s="29" t="str">
        <f t="shared" si="10"/>
        <v>✗</v>
      </c>
      <c r="H126" s="18">
        <v>43.17</v>
      </c>
      <c r="I126" s="27">
        <v>0</v>
      </c>
      <c r="J126" s="27">
        <v>0</v>
      </c>
      <c r="K126" s="19">
        <f>'01_PARÂMETROS'!$B$4*I126+'01_PARÂMETROS'!$B$5*H126+'01_PARÂMETROS'!$B$6*J126</f>
        <v>15.109499999999999</v>
      </c>
      <c r="L126" s="20" t="str">
        <f t="shared" si="11"/>
        <v>✓</v>
      </c>
      <c r="M126" s="21">
        <f>K126</f>
        <v>15.109499999999999</v>
      </c>
      <c r="N126" s="22">
        <f>IFERROR(M126/'01_PARÂMETROS'!$B$9,"")</f>
        <v>0.30218999999999996</v>
      </c>
      <c r="O126" s="26">
        <f>IFERROR(MAX('01_PARÂMETROS'!$B$11,MIN('01_PARÂMETROS'!$B$12,N126)),"")</f>
        <v>0.75</v>
      </c>
    </row>
    <row r="127" spans="1:15" ht="13.5" customHeight="1" x14ac:dyDescent="0.25">
      <c r="A127" s="13" t="s">
        <v>372</v>
      </c>
      <c r="B127" s="14" t="s">
        <v>373</v>
      </c>
      <c r="C127" s="27">
        <v>0</v>
      </c>
      <c r="D127" s="27">
        <v>0</v>
      </c>
      <c r="E127" s="27">
        <v>0</v>
      </c>
      <c r="F127" s="28">
        <v>0</v>
      </c>
      <c r="G127" s="29" t="str">
        <f t="shared" si="10"/>
        <v>✗</v>
      </c>
      <c r="H127" s="27">
        <v>0</v>
      </c>
      <c r="I127" s="27">
        <v>0</v>
      </c>
      <c r="J127" s="27">
        <v>0</v>
      </c>
      <c r="K127" s="28">
        <v>0</v>
      </c>
      <c r="L127" s="29" t="str">
        <f t="shared" si="11"/>
        <v>✗</v>
      </c>
      <c r="M127" s="30"/>
      <c r="N127" s="28"/>
      <c r="O127" s="31"/>
    </row>
    <row r="128" spans="1:15" ht="13.5" customHeight="1" x14ac:dyDescent="0.25">
      <c r="A128" s="24" t="s">
        <v>374</v>
      </c>
      <c r="B128" s="25" t="s">
        <v>375</v>
      </c>
      <c r="C128" s="15">
        <v>33.29</v>
      </c>
      <c r="D128" s="15">
        <v>27.86</v>
      </c>
      <c r="E128" s="15">
        <v>28.54</v>
      </c>
      <c r="F128" s="16">
        <f>'01_PARÂMETROS'!$B$4*D128+'01_PARÂMETROS'!$B$5*C128+'01_PARÂMETROS'!$B$6*E128</f>
        <v>29.862499999999997</v>
      </c>
      <c r="G128" s="17" t="str">
        <f t="shared" si="10"/>
        <v>✓</v>
      </c>
      <c r="H128" s="18">
        <v>23.16</v>
      </c>
      <c r="I128" s="18">
        <v>29.09</v>
      </c>
      <c r="J128" s="18">
        <v>48.94</v>
      </c>
      <c r="K128" s="19">
        <f>'01_PARÂMETROS'!$B$4*I128+'01_PARÂMETROS'!$B$5*H128+'01_PARÂMETROS'!$B$6*J128</f>
        <v>29.991999999999997</v>
      </c>
      <c r="L128" s="20" t="str">
        <f t="shared" si="11"/>
        <v>✓</v>
      </c>
      <c r="M128" s="21">
        <f t="shared" ref="M128:M137" si="12">AVERAGE(F128,K128)</f>
        <v>29.927249999999997</v>
      </c>
      <c r="N128" s="22">
        <f>IFERROR(M128/'01_PARÂMETROS'!$B$9,"")</f>
        <v>0.59854499999999999</v>
      </c>
      <c r="O128" s="26">
        <f>IFERROR(MAX('01_PARÂMETROS'!$B$11,MIN('01_PARÂMETROS'!$B$12,N128)),"")</f>
        <v>0.75</v>
      </c>
    </row>
    <row r="129" spans="1:15" ht="13.5" customHeight="1" x14ac:dyDescent="0.25">
      <c r="A129" s="13" t="s">
        <v>376</v>
      </c>
      <c r="B129" s="14" t="s">
        <v>377</v>
      </c>
      <c r="C129" s="15">
        <v>50.67</v>
      </c>
      <c r="D129" s="15">
        <v>36.5</v>
      </c>
      <c r="E129" s="15">
        <v>15.06</v>
      </c>
      <c r="F129" s="16">
        <f>'01_PARÂMETROS'!$B$4*D129+'01_PARÂMETROS'!$B$5*C129+'01_PARÂMETROS'!$B$6*E129</f>
        <v>38.243499999999997</v>
      </c>
      <c r="G129" s="17" t="str">
        <f t="shared" si="10"/>
        <v>✓</v>
      </c>
      <c r="H129" s="18">
        <v>40.92</v>
      </c>
      <c r="I129" s="18">
        <v>22.14</v>
      </c>
      <c r="J129" s="18">
        <v>23.26</v>
      </c>
      <c r="K129" s="19">
        <f>'01_PARÂMETROS'!$B$4*I129+'01_PARÂMETROS'!$B$5*H129+'01_PARÂMETROS'!$B$6*J129</f>
        <v>28.881</v>
      </c>
      <c r="L129" s="20" t="str">
        <f t="shared" si="11"/>
        <v>✓</v>
      </c>
      <c r="M129" s="21">
        <f t="shared" si="12"/>
        <v>33.562249999999999</v>
      </c>
      <c r="N129" s="22">
        <f>IFERROR(M129/'01_PARÂMETROS'!$B$9,"")</f>
        <v>0.67124499999999998</v>
      </c>
      <c r="O129" s="26">
        <f>IFERROR(MAX('01_PARÂMETROS'!$B$11,MIN('01_PARÂMETROS'!$B$12,N129)),"")</f>
        <v>0.75</v>
      </c>
    </row>
    <row r="130" spans="1:15" ht="13.5" customHeight="1" x14ac:dyDescent="0.25">
      <c r="A130" s="24" t="s">
        <v>378</v>
      </c>
      <c r="B130" s="25" t="s">
        <v>379</v>
      </c>
      <c r="C130" s="15">
        <v>14.99</v>
      </c>
      <c r="D130" s="15">
        <v>10.26</v>
      </c>
      <c r="E130" s="15">
        <v>6.57</v>
      </c>
      <c r="F130" s="16">
        <f>'01_PARÂMETROS'!$B$4*D130+'01_PARÂMETROS'!$B$5*C130+'01_PARÂMETROS'!$B$6*E130</f>
        <v>11.362</v>
      </c>
      <c r="G130" s="17" t="str">
        <f t="shared" si="10"/>
        <v>✓</v>
      </c>
      <c r="H130" s="18">
        <v>5.0999999999999996</v>
      </c>
      <c r="I130" s="18">
        <v>7.61</v>
      </c>
      <c r="J130" s="18">
        <v>5.24</v>
      </c>
      <c r="K130" s="19">
        <f>'01_PARÂMETROS'!$B$4*I130+'01_PARÂMETROS'!$B$5*H130+'01_PARÂMETROS'!$B$6*J130</f>
        <v>6.3759999999999994</v>
      </c>
      <c r="L130" s="20" t="str">
        <f t="shared" si="11"/>
        <v>✓</v>
      </c>
      <c r="M130" s="21">
        <f t="shared" si="12"/>
        <v>8.8689999999999998</v>
      </c>
      <c r="N130" s="22">
        <f>IFERROR(M130/'01_PARÂMETROS'!$B$9,"")</f>
        <v>0.17737999999999998</v>
      </c>
      <c r="O130" s="26">
        <f>IFERROR(MAX('01_PARÂMETROS'!$B$11,MIN('01_PARÂMETROS'!$B$12,N130)),"")</f>
        <v>0.75</v>
      </c>
    </row>
    <row r="131" spans="1:15" ht="13.5" customHeight="1" x14ac:dyDescent="0.25">
      <c r="A131" s="13" t="s">
        <v>380</v>
      </c>
      <c r="B131" s="14" t="s">
        <v>381</v>
      </c>
      <c r="C131" s="15">
        <v>72.930000000000007</v>
      </c>
      <c r="D131" s="15">
        <v>91.59</v>
      </c>
      <c r="E131" s="15">
        <v>90.87</v>
      </c>
      <c r="F131" s="16">
        <f>'01_PARÂMETROS'!$B$4*D131+'01_PARÂMETROS'!$B$5*C131+'01_PARÂMETROS'!$B$6*E131</f>
        <v>84.951000000000008</v>
      </c>
      <c r="G131" s="17" t="str">
        <f t="shared" si="10"/>
        <v>✓</v>
      </c>
      <c r="H131" s="18">
        <v>61.54</v>
      </c>
      <c r="I131" s="18">
        <v>75.91</v>
      </c>
      <c r="J131" s="18">
        <v>90.27</v>
      </c>
      <c r="K131" s="19">
        <f>'01_PARÂMETROS'!$B$4*I131+'01_PARÂMETROS'!$B$5*H131+'01_PARÂMETROS'!$B$6*J131</f>
        <v>73.034499999999994</v>
      </c>
      <c r="L131" s="20" t="str">
        <f t="shared" si="11"/>
        <v>✓</v>
      </c>
      <c r="M131" s="21">
        <f t="shared" si="12"/>
        <v>78.992750000000001</v>
      </c>
      <c r="N131" s="22">
        <f>IFERROR(M131/'01_PARÂMETROS'!$B$9,"")</f>
        <v>1.579855</v>
      </c>
      <c r="O131" s="32">
        <f>IFERROR(MAX('01_PARÂMETROS'!$B$11,MIN('01_PARÂMETROS'!$B$12,N131)),"")</f>
        <v>1.4</v>
      </c>
    </row>
    <row r="132" spans="1:15" ht="13.5" customHeight="1" x14ac:dyDescent="0.25">
      <c r="A132" s="24" t="s">
        <v>382</v>
      </c>
      <c r="B132" s="25" t="s">
        <v>383</v>
      </c>
      <c r="C132" s="15">
        <v>21.66</v>
      </c>
      <c r="D132" s="15">
        <v>26.43</v>
      </c>
      <c r="E132" s="15">
        <v>95.79</v>
      </c>
      <c r="F132" s="16">
        <f>'01_PARÂMETROS'!$B$4*D132+'01_PARÂMETROS'!$B$5*C132+'01_PARÂMETROS'!$B$6*E132</f>
        <v>35.164500000000004</v>
      </c>
      <c r="G132" s="17" t="str">
        <f t="shared" si="10"/>
        <v>✓</v>
      </c>
      <c r="H132" s="18">
        <v>48.67</v>
      </c>
      <c r="I132" s="18">
        <v>58.62</v>
      </c>
      <c r="J132" s="18">
        <v>92.01</v>
      </c>
      <c r="K132" s="19">
        <f>'01_PARÂMETROS'!$B$4*I132+'01_PARÂMETROS'!$B$5*H132+'01_PARÂMETROS'!$B$6*J132</f>
        <v>60.146000000000001</v>
      </c>
      <c r="L132" s="20" t="str">
        <f t="shared" si="11"/>
        <v>✓</v>
      </c>
      <c r="M132" s="21">
        <f t="shared" si="12"/>
        <v>47.655250000000002</v>
      </c>
      <c r="N132" s="22">
        <f>IFERROR(M132/'01_PARÂMETROS'!$B$9,"")</f>
        <v>0.95310500000000009</v>
      </c>
      <c r="O132" s="33">
        <f>IFERROR(MAX('01_PARÂMETROS'!$B$11,MIN('01_PARÂMETROS'!$B$12,N132)),"")</f>
        <v>0.95310500000000009</v>
      </c>
    </row>
    <row r="133" spans="1:15" ht="13.5" customHeight="1" x14ac:dyDescent="0.25">
      <c r="A133" s="13" t="s">
        <v>384</v>
      </c>
      <c r="B133" s="14" t="s">
        <v>385</v>
      </c>
      <c r="C133" s="15">
        <v>29.03</v>
      </c>
      <c r="D133" s="15">
        <v>39.909999999999997</v>
      </c>
      <c r="E133" s="15">
        <v>43.85</v>
      </c>
      <c r="F133" s="16">
        <f>'01_PARÂMETROS'!$B$4*D133+'01_PARÂMETROS'!$B$5*C133+'01_PARÂMETROS'!$B$6*E133</f>
        <v>36.692999999999998</v>
      </c>
      <c r="G133" s="17" t="str">
        <f t="shared" ref="G133:G167" si="13">IF(AND(C133=0,D133=0,E133=0),"✗","✓")</f>
        <v>✓</v>
      </c>
      <c r="H133" s="18">
        <v>35.03</v>
      </c>
      <c r="I133" s="18">
        <v>40.299999999999997</v>
      </c>
      <c r="J133" s="18">
        <v>57.56</v>
      </c>
      <c r="K133" s="19">
        <f>'01_PARÂMETROS'!$B$4*I133+'01_PARÂMETROS'!$B$5*H133+'01_PARÂMETROS'!$B$6*J133</f>
        <v>41.044499999999999</v>
      </c>
      <c r="L133" s="20" t="str">
        <f t="shared" si="11"/>
        <v>✓</v>
      </c>
      <c r="M133" s="21">
        <f t="shared" si="12"/>
        <v>38.868749999999999</v>
      </c>
      <c r="N133" s="22">
        <f>IFERROR(M133/'01_PARÂMETROS'!$B$9,"")</f>
        <v>0.77737499999999993</v>
      </c>
      <c r="O133" s="26">
        <f>IFERROR(MAX('01_PARÂMETROS'!$B$11,MIN('01_PARÂMETROS'!$B$12,N133)),"")</f>
        <v>0.77737499999999993</v>
      </c>
    </row>
    <row r="134" spans="1:15" ht="13.5" customHeight="1" x14ac:dyDescent="0.25">
      <c r="A134" s="24" t="s">
        <v>386</v>
      </c>
      <c r="B134" s="25" t="s">
        <v>387</v>
      </c>
      <c r="C134" s="15">
        <v>76.73</v>
      </c>
      <c r="D134" s="15">
        <v>73.52</v>
      </c>
      <c r="E134" s="15">
        <v>80.489999999999995</v>
      </c>
      <c r="F134" s="16">
        <f>'01_PARÂMETROS'!$B$4*D134+'01_PARÂMETROS'!$B$5*C134+'01_PARÂMETROS'!$B$6*E134</f>
        <v>75.688999999999993</v>
      </c>
      <c r="G134" s="17" t="str">
        <f t="shared" si="13"/>
        <v>✓</v>
      </c>
      <c r="H134" s="18">
        <v>59.99</v>
      </c>
      <c r="I134" s="18">
        <v>55.15</v>
      </c>
      <c r="J134" s="18">
        <v>77</v>
      </c>
      <c r="K134" s="19">
        <f>'01_PARÂMETROS'!$B$4*I134+'01_PARÂMETROS'!$B$5*H134+'01_PARÂMETROS'!$B$6*J134</f>
        <v>60.121499999999997</v>
      </c>
      <c r="L134" s="20" t="str">
        <f t="shared" si="11"/>
        <v>✓</v>
      </c>
      <c r="M134" s="21">
        <f t="shared" si="12"/>
        <v>67.905249999999995</v>
      </c>
      <c r="N134" s="22">
        <f>IFERROR(M134/'01_PARÂMETROS'!$B$9,"")</f>
        <v>1.3581049999999999</v>
      </c>
      <c r="O134" s="32">
        <f>IFERROR(MAX('01_PARÂMETROS'!$B$11,MIN('01_PARÂMETROS'!$B$12,N134)),"")</f>
        <v>1.3581049999999999</v>
      </c>
    </row>
    <row r="135" spans="1:15" ht="13.5" customHeight="1" x14ac:dyDescent="0.25">
      <c r="A135" s="13" t="s">
        <v>388</v>
      </c>
      <c r="B135" s="14" t="s">
        <v>389</v>
      </c>
      <c r="C135" s="15">
        <v>99.76</v>
      </c>
      <c r="D135" s="15">
        <v>98.25</v>
      </c>
      <c r="E135" s="15">
        <v>36.630000000000003</v>
      </c>
      <c r="F135" s="16">
        <f>'01_PARÂMETROS'!$B$4*D135+'01_PARÂMETROS'!$B$5*C135+'01_PARÂMETROS'!$B$6*E135</f>
        <v>89.535499999999999</v>
      </c>
      <c r="G135" s="17" t="str">
        <f t="shared" si="13"/>
        <v>✓</v>
      </c>
      <c r="H135" s="18">
        <v>99.84</v>
      </c>
      <c r="I135" s="18">
        <v>99.6</v>
      </c>
      <c r="J135" s="18">
        <v>34.950000000000003</v>
      </c>
      <c r="K135" s="19">
        <f>'01_PARÂMETROS'!$B$4*I135+'01_PARÂMETROS'!$B$5*H135+'01_PARÂMETROS'!$B$6*J135</f>
        <v>89.986500000000007</v>
      </c>
      <c r="L135" s="20" t="str">
        <f t="shared" si="11"/>
        <v>✓</v>
      </c>
      <c r="M135" s="21">
        <f t="shared" si="12"/>
        <v>89.760999999999996</v>
      </c>
      <c r="N135" s="22">
        <f>IFERROR(M135/'01_PARÂMETROS'!$B$9,"")</f>
        <v>1.7952199999999998</v>
      </c>
      <c r="O135" s="32">
        <f>IFERROR(MAX('01_PARÂMETROS'!$B$11,MIN('01_PARÂMETROS'!$B$12,N135)),"")</f>
        <v>1.4</v>
      </c>
    </row>
    <row r="136" spans="1:15" ht="13.5" customHeight="1" x14ac:dyDescent="0.25">
      <c r="A136" s="24" t="s">
        <v>390</v>
      </c>
      <c r="B136" s="25" t="s">
        <v>391</v>
      </c>
      <c r="C136" s="15">
        <v>59.97</v>
      </c>
      <c r="D136" s="15">
        <v>40.94</v>
      </c>
      <c r="E136" s="15">
        <v>26.95</v>
      </c>
      <c r="F136" s="16">
        <f>'01_PARÂMETROS'!$B$4*D136+'01_PARÂMETROS'!$B$5*C136+'01_PARÂMETROS'!$B$6*E136</f>
        <v>45.501999999999995</v>
      </c>
      <c r="G136" s="17" t="str">
        <f t="shared" si="13"/>
        <v>✓</v>
      </c>
      <c r="H136" s="18">
        <v>47.97</v>
      </c>
      <c r="I136" s="18">
        <v>33.83</v>
      </c>
      <c r="J136" s="18">
        <v>29.19</v>
      </c>
      <c r="K136" s="19">
        <f>'01_PARÂMETROS'!$B$4*I136+'01_PARÂMETROS'!$B$5*H136+'01_PARÂMETROS'!$B$6*J136</f>
        <v>38.082999999999998</v>
      </c>
      <c r="L136" s="20" t="str">
        <f t="shared" si="11"/>
        <v>✓</v>
      </c>
      <c r="M136" s="21">
        <f t="shared" si="12"/>
        <v>41.792499999999997</v>
      </c>
      <c r="N136" s="22">
        <f>IFERROR(M136/'01_PARÂMETROS'!$B$9,"")</f>
        <v>0.83584999999999998</v>
      </c>
      <c r="O136" s="26">
        <f>IFERROR(MAX('01_PARÂMETROS'!$B$11,MIN('01_PARÂMETROS'!$B$12,N136)),"")</f>
        <v>0.83584999999999998</v>
      </c>
    </row>
    <row r="137" spans="1:15" ht="13.5" customHeight="1" x14ac:dyDescent="0.25">
      <c r="A137" s="13" t="s">
        <v>392</v>
      </c>
      <c r="B137" s="14" t="s">
        <v>393</v>
      </c>
      <c r="C137" s="15">
        <v>38.950000000000003</v>
      </c>
      <c r="D137" s="15">
        <v>32.06</v>
      </c>
      <c r="E137" s="15">
        <v>8.48</v>
      </c>
      <c r="F137" s="16">
        <f>'01_PARÂMETROS'!$B$4*D137+'01_PARÂMETROS'!$B$5*C137+'01_PARÂMETROS'!$B$6*E137</f>
        <v>30.9345</v>
      </c>
      <c r="G137" s="17" t="str">
        <f t="shared" si="13"/>
        <v>✓</v>
      </c>
      <c r="H137" s="18">
        <v>36.65</v>
      </c>
      <c r="I137" s="27">
        <v>0</v>
      </c>
      <c r="J137" s="27">
        <v>0</v>
      </c>
      <c r="K137" s="19">
        <f>'01_PARÂMETROS'!$B$4*I137+'01_PARÂMETROS'!$B$5*H137+'01_PARÂMETROS'!$B$6*J137</f>
        <v>12.827499999999999</v>
      </c>
      <c r="L137" s="20" t="str">
        <f t="shared" si="11"/>
        <v>✓</v>
      </c>
      <c r="M137" s="21">
        <f t="shared" si="12"/>
        <v>21.881</v>
      </c>
      <c r="N137" s="22">
        <f>IFERROR(M137/'01_PARÂMETROS'!$B$9,"")</f>
        <v>0.43762000000000001</v>
      </c>
      <c r="O137" s="26">
        <f>IFERROR(MAX('01_PARÂMETROS'!$B$11,MIN('01_PARÂMETROS'!$B$12,N137)),"")</f>
        <v>0.75</v>
      </c>
    </row>
    <row r="138" spans="1:15" ht="13.5" customHeight="1" x14ac:dyDescent="0.25">
      <c r="A138" s="24" t="s">
        <v>394</v>
      </c>
      <c r="B138" s="25" t="s">
        <v>395</v>
      </c>
      <c r="C138" s="27">
        <v>0</v>
      </c>
      <c r="D138" s="27">
        <v>0</v>
      </c>
      <c r="E138" s="27">
        <v>0</v>
      </c>
      <c r="F138" s="28">
        <v>0</v>
      </c>
      <c r="G138" s="29" t="str">
        <f t="shared" si="13"/>
        <v>✗</v>
      </c>
      <c r="H138" s="28" t="s">
        <v>396</v>
      </c>
      <c r="I138" s="28" t="s">
        <v>396</v>
      </c>
      <c r="J138" s="28" t="s">
        <v>396</v>
      </c>
      <c r="K138" s="28"/>
      <c r="L138" s="35" t="s">
        <v>396</v>
      </c>
      <c r="M138" s="30"/>
      <c r="N138" s="28"/>
      <c r="O138" s="31"/>
    </row>
    <row r="139" spans="1:15" ht="13.5" customHeight="1" x14ac:dyDescent="0.25">
      <c r="A139" s="13" t="s">
        <v>397</v>
      </c>
      <c r="B139" s="14" t="s">
        <v>398</v>
      </c>
      <c r="C139" s="15">
        <v>28.79</v>
      </c>
      <c r="D139" s="27">
        <v>0</v>
      </c>
      <c r="E139" s="27">
        <v>0</v>
      </c>
      <c r="F139" s="16">
        <f>'01_PARÂMETROS'!$B$4*D139+'01_PARÂMETROS'!$B$5*C139+'01_PARÂMETROS'!$B$6*E139</f>
        <v>10.076499999999999</v>
      </c>
      <c r="G139" s="17" t="str">
        <f t="shared" si="13"/>
        <v>✓</v>
      </c>
      <c r="H139" s="27">
        <v>0</v>
      </c>
      <c r="I139" s="27">
        <v>0</v>
      </c>
      <c r="J139" s="27">
        <v>0</v>
      </c>
      <c r="K139" s="28">
        <v>0</v>
      </c>
      <c r="L139" s="29" t="str">
        <f t="shared" ref="L139:L167" si="14">IF(AND(H139=0,I139=0,J139=0),"✗","✓")</f>
        <v>✗</v>
      </c>
      <c r="M139" s="21">
        <f>F139</f>
        <v>10.076499999999999</v>
      </c>
      <c r="N139" s="22">
        <f>IFERROR(M139/'01_PARÂMETROS'!$B$9,"")</f>
        <v>0.20152999999999999</v>
      </c>
      <c r="O139" s="26">
        <f>IFERROR(MAX('01_PARÂMETROS'!$B$11,MIN('01_PARÂMETROS'!$B$12,N139)),"")</f>
        <v>0.75</v>
      </c>
    </row>
    <row r="140" spans="1:15" ht="13.5" customHeight="1" x14ac:dyDescent="0.25">
      <c r="A140" s="24" t="s">
        <v>399</v>
      </c>
      <c r="B140" s="25" t="s">
        <v>400</v>
      </c>
      <c r="C140" s="15">
        <v>6.53</v>
      </c>
      <c r="D140" s="27">
        <v>0</v>
      </c>
      <c r="E140" s="27">
        <v>0</v>
      </c>
      <c r="F140" s="16">
        <f>'01_PARÂMETROS'!$B$4*D140+'01_PARÂMETROS'!$B$5*C140+'01_PARÂMETROS'!$B$6*E140</f>
        <v>2.2854999999999999</v>
      </c>
      <c r="G140" s="17" t="str">
        <f t="shared" si="13"/>
        <v>✓</v>
      </c>
      <c r="H140" s="18">
        <v>15.49</v>
      </c>
      <c r="I140" s="18">
        <v>15.19</v>
      </c>
      <c r="J140" s="18">
        <v>8.48</v>
      </c>
      <c r="K140" s="19">
        <f>'01_PARÂMETROS'!$B$4*I140+'01_PARÂMETROS'!$B$5*H140+'01_PARÂMETROS'!$B$6*J140</f>
        <v>14.288500000000001</v>
      </c>
      <c r="L140" s="20" t="str">
        <f t="shared" si="14"/>
        <v>✓</v>
      </c>
      <c r="M140" s="21">
        <f t="shared" ref="M140:M167" si="15">AVERAGE(F140,K140)</f>
        <v>8.2870000000000008</v>
      </c>
      <c r="N140" s="22">
        <f>IFERROR(M140/'01_PARÂMETROS'!$B$9,"")</f>
        <v>0.16574000000000003</v>
      </c>
      <c r="O140" s="26">
        <f>IFERROR(MAX('01_PARÂMETROS'!$B$11,MIN('01_PARÂMETROS'!$B$12,N140)),"")</f>
        <v>0.75</v>
      </c>
    </row>
    <row r="141" spans="1:15" ht="13.5" customHeight="1" x14ac:dyDescent="0.25">
      <c r="A141" s="13" t="s">
        <v>401</v>
      </c>
      <c r="B141" s="14" t="s">
        <v>402</v>
      </c>
      <c r="C141" s="15">
        <v>46.32</v>
      </c>
      <c r="D141" s="15">
        <v>25.4</v>
      </c>
      <c r="E141" s="15">
        <v>53.36</v>
      </c>
      <c r="F141" s="16">
        <f>'01_PARÂMETROS'!$B$4*D141+'01_PARÂMETROS'!$B$5*C141+'01_PARÂMETROS'!$B$6*E141</f>
        <v>36.915999999999997</v>
      </c>
      <c r="G141" s="17" t="str">
        <f t="shared" si="13"/>
        <v>✓</v>
      </c>
      <c r="H141" s="18">
        <v>32.24</v>
      </c>
      <c r="I141" s="18">
        <v>16.690000000000001</v>
      </c>
      <c r="J141" s="18">
        <v>44.99</v>
      </c>
      <c r="K141" s="19">
        <f>'01_PARÂMETROS'!$B$4*I141+'01_PARÂMETROS'!$B$5*H141+'01_PARÂMETROS'!$B$6*J141</f>
        <v>26.377500000000001</v>
      </c>
      <c r="L141" s="20" t="str">
        <f t="shared" si="14"/>
        <v>✓</v>
      </c>
      <c r="M141" s="21">
        <f t="shared" si="15"/>
        <v>31.646749999999997</v>
      </c>
      <c r="N141" s="22">
        <f>IFERROR(M141/'01_PARÂMETROS'!$B$9,"")</f>
        <v>0.63293499999999991</v>
      </c>
      <c r="O141" s="26">
        <f>IFERROR(MAX('01_PARÂMETROS'!$B$11,MIN('01_PARÂMETROS'!$B$12,N141)),"")</f>
        <v>0.75</v>
      </c>
    </row>
    <row r="142" spans="1:15" ht="13.5" customHeight="1" x14ac:dyDescent="0.25">
      <c r="A142" s="24" t="s">
        <v>403</v>
      </c>
      <c r="B142" s="25" t="s">
        <v>404</v>
      </c>
      <c r="C142" s="15">
        <v>62.14</v>
      </c>
      <c r="D142" s="15">
        <v>41.49</v>
      </c>
      <c r="E142" s="15">
        <v>26.72</v>
      </c>
      <c r="F142" s="16">
        <f>'01_PARÂMETROS'!$B$4*D142+'01_PARÂMETROS'!$B$5*C142+'01_PARÂMETROS'!$B$6*E142</f>
        <v>46.502000000000002</v>
      </c>
      <c r="G142" s="17" t="str">
        <f t="shared" si="13"/>
        <v>✓</v>
      </c>
      <c r="H142" s="18">
        <v>42</v>
      </c>
      <c r="I142" s="18">
        <v>41.17</v>
      </c>
      <c r="J142" s="18">
        <v>33.69</v>
      </c>
      <c r="K142" s="19">
        <f>'01_PARÂMETROS'!$B$4*I142+'01_PARÂMETROS'!$B$5*H142+'01_PARÂMETROS'!$B$6*J142</f>
        <v>40.338499999999996</v>
      </c>
      <c r="L142" s="20" t="str">
        <f t="shared" si="14"/>
        <v>✓</v>
      </c>
      <c r="M142" s="21">
        <f t="shared" si="15"/>
        <v>43.420249999999996</v>
      </c>
      <c r="N142" s="22">
        <f>IFERROR(M142/'01_PARÂMETROS'!$B$9,"")</f>
        <v>0.86840499999999987</v>
      </c>
      <c r="O142" s="26">
        <f>IFERROR(MAX('01_PARÂMETROS'!$B$11,MIN('01_PARÂMETROS'!$B$12,N142)),"")</f>
        <v>0.86840499999999987</v>
      </c>
    </row>
    <row r="143" spans="1:15" ht="13.5" customHeight="1" x14ac:dyDescent="0.25">
      <c r="A143" s="13" t="s">
        <v>405</v>
      </c>
      <c r="B143" s="14" t="s">
        <v>406</v>
      </c>
      <c r="C143" s="15">
        <v>69.05</v>
      </c>
      <c r="D143" s="15">
        <v>58.69</v>
      </c>
      <c r="E143" s="15">
        <v>58.44</v>
      </c>
      <c r="F143" s="16">
        <f>'01_PARÂMETROS'!$B$4*D143+'01_PARÂMETROS'!$B$5*C143+'01_PARÂMETROS'!$B$6*E143</f>
        <v>62.278499999999994</v>
      </c>
      <c r="G143" s="17" t="str">
        <f t="shared" si="13"/>
        <v>✓</v>
      </c>
      <c r="H143" s="18">
        <v>48.28</v>
      </c>
      <c r="I143" s="18">
        <v>50.41</v>
      </c>
      <c r="J143" s="18">
        <v>42.7</v>
      </c>
      <c r="K143" s="19">
        <f>'01_PARÂMETROS'!$B$4*I143+'01_PARÂMETROS'!$B$5*H143+'01_PARÂMETROS'!$B$6*J143</f>
        <v>48.507999999999996</v>
      </c>
      <c r="L143" s="20" t="str">
        <f t="shared" si="14"/>
        <v>✓</v>
      </c>
      <c r="M143" s="21">
        <f t="shared" si="15"/>
        <v>55.393249999999995</v>
      </c>
      <c r="N143" s="22">
        <f>IFERROR(M143/'01_PARÂMETROS'!$B$9,"")</f>
        <v>1.1078649999999999</v>
      </c>
      <c r="O143" s="23">
        <f>IFERROR(MAX('01_PARÂMETROS'!$B$11,MIN('01_PARÂMETROS'!$B$12,N143)),"")</f>
        <v>1.1078649999999999</v>
      </c>
    </row>
    <row r="144" spans="1:15" ht="13.5" customHeight="1" x14ac:dyDescent="0.25">
      <c r="A144" s="24" t="s">
        <v>407</v>
      </c>
      <c r="B144" s="25" t="s">
        <v>408</v>
      </c>
      <c r="C144" s="15">
        <v>98.21</v>
      </c>
      <c r="D144" s="15">
        <v>99.12</v>
      </c>
      <c r="E144" s="15">
        <v>76.44</v>
      </c>
      <c r="F144" s="16">
        <f>'01_PARÂMETROS'!$B$4*D144+'01_PARÂMETROS'!$B$5*C144+'01_PARÂMETROS'!$B$6*E144</f>
        <v>95.399499999999989</v>
      </c>
      <c r="G144" s="17" t="str">
        <f t="shared" si="13"/>
        <v>✓</v>
      </c>
      <c r="H144" s="18">
        <v>92.24</v>
      </c>
      <c r="I144" s="18">
        <v>97.86</v>
      </c>
      <c r="J144" s="18">
        <v>94.46</v>
      </c>
      <c r="K144" s="19">
        <f>'01_PARÂMETROS'!$B$4*I144+'01_PARÂMETROS'!$B$5*H144+'01_PARÂMETROS'!$B$6*J144</f>
        <v>95.382999999999996</v>
      </c>
      <c r="L144" s="20" t="str">
        <f t="shared" si="14"/>
        <v>✓</v>
      </c>
      <c r="M144" s="21">
        <f t="shared" si="15"/>
        <v>95.391249999999985</v>
      </c>
      <c r="N144" s="22">
        <f>IFERROR(M144/'01_PARÂMETROS'!$B$9,"")</f>
        <v>1.9078249999999997</v>
      </c>
      <c r="O144" s="32">
        <f>IFERROR(MAX('01_PARÂMETROS'!$B$11,MIN('01_PARÂMETROS'!$B$12,N144)),"")</f>
        <v>1.4</v>
      </c>
    </row>
    <row r="145" spans="1:15" ht="13.5" customHeight="1" x14ac:dyDescent="0.25">
      <c r="A145" s="13" t="s">
        <v>409</v>
      </c>
      <c r="B145" s="14" t="s">
        <v>410</v>
      </c>
      <c r="C145" s="15">
        <v>92.32</v>
      </c>
      <c r="D145" s="15">
        <v>96.59</v>
      </c>
      <c r="E145" s="15">
        <v>92.46</v>
      </c>
      <c r="F145" s="16">
        <f>'01_PARÂMETROS'!$B$4*D145+'01_PARÂMETROS'!$B$5*C145+'01_PARÂMETROS'!$B$6*E145</f>
        <v>94.475999999999999</v>
      </c>
      <c r="G145" s="17" t="str">
        <f t="shared" si="13"/>
        <v>✓</v>
      </c>
      <c r="H145" s="18">
        <v>89.84</v>
      </c>
      <c r="I145" s="18">
        <v>94.39</v>
      </c>
      <c r="J145" s="18">
        <v>92.33</v>
      </c>
      <c r="K145" s="19">
        <f>'01_PARÂMETROS'!$B$4*I145+'01_PARÂMETROS'!$B$5*H145+'01_PARÂMETROS'!$B$6*J145</f>
        <v>92.488499999999988</v>
      </c>
      <c r="L145" s="20" t="str">
        <f t="shared" si="14"/>
        <v>✓</v>
      </c>
      <c r="M145" s="21">
        <f t="shared" si="15"/>
        <v>93.482249999999993</v>
      </c>
      <c r="N145" s="22">
        <f>IFERROR(M145/'01_PARÂMETROS'!$B$9,"")</f>
        <v>1.8696449999999998</v>
      </c>
      <c r="O145" s="32">
        <f>IFERROR(MAX('01_PARÂMETROS'!$B$11,MIN('01_PARÂMETROS'!$B$12,N145)),"")</f>
        <v>1.4</v>
      </c>
    </row>
    <row r="146" spans="1:15" ht="13.5" customHeight="1" x14ac:dyDescent="0.25">
      <c r="A146" s="24" t="s">
        <v>411</v>
      </c>
      <c r="B146" s="25" t="s">
        <v>412</v>
      </c>
      <c r="C146" s="15">
        <v>97.9</v>
      </c>
      <c r="D146" s="15">
        <v>97.38</v>
      </c>
      <c r="E146" s="15">
        <v>64.7</v>
      </c>
      <c r="F146" s="16">
        <f>'01_PARÂMETROS'!$B$4*D146+'01_PARÂMETROS'!$B$5*C146+'01_PARÂMETROS'!$B$6*E146</f>
        <v>92.66</v>
      </c>
      <c r="G146" s="17" t="str">
        <f t="shared" si="13"/>
        <v>✓</v>
      </c>
      <c r="H146" s="18">
        <v>96.74</v>
      </c>
      <c r="I146" s="18">
        <v>95.1</v>
      </c>
      <c r="J146" s="18">
        <v>53.45</v>
      </c>
      <c r="K146" s="19">
        <f>'01_PARÂMETROS'!$B$4*I146+'01_PARÂMETROS'!$B$5*H146+'01_PARÂMETROS'!$B$6*J146</f>
        <v>89.42649999999999</v>
      </c>
      <c r="L146" s="20" t="str">
        <f t="shared" si="14"/>
        <v>✓</v>
      </c>
      <c r="M146" s="21">
        <f t="shared" si="15"/>
        <v>91.04325</v>
      </c>
      <c r="N146" s="22">
        <f>IFERROR(M146/'01_PARÂMETROS'!$B$9,"")</f>
        <v>1.820865</v>
      </c>
      <c r="O146" s="32">
        <f>IFERROR(MAX('01_PARÂMETROS'!$B$11,MIN('01_PARÂMETROS'!$B$12,N146)),"")</f>
        <v>1.4</v>
      </c>
    </row>
    <row r="147" spans="1:15" ht="13.5" customHeight="1" x14ac:dyDescent="0.25">
      <c r="A147" s="13" t="s">
        <v>413</v>
      </c>
      <c r="B147" s="14" t="s">
        <v>414</v>
      </c>
      <c r="C147" s="15">
        <v>86.11</v>
      </c>
      <c r="D147" s="15">
        <v>75.5</v>
      </c>
      <c r="E147" s="15">
        <v>61.13</v>
      </c>
      <c r="F147" s="16">
        <f>'01_PARÂMETROS'!$B$4*D147+'01_PARÂMETROS'!$B$5*C147+'01_PARÂMETROS'!$B$6*E147</f>
        <v>77.057999999999993</v>
      </c>
      <c r="G147" s="17" t="str">
        <f t="shared" si="13"/>
        <v>✓</v>
      </c>
      <c r="H147" s="18">
        <v>88.44</v>
      </c>
      <c r="I147" s="18">
        <v>78.83</v>
      </c>
      <c r="J147" s="18">
        <v>66.09</v>
      </c>
      <c r="K147" s="19">
        <f>'01_PARÂMETROS'!$B$4*I147+'01_PARÂMETROS'!$B$5*H147+'01_PARÂMETROS'!$B$6*J147</f>
        <v>80.282499999999999</v>
      </c>
      <c r="L147" s="20" t="str">
        <f t="shared" si="14"/>
        <v>✓</v>
      </c>
      <c r="M147" s="21">
        <f t="shared" si="15"/>
        <v>78.670249999999996</v>
      </c>
      <c r="N147" s="22">
        <f>IFERROR(M147/'01_PARÂMETROS'!$B$9,"")</f>
        <v>1.5734049999999999</v>
      </c>
      <c r="O147" s="32">
        <f>IFERROR(MAX('01_PARÂMETROS'!$B$11,MIN('01_PARÂMETROS'!$B$12,N147)),"")</f>
        <v>1.4</v>
      </c>
    </row>
    <row r="148" spans="1:15" ht="13.5" customHeight="1" x14ac:dyDescent="0.25">
      <c r="A148" s="24" t="s">
        <v>415</v>
      </c>
      <c r="B148" s="25" t="s">
        <v>416</v>
      </c>
      <c r="C148" s="15">
        <v>61.29</v>
      </c>
      <c r="D148" s="15">
        <v>88.34</v>
      </c>
      <c r="E148" s="15">
        <v>71.680000000000007</v>
      </c>
      <c r="F148" s="16">
        <f>'01_PARÂMETROS'!$B$4*D148+'01_PARÂMETROS'!$B$5*C148+'01_PARÂMETROS'!$B$6*E148</f>
        <v>76.373499999999993</v>
      </c>
      <c r="G148" s="17" t="str">
        <f t="shared" si="13"/>
        <v>✓</v>
      </c>
      <c r="H148" s="18">
        <v>51.77</v>
      </c>
      <c r="I148" s="18">
        <v>86.81</v>
      </c>
      <c r="J148" s="18">
        <v>75.5</v>
      </c>
      <c r="K148" s="19">
        <f>'01_PARÂMETROS'!$B$4*I148+'01_PARÂMETROS'!$B$5*H148+'01_PARÂMETROS'!$B$6*J148</f>
        <v>72.849500000000006</v>
      </c>
      <c r="L148" s="20" t="str">
        <f t="shared" si="14"/>
        <v>✓</v>
      </c>
      <c r="M148" s="21">
        <f t="shared" si="15"/>
        <v>74.611500000000007</v>
      </c>
      <c r="N148" s="22">
        <f>IFERROR(M148/'01_PARÂMETROS'!$B$9,"")</f>
        <v>1.4922300000000002</v>
      </c>
      <c r="O148" s="32">
        <f>IFERROR(MAX('01_PARÂMETROS'!$B$11,MIN('01_PARÂMETROS'!$B$12,N148)),"")</f>
        <v>1.4</v>
      </c>
    </row>
    <row r="149" spans="1:15" ht="13.5" customHeight="1" x14ac:dyDescent="0.25">
      <c r="A149" s="13" t="s">
        <v>417</v>
      </c>
      <c r="B149" s="14" t="s">
        <v>418</v>
      </c>
      <c r="C149" s="15">
        <v>67.81</v>
      </c>
      <c r="D149" s="15">
        <v>86.28</v>
      </c>
      <c r="E149" s="15">
        <v>82.94</v>
      </c>
      <c r="F149" s="16">
        <f>'01_PARÂMETROS'!$B$4*D149+'01_PARÂMETROS'!$B$5*C149+'01_PARÂMETROS'!$B$6*E149</f>
        <v>79.31450000000001</v>
      </c>
      <c r="G149" s="17" t="str">
        <f t="shared" si="13"/>
        <v>✓</v>
      </c>
      <c r="H149" s="18">
        <v>69.989999999999995</v>
      </c>
      <c r="I149" s="18">
        <v>83.49</v>
      </c>
      <c r="J149" s="18">
        <v>80.16</v>
      </c>
      <c r="K149" s="19">
        <f>'01_PARÂMETROS'!$B$4*I149+'01_PARÂMETROS'!$B$5*H149+'01_PARÂMETROS'!$B$6*J149</f>
        <v>78.265500000000003</v>
      </c>
      <c r="L149" s="20" t="str">
        <f t="shared" si="14"/>
        <v>✓</v>
      </c>
      <c r="M149" s="21">
        <f t="shared" si="15"/>
        <v>78.790000000000006</v>
      </c>
      <c r="N149" s="22">
        <f>IFERROR(M149/'01_PARÂMETROS'!$B$9,"")</f>
        <v>1.5758000000000001</v>
      </c>
      <c r="O149" s="32">
        <f>IFERROR(MAX('01_PARÂMETROS'!$B$11,MIN('01_PARÂMETROS'!$B$12,N149)),"")</f>
        <v>1.4</v>
      </c>
    </row>
    <row r="150" spans="1:15" ht="13.5" customHeight="1" x14ac:dyDescent="0.25">
      <c r="A150" s="24" t="s">
        <v>419</v>
      </c>
      <c r="B150" s="25" t="s">
        <v>420</v>
      </c>
      <c r="C150" s="15">
        <v>67.959999999999994</v>
      </c>
      <c r="D150" s="15">
        <v>81.92</v>
      </c>
      <c r="E150" s="15">
        <v>50.03</v>
      </c>
      <c r="F150" s="16">
        <f>'01_PARÂMETROS'!$B$4*D150+'01_PARÂMETROS'!$B$5*C150+'01_PARÂMETROS'!$B$6*E150</f>
        <v>72.250499999999988</v>
      </c>
      <c r="G150" s="17" t="str">
        <f t="shared" si="13"/>
        <v>✓</v>
      </c>
      <c r="H150" s="18">
        <v>69.37</v>
      </c>
      <c r="I150" s="18">
        <v>80.41</v>
      </c>
      <c r="J150" s="18">
        <v>55.9</v>
      </c>
      <c r="K150" s="19">
        <f>'01_PARÂMETROS'!$B$4*I150+'01_PARÂMETROS'!$B$5*H150+'01_PARÂMETROS'!$B$6*J150</f>
        <v>72.869500000000002</v>
      </c>
      <c r="L150" s="20" t="str">
        <f t="shared" si="14"/>
        <v>✓</v>
      </c>
      <c r="M150" s="21">
        <f t="shared" si="15"/>
        <v>72.56</v>
      </c>
      <c r="N150" s="22">
        <f>IFERROR(M150/'01_PARÂMETROS'!$B$9,"")</f>
        <v>1.4512</v>
      </c>
      <c r="O150" s="32">
        <f>IFERROR(MAX('01_PARÂMETROS'!$B$11,MIN('01_PARÂMETROS'!$B$12,N150)),"")</f>
        <v>1.4</v>
      </c>
    </row>
    <row r="151" spans="1:15" ht="13.5" customHeight="1" x14ac:dyDescent="0.25">
      <c r="A151" s="13" t="s">
        <v>421</v>
      </c>
      <c r="B151" s="14" t="s">
        <v>422</v>
      </c>
      <c r="C151" s="15">
        <v>34.450000000000003</v>
      </c>
      <c r="D151" s="15">
        <v>30.16</v>
      </c>
      <c r="E151" s="15">
        <v>11.49</v>
      </c>
      <c r="F151" s="16">
        <f>'01_PARÂMETROS'!$B$4*D151+'01_PARÂMETROS'!$B$5*C151+'01_PARÂMETROS'!$B$6*E151</f>
        <v>28.861000000000004</v>
      </c>
      <c r="G151" s="17" t="str">
        <f t="shared" si="13"/>
        <v>✓</v>
      </c>
      <c r="H151" s="18">
        <v>32.159999999999997</v>
      </c>
      <c r="I151" s="18">
        <v>34.380000000000003</v>
      </c>
      <c r="J151" s="18">
        <v>92.25</v>
      </c>
      <c r="K151" s="19">
        <f>'01_PARÂMETROS'!$B$4*I151+'01_PARÂMETROS'!$B$5*H151+'01_PARÂMETROS'!$B$6*J151</f>
        <v>42.283499999999997</v>
      </c>
      <c r="L151" s="20" t="str">
        <f t="shared" si="14"/>
        <v>✓</v>
      </c>
      <c r="M151" s="21">
        <f t="shared" si="15"/>
        <v>35.572249999999997</v>
      </c>
      <c r="N151" s="22">
        <f>IFERROR(M151/'01_PARÂMETROS'!$B$9,"")</f>
        <v>0.71144499999999988</v>
      </c>
      <c r="O151" s="26">
        <f>IFERROR(MAX('01_PARÂMETROS'!$B$11,MIN('01_PARÂMETROS'!$B$12,N151)),"")</f>
        <v>0.75</v>
      </c>
    </row>
    <row r="152" spans="1:15" ht="13.5" customHeight="1" x14ac:dyDescent="0.25">
      <c r="A152" s="24" t="s">
        <v>423</v>
      </c>
      <c r="B152" s="25" t="s">
        <v>424</v>
      </c>
      <c r="C152" s="15">
        <v>97.05</v>
      </c>
      <c r="D152" s="15">
        <v>98.41</v>
      </c>
      <c r="E152" s="15">
        <v>97.7</v>
      </c>
      <c r="F152" s="16">
        <f>'01_PARÂMETROS'!$B$4*D152+'01_PARÂMETROS'!$B$5*C152+'01_PARÂMETROS'!$B$6*E152</f>
        <v>97.827499999999986</v>
      </c>
      <c r="G152" s="17" t="str">
        <f t="shared" si="13"/>
        <v>✓</v>
      </c>
      <c r="H152" s="18">
        <v>98.13</v>
      </c>
      <c r="I152" s="18">
        <v>98.49</v>
      </c>
      <c r="J152" s="18">
        <v>96.2</v>
      </c>
      <c r="K152" s="19">
        <f>'01_PARÂMETROS'!$B$4*I152+'01_PARÂMETROS'!$B$5*H152+'01_PARÂMETROS'!$B$6*J152</f>
        <v>98.020499999999998</v>
      </c>
      <c r="L152" s="20" t="str">
        <f t="shared" si="14"/>
        <v>✓</v>
      </c>
      <c r="M152" s="21">
        <f t="shared" si="15"/>
        <v>97.923999999999992</v>
      </c>
      <c r="N152" s="22">
        <f>IFERROR(M152/'01_PARÂMETROS'!$B$9,"")</f>
        <v>1.9584799999999998</v>
      </c>
      <c r="O152" s="32">
        <f>IFERROR(MAX('01_PARÂMETROS'!$B$11,MIN('01_PARÂMETROS'!$B$12,N152)),"")</f>
        <v>1.4</v>
      </c>
    </row>
    <row r="153" spans="1:15" ht="13.5" customHeight="1" x14ac:dyDescent="0.25">
      <c r="A153" s="13" t="s">
        <v>425</v>
      </c>
      <c r="B153" s="14" t="s">
        <v>426</v>
      </c>
      <c r="C153" s="15">
        <v>28.09</v>
      </c>
      <c r="D153" s="15">
        <v>7.64</v>
      </c>
      <c r="E153" s="15">
        <v>4.59</v>
      </c>
      <c r="F153" s="16">
        <f>'01_PARÂMETROS'!$B$4*D153+'01_PARÂMETROS'!$B$5*C153+'01_PARÂMETROS'!$B$6*E153</f>
        <v>14.34</v>
      </c>
      <c r="G153" s="17" t="str">
        <f t="shared" si="13"/>
        <v>✓</v>
      </c>
      <c r="H153" s="18">
        <v>18.2</v>
      </c>
      <c r="I153" s="27">
        <v>0</v>
      </c>
      <c r="J153" s="27">
        <v>0</v>
      </c>
      <c r="K153" s="19">
        <f>'01_PARÂMETROS'!$B$4*I153+'01_PARÂMETROS'!$B$5*H153+'01_PARÂMETROS'!$B$6*J153</f>
        <v>6.3699999999999992</v>
      </c>
      <c r="L153" s="20" t="str">
        <f t="shared" si="14"/>
        <v>✓</v>
      </c>
      <c r="M153" s="21">
        <f t="shared" si="15"/>
        <v>10.355</v>
      </c>
      <c r="N153" s="22">
        <f>IFERROR(M153/'01_PARÂMETROS'!$B$9,"")</f>
        <v>0.20710000000000001</v>
      </c>
      <c r="O153" s="26">
        <f>IFERROR(MAX('01_PARÂMETROS'!$B$11,MIN('01_PARÂMETROS'!$B$12,N153)),"")</f>
        <v>0.75</v>
      </c>
    </row>
    <row r="154" spans="1:15" ht="13.5" customHeight="1" x14ac:dyDescent="0.25">
      <c r="A154" s="24" t="s">
        <v>427</v>
      </c>
      <c r="B154" s="25" t="s">
        <v>428</v>
      </c>
      <c r="C154" s="15">
        <v>86.58</v>
      </c>
      <c r="D154" s="15">
        <v>90.17</v>
      </c>
      <c r="E154" s="15">
        <v>79.930000000000007</v>
      </c>
      <c r="F154" s="16">
        <f>'01_PARÂMETROS'!$B$4*D154+'01_PARÂMETROS'!$B$5*C154+'01_PARÂMETROS'!$B$6*E154</f>
        <v>87.377500000000012</v>
      </c>
      <c r="G154" s="17" t="str">
        <f t="shared" si="13"/>
        <v>✓</v>
      </c>
      <c r="H154" s="18">
        <v>85.34</v>
      </c>
      <c r="I154" s="18">
        <v>91.15</v>
      </c>
      <c r="J154" s="18">
        <v>87.75</v>
      </c>
      <c r="K154" s="19">
        <f>'01_PARÂMETROS'!$B$4*I154+'01_PARÂMETROS'!$B$5*H154+'01_PARÂMETROS'!$B$6*J154</f>
        <v>88.606499999999997</v>
      </c>
      <c r="L154" s="20" t="str">
        <f t="shared" si="14"/>
        <v>✓</v>
      </c>
      <c r="M154" s="21">
        <f t="shared" si="15"/>
        <v>87.992000000000004</v>
      </c>
      <c r="N154" s="22">
        <f>IFERROR(M154/'01_PARÂMETROS'!$B$9,"")</f>
        <v>1.7598400000000001</v>
      </c>
      <c r="O154" s="32">
        <f>IFERROR(MAX('01_PARÂMETROS'!$B$11,MIN('01_PARÂMETROS'!$B$12,N154)),"")</f>
        <v>1.4</v>
      </c>
    </row>
    <row r="155" spans="1:15" ht="13.5" customHeight="1" x14ac:dyDescent="0.25">
      <c r="A155" s="13" t="s">
        <v>429</v>
      </c>
      <c r="B155" s="14" t="s">
        <v>430</v>
      </c>
      <c r="C155" s="15">
        <v>63.77</v>
      </c>
      <c r="D155" s="15">
        <v>62.5</v>
      </c>
      <c r="E155" s="15">
        <v>59.87</v>
      </c>
      <c r="F155" s="16">
        <f>'01_PARÂMETROS'!$B$4*D155+'01_PARÂMETROS'!$B$5*C155+'01_PARÂMETROS'!$B$6*E155</f>
        <v>62.550000000000004</v>
      </c>
      <c r="G155" s="17" t="str">
        <f t="shared" si="13"/>
        <v>✓</v>
      </c>
      <c r="H155" s="18">
        <v>73.709999999999994</v>
      </c>
      <c r="I155" s="18">
        <v>80.489999999999995</v>
      </c>
      <c r="J155" s="18">
        <v>90.75</v>
      </c>
      <c r="K155" s="19">
        <f>'01_PARÂMETROS'!$B$4*I155+'01_PARÂMETROS'!$B$5*H155+'01_PARÂMETROS'!$B$6*J155</f>
        <v>79.655999999999992</v>
      </c>
      <c r="L155" s="20" t="str">
        <f t="shared" si="14"/>
        <v>✓</v>
      </c>
      <c r="M155" s="21">
        <f t="shared" si="15"/>
        <v>71.102999999999994</v>
      </c>
      <c r="N155" s="22">
        <f>IFERROR(M155/'01_PARÂMETROS'!$B$9,"")</f>
        <v>1.4220599999999999</v>
      </c>
      <c r="O155" s="32">
        <f>IFERROR(MAX('01_PARÂMETROS'!$B$11,MIN('01_PARÂMETROS'!$B$12,N155)),"")</f>
        <v>1.4</v>
      </c>
    </row>
    <row r="156" spans="1:15" ht="13.5" customHeight="1" x14ac:dyDescent="0.25">
      <c r="A156" s="24" t="s">
        <v>431</v>
      </c>
      <c r="B156" s="25" t="s">
        <v>432</v>
      </c>
      <c r="C156" s="15">
        <v>80.45</v>
      </c>
      <c r="D156" s="15">
        <v>52.67</v>
      </c>
      <c r="E156" s="15">
        <v>50.59</v>
      </c>
      <c r="F156" s="16">
        <f>'01_PARÂMETROS'!$B$4*D156+'01_PARÂMETROS'!$B$5*C156+'01_PARÂMETROS'!$B$6*E156</f>
        <v>62.081000000000003</v>
      </c>
      <c r="G156" s="17" t="str">
        <f t="shared" si="13"/>
        <v>✓</v>
      </c>
      <c r="H156" s="18">
        <v>77.67</v>
      </c>
      <c r="I156" s="18">
        <v>41.33</v>
      </c>
      <c r="J156" s="18">
        <v>23.5</v>
      </c>
      <c r="K156" s="19">
        <f>'01_PARÂMETROS'!$B$4*I156+'01_PARÂMETROS'!$B$5*H156+'01_PARÂMETROS'!$B$6*J156</f>
        <v>51.374499999999998</v>
      </c>
      <c r="L156" s="20" t="str">
        <f t="shared" si="14"/>
        <v>✓</v>
      </c>
      <c r="M156" s="21">
        <f t="shared" si="15"/>
        <v>56.72775</v>
      </c>
      <c r="N156" s="22">
        <f>IFERROR(M156/'01_PARÂMETROS'!$B$9,"")</f>
        <v>1.134555</v>
      </c>
      <c r="O156" s="23">
        <f>IFERROR(MAX('01_PARÂMETROS'!$B$11,MIN('01_PARÂMETROS'!$B$12,N156)),"")</f>
        <v>1.134555</v>
      </c>
    </row>
    <row r="157" spans="1:15" ht="13.5" customHeight="1" x14ac:dyDescent="0.25">
      <c r="A157" s="13" t="s">
        <v>433</v>
      </c>
      <c r="B157" s="14" t="s">
        <v>434</v>
      </c>
      <c r="C157" s="15">
        <v>73.16</v>
      </c>
      <c r="D157" s="27">
        <v>0</v>
      </c>
      <c r="E157" s="27">
        <v>0</v>
      </c>
      <c r="F157" s="16">
        <f>'01_PARÂMETROS'!$B$4*D157+'01_PARÂMETROS'!$B$5*C157+'01_PARÂMETROS'!$B$6*E157</f>
        <v>25.605999999999998</v>
      </c>
      <c r="G157" s="17" t="str">
        <f t="shared" si="13"/>
        <v>✓</v>
      </c>
      <c r="H157" s="18">
        <v>76.81</v>
      </c>
      <c r="I157" s="27">
        <v>0</v>
      </c>
      <c r="J157" s="27">
        <v>0</v>
      </c>
      <c r="K157" s="19">
        <f>'01_PARÂMETROS'!$B$4*I157+'01_PARÂMETROS'!$B$5*H157+'01_PARÂMETROS'!$B$6*J157</f>
        <v>26.883499999999998</v>
      </c>
      <c r="L157" s="20" t="str">
        <f t="shared" si="14"/>
        <v>✓</v>
      </c>
      <c r="M157" s="21">
        <f t="shared" si="15"/>
        <v>26.244749999999996</v>
      </c>
      <c r="N157" s="22">
        <f>IFERROR(M157/'01_PARÂMETROS'!$B$9,"")</f>
        <v>0.52489499999999989</v>
      </c>
      <c r="O157" s="26">
        <f>IFERROR(MAX('01_PARÂMETROS'!$B$11,MIN('01_PARÂMETROS'!$B$12,N157)),"")</f>
        <v>0.75</v>
      </c>
    </row>
    <row r="158" spans="1:15" ht="13.5" customHeight="1" x14ac:dyDescent="0.25">
      <c r="A158" s="24" t="s">
        <v>435</v>
      </c>
      <c r="B158" s="25" t="s">
        <v>436</v>
      </c>
      <c r="C158" s="15">
        <v>62.76</v>
      </c>
      <c r="D158" s="15">
        <v>76.61</v>
      </c>
      <c r="E158" s="15">
        <v>24.34</v>
      </c>
      <c r="F158" s="16">
        <f>'01_PARÂMETROS'!$B$4*D158+'01_PARÂMETROS'!$B$5*C158+'01_PARÂMETROS'!$B$6*E158</f>
        <v>63.921999999999997</v>
      </c>
      <c r="G158" s="17" t="str">
        <f t="shared" si="13"/>
        <v>✓</v>
      </c>
      <c r="H158" s="18">
        <v>54.8</v>
      </c>
      <c r="I158" s="18">
        <v>54.43</v>
      </c>
      <c r="J158" s="18">
        <v>51.31</v>
      </c>
      <c r="K158" s="19">
        <f>'01_PARÂMETROS'!$B$4*I158+'01_PARÂMETROS'!$B$5*H158+'01_PARÂMETROS'!$B$6*J158</f>
        <v>54.091499999999996</v>
      </c>
      <c r="L158" s="20" t="str">
        <f t="shared" si="14"/>
        <v>✓</v>
      </c>
      <c r="M158" s="21">
        <f t="shared" si="15"/>
        <v>59.006749999999997</v>
      </c>
      <c r="N158" s="22">
        <f>IFERROR(M158/'01_PARÂMETROS'!$B$9,"")</f>
        <v>1.1801349999999999</v>
      </c>
      <c r="O158" s="23">
        <f>IFERROR(MAX('01_PARÂMETROS'!$B$11,MIN('01_PARÂMETROS'!$B$12,N158)),"")</f>
        <v>1.1801349999999999</v>
      </c>
    </row>
    <row r="159" spans="1:15" ht="13.5" customHeight="1" x14ac:dyDescent="0.25">
      <c r="A159" s="13" t="s">
        <v>437</v>
      </c>
      <c r="B159" s="14" t="s">
        <v>438</v>
      </c>
      <c r="C159" s="15">
        <v>66.64</v>
      </c>
      <c r="D159" s="15">
        <v>55.68</v>
      </c>
      <c r="E159" s="15">
        <v>52.57</v>
      </c>
      <c r="F159" s="16">
        <f>'01_PARÂMETROS'!$B$4*D159+'01_PARÂMETROS'!$B$5*C159+'01_PARÂMETROS'!$B$6*E159</f>
        <v>59.049500000000002</v>
      </c>
      <c r="G159" s="17" t="str">
        <f t="shared" si="13"/>
        <v>✓</v>
      </c>
      <c r="H159" s="18">
        <v>58.67</v>
      </c>
      <c r="I159" s="18">
        <v>67.78</v>
      </c>
      <c r="J159" s="18">
        <v>56.77</v>
      </c>
      <c r="K159" s="19">
        <f>'01_PARÂMETROS'!$B$4*I159+'01_PARÂMETROS'!$B$5*H159+'01_PARÂMETROS'!$B$6*J159</f>
        <v>62.94</v>
      </c>
      <c r="L159" s="20" t="str">
        <f t="shared" si="14"/>
        <v>✓</v>
      </c>
      <c r="M159" s="21">
        <f t="shared" si="15"/>
        <v>60.994749999999996</v>
      </c>
      <c r="N159" s="22">
        <f>IFERROR(M159/'01_PARÂMETROS'!$B$9,"")</f>
        <v>1.219895</v>
      </c>
      <c r="O159" s="23">
        <f>IFERROR(MAX('01_PARÂMETROS'!$B$11,MIN('01_PARÂMETROS'!$B$12,N159)),"")</f>
        <v>1.219895</v>
      </c>
    </row>
    <row r="160" spans="1:15" ht="13.5" customHeight="1" x14ac:dyDescent="0.25">
      <c r="A160" s="24" t="s">
        <v>439</v>
      </c>
      <c r="B160" s="25" t="s">
        <v>440</v>
      </c>
      <c r="C160" s="15">
        <v>40.270000000000003</v>
      </c>
      <c r="D160" s="15">
        <v>6.06</v>
      </c>
      <c r="E160" s="15">
        <v>6.49</v>
      </c>
      <c r="F160" s="16">
        <f>'01_PARÂMETROS'!$B$4*D160+'01_PARÂMETROS'!$B$5*C160+'01_PARÂMETROS'!$B$6*E160</f>
        <v>18.098000000000003</v>
      </c>
      <c r="G160" s="17" t="str">
        <f t="shared" si="13"/>
        <v>✓</v>
      </c>
      <c r="H160" s="18">
        <v>43.63</v>
      </c>
      <c r="I160" s="18">
        <v>31.61</v>
      </c>
      <c r="J160" s="18">
        <v>60.95</v>
      </c>
      <c r="K160" s="19">
        <f>'01_PARÂMETROS'!$B$4*I160+'01_PARÂMETROS'!$B$5*H160+'01_PARÂMETROS'!$B$6*J160</f>
        <v>40.217999999999996</v>
      </c>
      <c r="L160" s="20" t="str">
        <f t="shared" si="14"/>
        <v>✓</v>
      </c>
      <c r="M160" s="21">
        <f t="shared" si="15"/>
        <v>29.158000000000001</v>
      </c>
      <c r="N160" s="22">
        <f>IFERROR(M160/'01_PARÂMETROS'!$B$9,"")</f>
        <v>0.58316000000000001</v>
      </c>
      <c r="O160" s="26">
        <f>IFERROR(MAX('01_PARÂMETROS'!$B$11,MIN('01_PARÂMETROS'!$B$12,N160)),"")</f>
        <v>0.75</v>
      </c>
    </row>
    <row r="161" spans="1:15" ht="13.5" customHeight="1" x14ac:dyDescent="0.25">
      <c r="A161" s="13" t="s">
        <v>441</v>
      </c>
      <c r="B161" s="14" t="s">
        <v>442</v>
      </c>
      <c r="C161" s="15">
        <v>81.77</v>
      </c>
      <c r="D161" s="15">
        <v>97.46</v>
      </c>
      <c r="E161" s="15">
        <v>86.27</v>
      </c>
      <c r="F161" s="16">
        <f>'01_PARÂMETROS'!$B$4*D161+'01_PARÂMETROS'!$B$5*C161+'01_PARÂMETROS'!$B$6*E161</f>
        <v>90.289999999999992</v>
      </c>
      <c r="G161" s="17" t="str">
        <f t="shared" si="13"/>
        <v>✓</v>
      </c>
      <c r="H161" s="18">
        <v>76.27</v>
      </c>
      <c r="I161" s="18">
        <v>97.71</v>
      </c>
      <c r="J161" s="18">
        <v>95.57</v>
      </c>
      <c r="K161" s="19">
        <f>'01_PARÂMETROS'!$B$4*I161+'01_PARÂMETROS'!$B$5*H161+'01_PARÂMETROS'!$B$6*J161</f>
        <v>89.884999999999991</v>
      </c>
      <c r="L161" s="20" t="str">
        <f t="shared" si="14"/>
        <v>✓</v>
      </c>
      <c r="M161" s="21">
        <f t="shared" si="15"/>
        <v>90.087499999999991</v>
      </c>
      <c r="N161" s="22">
        <f>IFERROR(M161/'01_PARÂMETROS'!$B$9,"")</f>
        <v>1.8017499999999997</v>
      </c>
      <c r="O161" s="32">
        <f>IFERROR(MAX('01_PARÂMETROS'!$B$11,MIN('01_PARÂMETROS'!$B$12,N161)),"")</f>
        <v>1.4</v>
      </c>
    </row>
    <row r="162" spans="1:15" ht="13.5" customHeight="1" x14ac:dyDescent="0.25">
      <c r="A162" s="24" t="s">
        <v>443</v>
      </c>
      <c r="B162" s="25" t="s">
        <v>444</v>
      </c>
      <c r="C162" s="15">
        <v>44.77</v>
      </c>
      <c r="D162" s="15">
        <v>14.38</v>
      </c>
      <c r="E162" s="15">
        <v>7.84</v>
      </c>
      <c r="F162" s="16">
        <f>'01_PARÂMETROS'!$B$4*D162+'01_PARÂMETROS'!$B$5*C162+'01_PARÂMETROS'!$B$6*E162</f>
        <v>24.035499999999999</v>
      </c>
      <c r="G162" s="17" t="str">
        <f t="shared" si="13"/>
        <v>✓</v>
      </c>
      <c r="H162" s="18">
        <v>61.93</v>
      </c>
      <c r="I162" s="18">
        <v>61.23</v>
      </c>
      <c r="J162" s="18">
        <v>96.28</v>
      </c>
      <c r="K162" s="19">
        <f>'01_PARÂMETROS'!$B$4*I162+'01_PARÂMETROS'!$B$5*H162+'01_PARÂMETROS'!$B$6*J162</f>
        <v>66.732499999999987</v>
      </c>
      <c r="L162" s="20" t="str">
        <f t="shared" si="14"/>
        <v>✓</v>
      </c>
      <c r="M162" s="21">
        <f t="shared" si="15"/>
        <v>45.383999999999993</v>
      </c>
      <c r="N162" s="22">
        <f>IFERROR(M162/'01_PARÂMETROS'!$B$9,"")</f>
        <v>0.90767999999999982</v>
      </c>
      <c r="O162" s="34">
        <f>IFERROR(MAX('01_PARÂMETROS'!$B$11,MIN('01_PARÂMETROS'!$B$12,N162)),"")</f>
        <v>0.90767999999999982</v>
      </c>
    </row>
    <row r="163" spans="1:15" ht="13.5" customHeight="1" x14ac:dyDescent="0.25">
      <c r="A163" s="13" t="s">
        <v>445</v>
      </c>
      <c r="B163" s="14" t="s">
        <v>446</v>
      </c>
      <c r="C163" s="15">
        <v>84.48</v>
      </c>
      <c r="D163" s="15">
        <v>86.76</v>
      </c>
      <c r="E163" s="15">
        <v>74.06</v>
      </c>
      <c r="F163" s="16">
        <f>'01_PARÂMETROS'!$B$4*D163+'01_PARÂMETROS'!$B$5*C163+'01_PARÂMETROS'!$B$6*E163</f>
        <v>84.057000000000002</v>
      </c>
      <c r="G163" s="17" t="str">
        <f t="shared" si="13"/>
        <v>✓</v>
      </c>
      <c r="H163" s="18">
        <v>74.02</v>
      </c>
      <c r="I163" s="18">
        <v>77.25</v>
      </c>
      <c r="J163" s="18">
        <v>81.27</v>
      </c>
      <c r="K163" s="19">
        <f>'01_PARÂMETROS'!$B$4*I163+'01_PARÂMETROS'!$B$5*H163+'01_PARÂMETROS'!$B$6*J163</f>
        <v>76.722499999999997</v>
      </c>
      <c r="L163" s="20" t="str">
        <f t="shared" si="14"/>
        <v>✓</v>
      </c>
      <c r="M163" s="21">
        <f t="shared" si="15"/>
        <v>80.389749999999992</v>
      </c>
      <c r="N163" s="22">
        <f>IFERROR(M163/'01_PARÂMETROS'!$B$9,"")</f>
        <v>1.6077949999999999</v>
      </c>
      <c r="O163" s="32">
        <f>IFERROR(MAX('01_PARÂMETROS'!$B$11,MIN('01_PARÂMETROS'!$B$12,N163)),"")</f>
        <v>1.4</v>
      </c>
    </row>
    <row r="164" spans="1:15" ht="13.5" customHeight="1" x14ac:dyDescent="0.25">
      <c r="A164" s="24" t="s">
        <v>447</v>
      </c>
      <c r="B164" s="25" t="s">
        <v>448</v>
      </c>
      <c r="C164" s="15">
        <v>61.91</v>
      </c>
      <c r="D164" s="15">
        <v>36.97</v>
      </c>
      <c r="E164" s="15">
        <v>29.89</v>
      </c>
      <c r="F164" s="16">
        <f>'01_PARÂMETROS'!$B$4*D164+'01_PARÂMETROS'!$B$5*C164+'01_PARÂMETROS'!$B$6*E164</f>
        <v>44.636999999999993</v>
      </c>
      <c r="G164" s="17" t="str">
        <f t="shared" si="13"/>
        <v>✓</v>
      </c>
      <c r="H164" s="18">
        <v>51.15</v>
      </c>
      <c r="I164" s="18">
        <v>30.9</v>
      </c>
      <c r="J164" s="18">
        <v>29.58</v>
      </c>
      <c r="K164" s="19">
        <f>'01_PARÂMETROS'!$B$4*I164+'01_PARÂMETROS'!$B$5*H164+'01_PARÂMETROS'!$B$6*J164</f>
        <v>37.789499999999997</v>
      </c>
      <c r="L164" s="20" t="str">
        <f t="shared" si="14"/>
        <v>✓</v>
      </c>
      <c r="M164" s="21">
        <f t="shared" si="15"/>
        <v>41.213249999999995</v>
      </c>
      <c r="N164" s="22">
        <f>IFERROR(M164/'01_PARÂMETROS'!$B$9,"")</f>
        <v>0.82426499999999991</v>
      </c>
      <c r="O164" s="26">
        <f>IFERROR(MAX('01_PARÂMETROS'!$B$11,MIN('01_PARÂMETROS'!$B$12,N164)),"")</f>
        <v>0.82426499999999991</v>
      </c>
    </row>
    <row r="165" spans="1:15" ht="13.5" customHeight="1" x14ac:dyDescent="0.25">
      <c r="A165" s="13" t="s">
        <v>449</v>
      </c>
      <c r="B165" s="14" t="s">
        <v>450</v>
      </c>
      <c r="C165" s="15">
        <v>87.74</v>
      </c>
      <c r="D165" s="15">
        <v>39.83</v>
      </c>
      <c r="E165" s="15">
        <v>21.72</v>
      </c>
      <c r="F165" s="16">
        <f>'01_PARÂMETROS'!$B$4*D165+'01_PARÂMETROS'!$B$5*C165+'01_PARÂMETROS'!$B$6*E165</f>
        <v>53.881999999999998</v>
      </c>
      <c r="G165" s="17" t="str">
        <f t="shared" si="13"/>
        <v>✓</v>
      </c>
      <c r="H165" s="18">
        <v>79.37</v>
      </c>
      <c r="I165" s="18">
        <v>66.52</v>
      </c>
      <c r="J165" s="18">
        <v>74.23</v>
      </c>
      <c r="K165" s="19">
        <f>'01_PARÂMETROS'!$B$4*I165+'01_PARÂMETROS'!$B$5*H165+'01_PARÂMETROS'!$B$6*J165</f>
        <v>72.173999999999992</v>
      </c>
      <c r="L165" s="20" t="str">
        <f t="shared" si="14"/>
        <v>✓</v>
      </c>
      <c r="M165" s="21">
        <f t="shared" si="15"/>
        <v>63.027999999999992</v>
      </c>
      <c r="N165" s="22">
        <f>IFERROR(M165/'01_PARÂMETROS'!$B$9,"")</f>
        <v>1.2605599999999999</v>
      </c>
      <c r="O165" s="32">
        <f>IFERROR(MAX('01_PARÂMETROS'!$B$11,MIN('01_PARÂMETROS'!$B$12,N165)),"")</f>
        <v>1.2605599999999999</v>
      </c>
    </row>
    <row r="166" spans="1:15" ht="13.5" customHeight="1" x14ac:dyDescent="0.25">
      <c r="A166" s="24" t="s">
        <v>451</v>
      </c>
      <c r="B166" s="25" t="s">
        <v>452</v>
      </c>
      <c r="C166" s="15">
        <v>65.48</v>
      </c>
      <c r="D166" s="15">
        <v>62.97</v>
      </c>
      <c r="E166" s="15">
        <v>25.53</v>
      </c>
      <c r="F166" s="16">
        <f>'01_PARÂMETROS'!$B$4*D166+'01_PARÂMETROS'!$B$5*C166+'01_PARÂMETROS'!$B$6*E166</f>
        <v>58.232500000000002</v>
      </c>
      <c r="G166" s="17" t="str">
        <f t="shared" si="13"/>
        <v>✓</v>
      </c>
      <c r="H166" s="18">
        <v>39.21</v>
      </c>
      <c r="I166" s="18">
        <v>35.56</v>
      </c>
      <c r="J166" s="18">
        <v>13.62</v>
      </c>
      <c r="K166" s="19">
        <f>'01_PARÂMETROS'!$B$4*I166+'01_PARÂMETROS'!$B$5*H166+'01_PARÂMETROS'!$B$6*J166</f>
        <v>33.546500000000002</v>
      </c>
      <c r="L166" s="20" t="str">
        <f t="shared" si="14"/>
        <v>✓</v>
      </c>
      <c r="M166" s="21">
        <f t="shared" si="15"/>
        <v>45.889499999999998</v>
      </c>
      <c r="N166" s="22">
        <f>IFERROR(M166/'01_PARÂMETROS'!$B$9,"")</f>
        <v>0.91778999999999999</v>
      </c>
      <c r="O166" s="34">
        <f>IFERROR(MAX('01_PARÂMETROS'!$B$11,MIN('01_PARÂMETROS'!$B$12,N166)),"")</f>
        <v>0.91778999999999999</v>
      </c>
    </row>
    <row r="167" spans="1:15" ht="13.5" customHeight="1" x14ac:dyDescent="0.25">
      <c r="A167" s="13" t="s">
        <v>453</v>
      </c>
      <c r="B167" s="14" t="s">
        <v>454</v>
      </c>
      <c r="C167" s="15">
        <v>77.66</v>
      </c>
      <c r="D167" s="15">
        <v>95.64</v>
      </c>
      <c r="E167" s="15">
        <v>94.92</v>
      </c>
      <c r="F167" s="16">
        <f>'01_PARÂMETROS'!$B$4*D167+'01_PARÂMETROS'!$B$5*C167+'01_PARÂMETROS'!$B$6*E167</f>
        <v>89.239000000000004</v>
      </c>
      <c r="G167" s="17" t="str">
        <f t="shared" si="13"/>
        <v>✓</v>
      </c>
      <c r="H167" s="18">
        <v>68.67</v>
      </c>
      <c r="I167" s="18">
        <v>87.68</v>
      </c>
      <c r="J167" s="18">
        <v>72.34</v>
      </c>
      <c r="K167" s="19">
        <f>'01_PARÂMETROS'!$B$4*I167+'01_PARÂMETROS'!$B$5*H167+'01_PARÂMETROS'!$B$6*J167</f>
        <v>78.725499999999997</v>
      </c>
      <c r="L167" s="20" t="str">
        <f t="shared" si="14"/>
        <v>✓</v>
      </c>
      <c r="M167" s="21">
        <f t="shared" si="15"/>
        <v>83.982249999999993</v>
      </c>
      <c r="N167" s="22">
        <f>IFERROR(M167/'01_PARÂMETROS'!$B$9,"")</f>
        <v>1.6796449999999998</v>
      </c>
      <c r="O167" s="32">
        <f>IFERROR(MAX('01_PARÂMETROS'!$B$11,MIN('01_PARÂMETROS'!$B$12,N167)),"")</f>
        <v>1.4</v>
      </c>
    </row>
  </sheetData>
  <mergeCells count="6">
    <mergeCell ref="A1:O1"/>
    <mergeCell ref="A2:O2"/>
    <mergeCell ref="A3:B3"/>
    <mergeCell ref="C3:G3"/>
    <mergeCell ref="H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O1336"/>
  <sheetViews>
    <sheetView showGridLines="0" zoomScaleNormal="100" workbookViewId="0">
      <pane ySplit="4" topLeftCell="A5" activePane="bottomLeft" state="frozen"/>
      <selection pane="bottomLeft" activeCell="O14" sqref="O14"/>
    </sheetView>
  </sheetViews>
  <sheetFormatPr defaultColWidth="8.7109375" defaultRowHeight="15" x14ac:dyDescent="0.25"/>
  <cols>
    <col min="1" max="1" width="10" customWidth="1"/>
    <col min="2" max="2" width="4" customWidth="1"/>
    <col min="3" max="3" width="58.140625" customWidth="1"/>
    <col min="4" max="4" width="15.5703125" bestFit="1" customWidth="1"/>
    <col min="5" max="5" width="9" customWidth="1"/>
    <col min="6" max="8" width="10" customWidth="1"/>
    <col min="9" max="12" width="11" customWidth="1"/>
    <col min="13" max="14" width="12" customWidth="1"/>
    <col min="15" max="15" width="15" customWidth="1"/>
  </cols>
  <sheetData>
    <row r="1" spans="1:15" ht="27.75" customHeight="1" x14ac:dyDescent="0.25">
      <c r="A1" s="122" t="s">
        <v>455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</row>
    <row r="2" spans="1:15" ht="27.75" customHeight="1" x14ac:dyDescent="0.25">
      <c r="A2" s="116" t="s">
        <v>456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</row>
    <row r="3" spans="1:15" ht="15.75" customHeight="1" x14ac:dyDescent="0.25">
      <c r="A3" s="117" t="s">
        <v>113</v>
      </c>
      <c r="B3" s="117"/>
      <c r="C3" s="117"/>
      <c r="D3" s="117"/>
      <c r="E3" s="117"/>
      <c r="F3" s="118" t="s">
        <v>457</v>
      </c>
      <c r="G3" s="118"/>
      <c r="H3" s="118"/>
      <c r="I3" s="118"/>
      <c r="J3" s="117" t="s">
        <v>458</v>
      </c>
      <c r="K3" s="117"/>
      <c r="L3" s="117"/>
      <c r="M3" s="124" t="s">
        <v>459</v>
      </c>
      <c r="N3" s="124"/>
      <c r="O3" s="124"/>
    </row>
    <row r="4" spans="1:15" ht="31.5" customHeight="1" x14ac:dyDescent="0.25">
      <c r="A4" s="9" t="s">
        <v>460</v>
      </c>
      <c r="B4" s="9" t="s">
        <v>461</v>
      </c>
      <c r="C4" s="9" t="s">
        <v>118</v>
      </c>
      <c r="D4" s="9" t="s">
        <v>462</v>
      </c>
      <c r="E4" s="9" t="s">
        <v>463</v>
      </c>
      <c r="F4" s="10" t="s">
        <v>464</v>
      </c>
      <c r="G4" s="10" t="s">
        <v>465</v>
      </c>
      <c r="H4" s="10" t="s">
        <v>466</v>
      </c>
      <c r="I4" s="10" t="s">
        <v>467</v>
      </c>
      <c r="J4" s="9" t="s">
        <v>468</v>
      </c>
      <c r="K4" s="9" t="s">
        <v>469</v>
      </c>
      <c r="L4" s="9" t="s">
        <v>470</v>
      </c>
      <c r="M4" s="36" t="s">
        <v>471</v>
      </c>
      <c r="N4" s="36" t="s">
        <v>472</v>
      </c>
      <c r="O4" s="37" t="s">
        <v>473</v>
      </c>
    </row>
    <row r="5" spans="1:15" ht="13.5" customHeight="1" x14ac:dyDescent="0.25">
      <c r="A5" s="24" t="s">
        <v>474</v>
      </c>
      <c r="B5" s="38" t="s">
        <v>475</v>
      </c>
      <c r="C5" s="25" t="s">
        <v>129</v>
      </c>
      <c r="D5" s="39" t="s">
        <v>476</v>
      </c>
      <c r="E5" s="40" t="s">
        <v>477</v>
      </c>
      <c r="F5" s="41">
        <f>'03_FONTE_FAP'!F5</f>
        <v>54.954999999999998</v>
      </c>
      <c r="G5" s="42">
        <f>'03_FONTE_FAP'!K5</f>
        <v>57.308</v>
      </c>
      <c r="H5" s="21">
        <f>'03_FONTE_FAP'!M5</f>
        <v>56.131500000000003</v>
      </c>
      <c r="I5" s="43">
        <f>'01_PARÂMETROS'!$B$9</f>
        <v>50</v>
      </c>
      <c r="J5" s="44">
        <f t="shared" ref="J5:J10" si="0">IFERROR(IF(H5=0,1,H5/I5),1)</f>
        <v>1.12263</v>
      </c>
      <c r="K5" s="45">
        <f>MAX('01_PARÂMETROS'!$B$11,MIN('01_PARÂMETROS'!$B$12,J5))</f>
        <v>1.12263</v>
      </c>
      <c r="L5" s="46">
        <f t="shared" ref="L5:L68" si="1">(K5-1)</f>
        <v>0.12263000000000002</v>
      </c>
      <c r="M5" s="47" t="str">
        <f>IF(K5&lt;='01_PARÂMETROS'!$B$14,"Preferencial",IF(K5&lt;='01_PARÂMETROS'!$B$15,"Baixo",IF(K5&lt;='01_PARÂMETROS'!$B$16,"Médio",IF(K5&lt;='01_PARÂMETROS'!$B$17,"Alto","Elevado"))))</f>
        <v>Alto</v>
      </c>
      <c r="N5" s="48" t="s">
        <v>478</v>
      </c>
      <c r="O5" s="29" t="s">
        <v>3360</v>
      </c>
    </row>
    <row r="6" spans="1:15" ht="13.5" customHeight="1" x14ac:dyDescent="0.25">
      <c r="A6" s="13" t="s">
        <v>479</v>
      </c>
      <c r="B6" s="49" t="s">
        <v>475</v>
      </c>
      <c r="C6" s="14" t="s">
        <v>131</v>
      </c>
      <c r="D6" s="50" t="s">
        <v>476</v>
      </c>
      <c r="E6" s="40" t="s">
        <v>477</v>
      </c>
      <c r="F6" s="41">
        <f>'03_FONTE_FAP'!F6</f>
        <v>48.244499999999995</v>
      </c>
      <c r="G6" s="42">
        <f>'03_FONTE_FAP'!K6</f>
        <v>28.613499999999998</v>
      </c>
      <c r="H6" s="21">
        <f>'03_FONTE_FAP'!M6</f>
        <v>38.428999999999995</v>
      </c>
      <c r="I6" s="43">
        <f>'01_PARÂMETROS'!$B$9</f>
        <v>50</v>
      </c>
      <c r="J6" s="44">
        <f t="shared" si="0"/>
        <v>0.76857999999999993</v>
      </c>
      <c r="K6" s="51">
        <f>MAX('01_PARÂMETROS'!$B$11,MIN('01_PARÂMETROS'!$B$12,J6))</f>
        <v>0.76857999999999993</v>
      </c>
      <c r="L6" s="52">
        <f t="shared" si="1"/>
        <v>-0.23142000000000007</v>
      </c>
      <c r="M6" s="53" t="str">
        <f>IF(K6&lt;='01_PARÂMETROS'!$B$14,"Preferencial",IF(K6&lt;='01_PARÂMETROS'!$B$15,"Baixo",IF(K6&lt;='01_PARÂMETROS'!$B$16,"Médio",IF(K6&lt;='01_PARÂMETROS'!$B$17,"Alto","Elevado"))))</f>
        <v>Preferencial</v>
      </c>
      <c r="N6" s="48" t="s">
        <v>478</v>
      </c>
      <c r="O6" s="29" t="s">
        <v>3360</v>
      </c>
    </row>
    <row r="7" spans="1:15" ht="13.5" customHeight="1" x14ac:dyDescent="0.25">
      <c r="A7" s="24" t="s">
        <v>480</v>
      </c>
      <c r="B7" s="38" t="s">
        <v>475</v>
      </c>
      <c r="C7" s="25" t="s">
        <v>133</v>
      </c>
      <c r="D7" s="39" t="s">
        <v>476</v>
      </c>
      <c r="E7" s="40" t="s">
        <v>477</v>
      </c>
      <c r="F7" s="41">
        <f>'03_FONTE_FAP'!F7</f>
        <v>26.266500000000001</v>
      </c>
      <c r="G7" s="42">
        <f>'03_FONTE_FAP'!K7</f>
        <v>19.7225</v>
      </c>
      <c r="H7" s="21">
        <f>'03_FONTE_FAP'!M7</f>
        <v>22.994500000000002</v>
      </c>
      <c r="I7" s="43">
        <f>'01_PARÂMETROS'!$B$9</f>
        <v>50</v>
      </c>
      <c r="J7" s="44">
        <f t="shared" si="0"/>
        <v>0.45989000000000002</v>
      </c>
      <c r="K7" s="51">
        <f>MAX('01_PARÂMETROS'!$B$11,MIN('01_PARÂMETROS'!$B$12,J7))</f>
        <v>0.75</v>
      </c>
      <c r="L7" s="52">
        <f t="shared" si="1"/>
        <v>-0.25</v>
      </c>
      <c r="M7" s="53" t="str">
        <f>IF(K7&lt;='01_PARÂMETROS'!$B$14,"Preferencial",IF(K7&lt;='01_PARÂMETROS'!$B$15,"Baixo",IF(K7&lt;='01_PARÂMETROS'!$B$16,"Médio",IF(K7&lt;='01_PARÂMETROS'!$B$17,"Alto","Elevado"))))</f>
        <v>Preferencial</v>
      </c>
      <c r="N7" s="48" t="s">
        <v>478</v>
      </c>
      <c r="O7" s="29" t="s">
        <v>3360</v>
      </c>
    </row>
    <row r="8" spans="1:15" ht="13.5" customHeight="1" x14ac:dyDescent="0.25">
      <c r="A8" s="13" t="s">
        <v>481</v>
      </c>
      <c r="B8" s="49" t="s">
        <v>475</v>
      </c>
      <c r="C8" s="14" t="s">
        <v>135</v>
      </c>
      <c r="D8" s="50" t="s">
        <v>476</v>
      </c>
      <c r="E8" s="40" t="s">
        <v>477</v>
      </c>
      <c r="F8" s="41">
        <f>'03_FONTE_FAP'!F8</f>
        <v>47.298999999999992</v>
      </c>
      <c r="G8" s="42">
        <f>'03_FONTE_FAP'!K8</f>
        <v>69.119499999999988</v>
      </c>
      <c r="H8" s="21">
        <f>'03_FONTE_FAP'!M8</f>
        <v>58.20924999999999</v>
      </c>
      <c r="I8" s="43">
        <f>'01_PARÂMETROS'!$B$9</f>
        <v>50</v>
      </c>
      <c r="J8" s="44">
        <f t="shared" si="0"/>
        <v>1.1641849999999998</v>
      </c>
      <c r="K8" s="45">
        <f>MAX('01_PARÂMETROS'!$B$11,MIN('01_PARÂMETROS'!$B$12,J8))</f>
        <v>1.1641849999999998</v>
      </c>
      <c r="L8" s="46">
        <f t="shared" si="1"/>
        <v>0.1641849999999998</v>
      </c>
      <c r="M8" s="47" t="str">
        <f>IF(K8&lt;='01_PARÂMETROS'!$B$14,"Preferencial",IF(K8&lt;='01_PARÂMETROS'!$B$15,"Baixo",IF(K8&lt;='01_PARÂMETROS'!$B$16,"Médio",IF(K8&lt;='01_PARÂMETROS'!$B$17,"Alto","Elevado"))))</f>
        <v>Alto</v>
      </c>
      <c r="N8" s="48" t="s">
        <v>478</v>
      </c>
      <c r="O8" s="29" t="s">
        <v>3360</v>
      </c>
    </row>
    <row r="9" spans="1:15" ht="13.5" customHeight="1" x14ac:dyDescent="0.25">
      <c r="A9" s="24" t="s">
        <v>482</v>
      </c>
      <c r="B9" s="38" t="s">
        <v>475</v>
      </c>
      <c r="C9" s="25" t="s">
        <v>137</v>
      </c>
      <c r="D9" s="39" t="s">
        <v>476</v>
      </c>
      <c r="E9" s="40" t="s">
        <v>477</v>
      </c>
      <c r="F9" s="41">
        <f>'03_FONTE_FAP'!F9</f>
        <v>63.367999999999995</v>
      </c>
      <c r="G9" s="42">
        <f>'03_FONTE_FAP'!K9</f>
        <v>46.408000000000001</v>
      </c>
      <c r="H9" s="21">
        <f>'03_FONTE_FAP'!M9</f>
        <v>54.887999999999998</v>
      </c>
      <c r="I9" s="43">
        <f>'01_PARÂMETROS'!$B$9</f>
        <v>50</v>
      </c>
      <c r="J9" s="44">
        <f t="shared" si="0"/>
        <v>1.0977600000000001</v>
      </c>
      <c r="K9" s="45">
        <f>MAX('01_PARÂMETROS'!$B$11,MIN('01_PARÂMETROS'!$B$12,J9))</f>
        <v>1.0977600000000001</v>
      </c>
      <c r="L9" s="46">
        <f t="shared" si="1"/>
        <v>9.7760000000000069E-2</v>
      </c>
      <c r="M9" s="47" t="str">
        <f>IF(K9&lt;='01_PARÂMETROS'!$B$14,"Preferencial",IF(K9&lt;='01_PARÂMETROS'!$B$15,"Baixo",IF(K9&lt;='01_PARÂMETROS'!$B$16,"Médio",IF(K9&lt;='01_PARÂMETROS'!$B$17,"Alto","Elevado"))))</f>
        <v>Alto</v>
      </c>
      <c r="N9" s="48" t="s">
        <v>478</v>
      </c>
      <c r="O9" s="29" t="s">
        <v>3360</v>
      </c>
    </row>
    <row r="10" spans="1:15" ht="13.5" customHeight="1" x14ac:dyDescent="0.25">
      <c r="A10" s="13" t="s">
        <v>483</v>
      </c>
      <c r="B10" s="49" t="s">
        <v>475</v>
      </c>
      <c r="C10" s="14" t="s">
        <v>139</v>
      </c>
      <c r="D10" s="50" t="s">
        <v>476</v>
      </c>
      <c r="E10" s="40" t="s">
        <v>477</v>
      </c>
      <c r="F10" s="41">
        <f>'03_FONTE_FAP'!F10</f>
        <v>36.826999999999998</v>
      </c>
      <c r="G10" s="42">
        <f>'03_FONTE_FAP'!K10</f>
        <v>0</v>
      </c>
      <c r="H10" s="21">
        <f>'03_FONTE_FAP'!M10</f>
        <v>36.826999999999998</v>
      </c>
      <c r="I10" s="43">
        <f>'01_PARÂMETROS'!$B$9</f>
        <v>50</v>
      </c>
      <c r="J10" s="44">
        <f t="shared" si="0"/>
        <v>0.73653999999999997</v>
      </c>
      <c r="K10" s="51">
        <f>MAX('01_PARÂMETROS'!$B$11,MIN('01_PARÂMETROS'!$B$12,J10))</f>
        <v>0.75</v>
      </c>
      <c r="L10" s="52">
        <f t="shared" si="1"/>
        <v>-0.25</v>
      </c>
      <c r="M10" s="53" t="str">
        <f>IF(K10&lt;='01_PARÂMETROS'!$B$14,"Preferencial",IF(K10&lt;='01_PARÂMETROS'!$B$15,"Baixo",IF(K10&lt;='01_PARÂMETROS'!$B$16,"Médio",IF(K10&lt;='01_PARÂMETROS'!$B$17,"Alto","Elevado"))))</f>
        <v>Preferencial</v>
      </c>
      <c r="N10" s="48" t="s">
        <v>478</v>
      </c>
      <c r="O10" s="29" t="s">
        <v>3360</v>
      </c>
    </row>
    <row r="11" spans="1:15" ht="13.5" customHeight="1" x14ac:dyDescent="0.25">
      <c r="A11" s="24" t="s">
        <v>484</v>
      </c>
      <c r="B11" s="38" t="s">
        <v>475</v>
      </c>
      <c r="C11" s="25" t="s">
        <v>141</v>
      </c>
      <c r="D11" s="39" t="s">
        <v>476</v>
      </c>
      <c r="E11" s="40" t="s">
        <v>477</v>
      </c>
      <c r="F11" s="54" t="s">
        <v>485</v>
      </c>
      <c r="G11" s="54" t="s">
        <v>485</v>
      </c>
      <c r="H11" s="54" t="s">
        <v>485</v>
      </c>
      <c r="I11" s="43">
        <f>'01_PARÂMETROS'!$B$9</f>
        <v>50</v>
      </c>
      <c r="J11" s="44">
        <f>1</f>
        <v>1</v>
      </c>
      <c r="K11" s="55">
        <f>MAX('01_PARÂMETROS'!$B$11,MIN('01_PARÂMETROS'!$B$12,J11))</f>
        <v>1</v>
      </c>
      <c r="L11" s="56">
        <f t="shared" si="1"/>
        <v>0</v>
      </c>
      <c r="M11" s="57" t="str">
        <f>IF(K11&lt;='01_PARÂMETROS'!$B$14,"Preferencial",IF(K11&lt;='01_PARÂMETROS'!$B$15,"Baixo",IF(K11&lt;='01_PARÂMETROS'!$B$16,"Médio",IF(K11&lt;='01_PARÂMETROS'!$B$17,"Alto","Elevado"))))</f>
        <v>Médio</v>
      </c>
      <c r="N11" s="58" t="s">
        <v>486</v>
      </c>
      <c r="O11" s="54"/>
    </row>
    <row r="12" spans="1:15" ht="13.5" customHeight="1" x14ac:dyDescent="0.25">
      <c r="A12" s="13" t="s">
        <v>487</v>
      </c>
      <c r="B12" s="49" t="s">
        <v>475</v>
      </c>
      <c r="C12" s="14" t="s">
        <v>143</v>
      </c>
      <c r="D12" s="50" t="s">
        <v>476</v>
      </c>
      <c r="E12" s="40" t="s">
        <v>477</v>
      </c>
      <c r="F12" s="41">
        <f>'03_FONTE_FAP'!F12</f>
        <v>71.161000000000001</v>
      </c>
      <c r="G12" s="42">
        <f>'03_FONTE_FAP'!K12</f>
        <v>69.28</v>
      </c>
      <c r="H12" s="21">
        <f>'03_FONTE_FAP'!M12</f>
        <v>70.220500000000001</v>
      </c>
      <c r="I12" s="43">
        <f>'01_PARÂMETROS'!$B$9</f>
        <v>50</v>
      </c>
      <c r="J12" s="44">
        <f>IFERROR(IF(H12=0,1,H12/I12),1)</f>
        <v>1.4044099999999999</v>
      </c>
      <c r="K12" s="59">
        <f>MAX('01_PARÂMETROS'!$B$11,MIN('01_PARÂMETROS'!$B$12,J12))</f>
        <v>1.4</v>
      </c>
      <c r="L12" s="60">
        <f t="shared" si="1"/>
        <v>0.39999999999999991</v>
      </c>
      <c r="M12" s="29" t="str">
        <f>IF(K12&lt;='01_PARÂMETROS'!$B$14,"Preferencial",IF(K12&lt;='01_PARÂMETROS'!$B$15,"Baixo",IF(K12&lt;='01_PARÂMETROS'!$B$16,"Médio",IF(K12&lt;='01_PARÂMETROS'!$B$17,"Alto","Elevado"))))</f>
        <v>Elevado</v>
      </c>
      <c r="N12" s="48" t="s">
        <v>478</v>
      </c>
      <c r="O12" s="61"/>
    </row>
    <row r="13" spans="1:15" ht="13.5" customHeight="1" x14ac:dyDescent="0.25">
      <c r="A13" s="24" t="s">
        <v>488</v>
      </c>
      <c r="B13" s="38" t="s">
        <v>475</v>
      </c>
      <c r="C13" s="25" t="s">
        <v>145</v>
      </c>
      <c r="D13" s="39" t="s">
        <v>476</v>
      </c>
      <c r="E13" s="40" t="s">
        <v>477</v>
      </c>
      <c r="F13" s="41">
        <f>'03_FONTE_FAP'!F13</f>
        <v>54.892499999999998</v>
      </c>
      <c r="G13" s="42">
        <f>'03_FONTE_FAP'!K13</f>
        <v>59.625999999999998</v>
      </c>
      <c r="H13" s="21">
        <f>'03_FONTE_FAP'!M13</f>
        <v>57.259249999999994</v>
      </c>
      <c r="I13" s="43">
        <f>'01_PARÂMETROS'!$B$9</f>
        <v>50</v>
      </c>
      <c r="J13" s="44">
        <f>IFERROR(IF(H13=0,1,H13/I13),1)</f>
        <v>1.1451849999999999</v>
      </c>
      <c r="K13" s="45">
        <f>MAX('01_PARÂMETROS'!$B$11,MIN('01_PARÂMETROS'!$B$12,J13))</f>
        <v>1.1451849999999999</v>
      </c>
      <c r="L13" s="46">
        <f t="shared" si="1"/>
        <v>0.1451849999999999</v>
      </c>
      <c r="M13" s="47" t="str">
        <f>IF(K13&lt;='01_PARÂMETROS'!$B$14,"Preferencial",IF(K13&lt;='01_PARÂMETROS'!$B$15,"Baixo",IF(K13&lt;='01_PARÂMETROS'!$B$16,"Médio",IF(K13&lt;='01_PARÂMETROS'!$B$17,"Alto","Elevado"))))</f>
        <v>Alto</v>
      </c>
      <c r="N13" s="48" t="s">
        <v>478</v>
      </c>
      <c r="O13" s="54"/>
    </row>
    <row r="14" spans="1:15" ht="13.5" customHeight="1" x14ac:dyDescent="0.25">
      <c r="A14" s="13" t="s">
        <v>489</v>
      </c>
      <c r="B14" s="49" t="s">
        <v>475</v>
      </c>
      <c r="C14" s="14" t="s">
        <v>147</v>
      </c>
      <c r="D14" s="50" t="s">
        <v>476</v>
      </c>
      <c r="E14" s="40" t="s">
        <v>477</v>
      </c>
      <c r="F14" s="41">
        <f>'03_FONTE_FAP'!F14</f>
        <v>57.598500000000001</v>
      </c>
      <c r="G14" s="42">
        <f>'03_FONTE_FAP'!K14</f>
        <v>59.246000000000002</v>
      </c>
      <c r="H14" s="21">
        <f>'03_FONTE_FAP'!M14</f>
        <v>58.422250000000005</v>
      </c>
      <c r="I14" s="43">
        <f>'01_PARÂMETROS'!$B$9</f>
        <v>50</v>
      </c>
      <c r="J14" s="44">
        <f>IFERROR(IF(H14=0,1,H14/I14),1)</f>
        <v>1.1684450000000002</v>
      </c>
      <c r="K14" s="45">
        <f>MAX('01_PARÂMETROS'!$B$11,MIN('01_PARÂMETROS'!$B$12,J14))</f>
        <v>1.1684450000000002</v>
      </c>
      <c r="L14" s="46">
        <f t="shared" si="1"/>
        <v>0.16844500000000018</v>
      </c>
      <c r="M14" s="47" t="str">
        <f>IF(K14&lt;='01_PARÂMETROS'!$B$14,"Preferencial",IF(K14&lt;='01_PARÂMETROS'!$B$15,"Baixo",IF(K14&lt;='01_PARÂMETROS'!$B$16,"Médio",IF(K14&lt;='01_PARÂMETROS'!$B$17,"Alto","Elevado"))))</f>
        <v>Alto</v>
      </c>
      <c r="N14" s="48" t="s">
        <v>478</v>
      </c>
      <c r="O14" s="61"/>
    </row>
    <row r="15" spans="1:15" ht="13.5" customHeight="1" x14ac:dyDescent="0.25">
      <c r="A15" s="24" t="s">
        <v>490</v>
      </c>
      <c r="B15" s="38" t="s">
        <v>475</v>
      </c>
      <c r="C15" s="25" t="s">
        <v>149</v>
      </c>
      <c r="D15" s="39" t="s">
        <v>476</v>
      </c>
      <c r="E15" s="40" t="s">
        <v>477</v>
      </c>
      <c r="F15" s="41">
        <f>'03_FONTE_FAP'!F15</f>
        <v>53.648999999999994</v>
      </c>
      <c r="G15" s="42">
        <f>'03_FONTE_FAP'!K15</f>
        <v>0</v>
      </c>
      <c r="H15" s="21">
        <f>'03_FONTE_FAP'!M15</f>
        <v>53.648999999999994</v>
      </c>
      <c r="I15" s="43">
        <f>'01_PARÂMETROS'!$B$9</f>
        <v>50</v>
      </c>
      <c r="J15" s="44">
        <f>IFERROR(IF(H15=0,1,H15/I15),1)</f>
        <v>1.0729799999999998</v>
      </c>
      <c r="K15" s="55">
        <f>MAX('01_PARÂMETROS'!$B$11,MIN('01_PARÂMETROS'!$B$12,J15))</f>
        <v>1.0729799999999998</v>
      </c>
      <c r="L15" s="56">
        <f t="shared" si="1"/>
        <v>7.2979999999999823E-2</v>
      </c>
      <c r="M15" s="57" t="str">
        <f>IF(K15&lt;='01_PARÂMETROS'!$B$14,"Preferencial",IF(K15&lt;='01_PARÂMETROS'!$B$15,"Baixo",IF(K15&lt;='01_PARÂMETROS'!$B$16,"Médio",IF(K15&lt;='01_PARÂMETROS'!$B$17,"Alto","Elevado"))))</f>
        <v>Médio</v>
      </c>
      <c r="N15" s="48" t="s">
        <v>478</v>
      </c>
      <c r="O15" s="54"/>
    </row>
    <row r="16" spans="1:15" ht="13.5" customHeight="1" x14ac:dyDescent="0.25">
      <c r="A16" s="13" t="s">
        <v>491</v>
      </c>
      <c r="B16" s="49" t="s">
        <v>475</v>
      </c>
      <c r="C16" s="14" t="s">
        <v>151</v>
      </c>
      <c r="D16" s="50" t="s">
        <v>476</v>
      </c>
      <c r="E16" s="40" t="s">
        <v>477</v>
      </c>
      <c r="F16" s="54" t="s">
        <v>485</v>
      </c>
      <c r="G16" s="54" t="s">
        <v>485</v>
      </c>
      <c r="H16" s="54" t="s">
        <v>485</v>
      </c>
      <c r="I16" s="43">
        <f>'01_PARÂMETROS'!$B$9</f>
        <v>50</v>
      </c>
      <c r="J16" s="44">
        <f>1</f>
        <v>1</v>
      </c>
      <c r="K16" s="55">
        <f>MAX('01_PARÂMETROS'!$B$11,MIN('01_PARÂMETROS'!$B$12,J16))</f>
        <v>1</v>
      </c>
      <c r="L16" s="56">
        <f t="shared" si="1"/>
        <v>0</v>
      </c>
      <c r="M16" s="57" t="str">
        <f>IF(K16&lt;='01_PARÂMETROS'!$B$14,"Preferencial",IF(K16&lt;='01_PARÂMETROS'!$B$15,"Baixo",IF(K16&lt;='01_PARÂMETROS'!$B$16,"Médio",IF(K16&lt;='01_PARÂMETROS'!$B$17,"Alto","Elevado"))))</f>
        <v>Médio</v>
      </c>
      <c r="N16" s="58" t="s">
        <v>486</v>
      </c>
      <c r="O16" s="61"/>
    </row>
    <row r="17" spans="1:15" ht="13.5" customHeight="1" x14ac:dyDescent="0.25">
      <c r="A17" s="24" t="s">
        <v>492</v>
      </c>
      <c r="B17" s="38" t="s">
        <v>475</v>
      </c>
      <c r="C17" s="25" t="s">
        <v>153</v>
      </c>
      <c r="D17" s="39" t="s">
        <v>476</v>
      </c>
      <c r="E17" s="40" t="s">
        <v>477</v>
      </c>
      <c r="F17" s="54" t="s">
        <v>485</v>
      </c>
      <c r="G17" s="54" t="s">
        <v>485</v>
      </c>
      <c r="H17" s="54" t="s">
        <v>485</v>
      </c>
      <c r="I17" s="43">
        <f>'01_PARÂMETROS'!$B$9</f>
        <v>50</v>
      </c>
      <c r="J17" s="44">
        <f>1</f>
        <v>1</v>
      </c>
      <c r="K17" s="55">
        <f>MAX('01_PARÂMETROS'!$B$11,MIN('01_PARÂMETROS'!$B$12,J17))</f>
        <v>1</v>
      </c>
      <c r="L17" s="56">
        <f t="shared" si="1"/>
        <v>0</v>
      </c>
      <c r="M17" s="57" t="str">
        <f>IF(K17&lt;='01_PARÂMETROS'!$B$14,"Preferencial",IF(K17&lt;='01_PARÂMETROS'!$B$15,"Baixo",IF(K17&lt;='01_PARÂMETROS'!$B$16,"Médio",IF(K17&lt;='01_PARÂMETROS'!$B$17,"Alto","Elevado"))))</f>
        <v>Médio</v>
      </c>
      <c r="N17" s="58" t="s">
        <v>486</v>
      </c>
      <c r="O17" s="54"/>
    </row>
    <row r="18" spans="1:15" ht="13.5" customHeight="1" x14ac:dyDescent="0.25">
      <c r="A18" s="13" t="s">
        <v>493</v>
      </c>
      <c r="B18" s="49" t="s">
        <v>475</v>
      </c>
      <c r="C18" s="14" t="s">
        <v>155</v>
      </c>
      <c r="D18" s="50" t="s">
        <v>476</v>
      </c>
      <c r="E18" s="40" t="s">
        <v>477</v>
      </c>
      <c r="F18" s="41">
        <f>'03_FONTE_FAP'!F18</f>
        <v>9.2024999999999988</v>
      </c>
      <c r="G18" s="42">
        <f>'03_FONTE_FAP'!K18</f>
        <v>30.038000000000004</v>
      </c>
      <c r="H18" s="21">
        <f>'03_FONTE_FAP'!M18</f>
        <v>19.620250000000002</v>
      </c>
      <c r="I18" s="43">
        <f>'01_PARÂMETROS'!$B$9</f>
        <v>50</v>
      </c>
      <c r="J18" s="44">
        <f>IFERROR(IF(H18=0,1,H18/I18),1)</f>
        <v>0.39240500000000006</v>
      </c>
      <c r="K18" s="51">
        <f>MAX('01_PARÂMETROS'!$B$11,MIN('01_PARÂMETROS'!$B$12,J18))</f>
        <v>0.75</v>
      </c>
      <c r="L18" s="52">
        <f t="shared" si="1"/>
        <v>-0.25</v>
      </c>
      <c r="M18" s="53" t="str">
        <f>IF(K18&lt;='01_PARÂMETROS'!$B$14,"Preferencial",IF(K18&lt;='01_PARÂMETROS'!$B$15,"Baixo",IF(K18&lt;='01_PARÂMETROS'!$B$16,"Médio",IF(K18&lt;='01_PARÂMETROS'!$B$17,"Alto","Elevado"))))</f>
        <v>Preferencial</v>
      </c>
      <c r="N18" s="48" t="s">
        <v>478</v>
      </c>
      <c r="O18" s="61"/>
    </row>
    <row r="19" spans="1:15" ht="13.5" customHeight="1" x14ac:dyDescent="0.25">
      <c r="A19" s="24" t="s">
        <v>494</v>
      </c>
      <c r="B19" s="38" t="s">
        <v>475</v>
      </c>
      <c r="C19" s="25" t="s">
        <v>157</v>
      </c>
      <c r="D19" s="39" t="s">
        <v>476</v>
      </c>
      <c r="E19" s="40" t="s">
        <v>477</v>
      </c>
      <c r="F19" s="54" t="s">
        <v>485</v>
      </c>
      <c r="G19" s="54" t="s">
        <v>485</v>
      </c>
      <c r="H19" s="54" t="s">
        <v>485</v>
      </c>
      <c r="I19" s="43">
        <f>'01_PARÂMETROS'!$B$9</f>
        <v>50</v>
      </c>
      <c r="J19" s="44">
        <f>1</f>
        <v>1</v>
      </c>
      <c r="K19" s="55">
        <f>MAX('01_PARÂMETROS'!$B$11,MIN('01_PARÂMETROS'!$B$12,J19))</f>
        <v>1</v>
      </c>
      <c r="L19" s="56">
        <f t="shared" si="1"/>
        <v>0</v>
      </c>
      <c r="M19" s="57" t="str">
        <f>IF(K19&lt;='01_PARÂMETROS'!$B$14,"Preferencial",IF(K19&lt;='01_PARÂMETROS'!$B$15,"Baixo",IF(K19&lt;='01_PARÂMETROS'!$B$16,"Médio",IF(K19&lt;='01_PARÂMETROS'!$B$17,"Alto","Elevado"))))</f>
        <v>Médio</v>
      </c>
      <c r="N19" s="58" t="s">
        <v>486</v>
      </c>
      <c r="O19" s="54"/>
    </row>
    <row r="20" spans="1:15" ht="13.5" customHeight="1" x14ac:dyDescent="0.25">
      <c r="A20" s="13" t="s">
        <v>495</v>
      </c>
      <c r="B20" s="49" t="s">
        <v>475</v>
      </c>
      <c r="C20" s="14" t="s">
        <v>159</v>
      </c>
      <c r="D20" s="50" t="s">
        <v>476</v>
      </c>
      <c r="E20" s="40" t="s">
        <v>477</v>
      </c>
      <c r="F20" s="41">
        <f>'03_FONTE_FAP'!F20</f>
        <v>19.209</v>
      </c>
      <c r="G20" s="42">
        <f>'03_FONTE_FAP'!K20</f>
        <v>19.893999999999998</v>
      </c>
      <c r="H20" s="21">
        <f>'03_FONTE_FAP'!M20</f>
        <v>19.551499999999997</v>
      </c>
      <c r="I20" s="43">
        <f>'01_PARÂMETROS'!$B$9</f>
        <v>50</v>
      </c>
      <c r="J20" s="44">
        <f t="shared" ref="J20:J25" si="2">IFERROR(IF(H20=0,1,H20/I20),1)</f>
        <v>0.39102999999999993</v>
      </c>
      <c r="K20" s="51">
        <f>MAX('01_PARÂMETROS'!$B$11,MIN('01_PARÂMETROS'!$B$12,J20))</f>
        <v>0.75</v>
      </c>
      <c r="L20" s="52">
        <f t="shared" si="1"/>
        <v>-0.25</v>
      </c>
      <c r="M20" s="53" t="str">
        <f>IF(K20&lt;='01_PARÂMETROS'!$B$14,"Preferencial",IF(K20&lt;='01_PARÂMETROS'!$B$15,"Baixo",IF(K20&lt;='01_PARÂMETROS'!$B$16,"Médio",IF(K20&lt;='01_PARÂMETROS'!$B$17,"Alto","Elevado"))))</f>
        <v>Preferencial</v>
      </c>
      <c r="N20" s="48" t="s">
        <v>478</v>
      </c>
      <c r="O20" s="29" t="s">
        <v>3360</v>
      </c>
    </row>
    <row r="21" spans="1:15" ht="13.5" customHeight="1" x14ac:dyDescent="0.25">
      <c r="A21" s="24" t="s">
        <v>496</v>
      </c>
      <c r="B21" s="38" t="s">
        <v>475</v>
      </c>
      <c r="C21" s="25" t="s">
        <v>161</v>
      </c>
      <c r="D21" s="39" t="s">
        <v>476</v>
      </c>
      <c r="E21" s="40" t="s">
        <v>477</v>
      </c>
      <c r="F21" s="41">
        <f>'03_FONTE_FAP'!F21</f>
        <v>52.895000000000003</v>
      </c>
      <c r="G21" s="42">
        <f>'03_FONTE_FAP'!K21</f>
        <v>62.734499999999997</v>
      </c>
      <c r="H21" s="21">
        <f>'03_FONTE_FAP'!M21</f>
        <v>57.814750000000004</v>
      </c>
      <c r="I21" s="43">
        <f>'01_PARÂMETROS'!$B$9</f>
        <v>50</v>
      </c>
      <c r="J21" s="44">
        <f t="shared" si="2"/>
        <v>1.1562950000000001</v>
      </c>
      <c r="K21" s="45">
        <f>MAX('01_PARÂMETROS'!$B$11,MIN('01_PARÂMETROS'!$B$12,J21))</f>
        <v>1.1562950000000001</v>
      </c>
      <c r="L21" s="46">
        <f t="shared" si="1"/>
        <v>0.15629500000000007</v>
      </c>
      <c r="M21" s="47" t="str">
        <f>IF(K21&lt;='01_PARÂMETROS'!$B$14,"Preferencial",IF(K21&lt;='01_PARÂMETROS'!$B$15,"Baixo",IF(K21&lt;='01_PARÂMETROS'!$B$16,"Médio",IF(K21&lt;='01_PARÂMETROS'!$B$17,"Alto","Elevado"))))</f>
        <v>Alto</v>
      </c>
      <c r="N21" s="48" t="s">
        <v>478</v>
      </c>
      <c r="O21" s="29" t="s">
        <v>3360</v>
      </c>
    </row>
    <row r="22" spans="1:15" ht="13.5" customHeight="1" x14ac:dyDescent="0.25">
      <c r="A22" s="13" t="s">
        <v>497</v>
      </c>
      <c r="B22" s="49" t="s">
        <v>475</v>
      </c>
      <c r="C22" s="14" t="s">
        <v>163</v>
      </c>
      <c r="D22" s="50" t="s">
        <v>476</v>
      </c>
      <c r="E22" s="40" t="s">
        <v>477</v>
      </c>
      <c r="F22" s="41">
        <f>'03_FONTE_FAP'!F22</f>
        <v>3.4264999999999994</v>
      </c>
      <c r="G22" s="42">
        <f>'03_FONTE_FAP'!K22</f>
        <v>36.445500000000003</v>
      </c>
      <c r="H22" s="21">
        <f>'03_FONTE_FAP'!M22</f>
        <v>19.936</v>
      </c>
      <c r="I22" s="43">
        <f>'01_PARÂMETROS'!$B$9</f>
        <v>50</v>
      </c>
      <c r="J22" s="44">
        <f t="shared" si="2"/>
        <v>0.39872000000000002</v>
      </c>
      <c r="K22" s="51">
        <f>MAX('01_PARÂMETROS'!$B$11,MIN('01_PARÂMETROS'!$B$12,J22))</f>
        <v>0.75</v>
      </c>
      <c r="L22" s="52">
        <f t="shared" si="1"/>
        <v>-0.25</v>
      </c>
      <c r="M22" s="53" t="str">
        <f>IF(K22&lt;='01_PARÂMETROS'!$B$14,"Preferencial",IF(K22&lt;='01_PARÂMETROS'!$B$15,"Baixo",IF(K22&lt;='01_PARÂMETROS'!$B$16,"Médio",IF(K22&lt;='01_PARÂMETROS'!$B$17,"Alto","Elevado"))))</f>
        <v>Preferencial</v>
      </c>
      <c r="N22" s="48" t="s">
        <v>478</v>
      </c>
      <c r="O22" s="29" t="s">
        <v>3360</v>
      </c>
    </row>
    <row r="23" spans="1:15" ht="13.5" customHeight="1" x14ac:dyDescent="0.25">
      <c r="A23" s="24" t="s">
        <v>498</v>
      </c>
      <c r="B23" s="38" t="s">
        <v>475</v>
      </c>
      <c r="C23" s="25" t="s">
        <v>165</v>
      </c>
      <c r="D23" s="39" t="s">
        <v>476</v>
      </c>
      <c r="E23" s="40" t="s">
        <v>477</v>
      </c>
      <c r="F23" s="41">
        <f>'03_FONTE_FAP'!F23</f>
        <v>46.635999999999996</v>
      </c>
      <c r="G23" s="42">
        <f>'03_FONTE_FAP'!K23</f>
        <v>45.789500000000004</v>
      </c>
      <c r="H23" s="21">
        <f>'03_FONTE_FAP'!M23</f>
        <v>46.21275</v>
      </c>
      <c r="I23" s="43">
        <f>'01_PARÂMETROS'!$B$9</f>
        <v>50</v>
      </c>
      <c r="J23" s="44">
        <f t="shared" si="2"/>
        <v>0.92425500000000005</v>
      </c>
      <c r="K23" s="62">
        <f>MAX('01_PARÂMETROS'!$B$11,MIN('01_PARÂMETROS'!$B$12,J23))</f>
        <v>0.92425500000000005</v>
      </c>
      <c r="L23" s="63">
        <f t="shared" si="1"/>
        <v>-7.5744999999999951E-2</v>
      </c>
      <c r="M23" s="17" t="str">
        <f>IF(K23&lt;='01_PARÂMETROS'!$B$14,"Preferencial",IF(K23&lt;='01_PARÂMETROS'!$B$15,"Baixo",IF(K23&lt;='01_PARÂMETROS'!$B$16,"Médio",IF(K23&lt;='01_PARÂMETROS'!$B$17,"Alto","Elevado"))))</f>
        <v>Baixo</v>
      </c>
      <c r="N23" s="48" t="s">
        <v>478</v>
      </c>
      <c r="O23" s="29" t="s">
        <v>3360</v>
      </c>
    </row>
    <row r="24" spans="1:15" ht="13.5" customHeight="1" x14ac:dyDescent="0.25">
      <c r="A24" s="13" t="s">
        <v>499</v>
      </c>
      <c r="B24" s="49" t="s">
        <v>475</v>
      </c>
      <c r="C24" s="14" t="s">
        <v>167</v>
      </c>
      <c r="D24" s="50" t="s">
        <v>476</v>
      </c>
      <c r="E24" s="40" t="s">
        <v>477</v>
      </c>
      <c r="F24" s="41">
        <f>'03_FONTE_FAP'!F24</f>
        <v>7.0384999999999991</v>
      </c>
      <c r="G24" s="42">
        <f>'03_FONTE_FAP'!K24</f>
        <v>18.930499999999999</v>
      </c>
      <c r="H24" s="21">
        <f>'03_FONTE_FAP'!M24</f>
        <v>12.984499999999999</v>
      </c>
      <c r="I24" s="43">
        <f>'01_PARÂMETROS'!$B$9</f>
        <v>50</v>
      </c>
      <c r="J24" s="44">
        <f t="shared" si="2"/>
        <v>0.25968999999999998</v>
      </c>
      <c r="K24" s="51">
        <f>MAX('01_PARÂMETROS'!$B$11,MIN('01_PARÂMETROS'!$B$12,J24))</f>
        <v>0.75</v>
      </c>
      <c r="L24" s="52">
        <f t="shared" si="1"/>
        <v>-0.25</v>
      </c>
      <c r="M24" s="53" t="str">
        <f>IF(K24&lt;='01_PARÂMETROS'!$B$14,"Preferencial",IF(K24&lt;='01_PARÂMETROS'!$B$15,"Baixo",IF(K24&lt;='01_PARÂMETROS'!$B$16,"Médio",IF(K24&lt;='01_PARÂMETROS'!$B$17,"Alto","Elevado"))))</f>
        <v>Preferencial</v>
      </c>
      <c r="N24" s="48" t="s">
        <v>478</v>
      </c>
      <c r="O24" s="29" t="s">
        <v>3360</v>
      </c>
    </row>
    <row r="25" spans="1:15" ht="13.5" customHeight="1" x14ac:dyDescent="0.25">
      <c r="A25" s="24" t="s">
        <v>500</v>
      </c>
      <c r="B25" s="38" t="s">
        <v>475</v>
      </c>
      <c r="C25" s="25" t="s">
        <v>169</v>
      </c>
      <c r="D25" s="39" t="s">
        <v>476</v>
      </c>
      <c r="E25" s="40" t="s">
        <v>477</v>
      </c>
      <c r="F25" s="41">
        <f>'03_FONTE_FAP'!F25</f>
        <v>55.403500000000001</v>
      </c>
      <c r="G25" s="42">
        <f>'03_FONTE_FAP'!K25</f>
        <v>46.350499999999997</v>
      </c>
      <c r="H25" s="21">
        <f>'03_FONTE_FAP'!M25</f>
        <v>50.876999999999995</v>
      </c>
      <c r="I25" s="43">
        <f>'01_PARÂMETROS'!$B$9</f>
        <v>50</v>
      </c>
      <c r="J25" s="44">
        <f t="shared" si="2"/>
        <v>1.0175399999999999</v>
      </c>
      <c r="K25" s="55">
        <f>MAX('01_PARÂMETROS'!$B$11,MIN('01_PARÂMETROS'!$B$12,J25))</f>
        <v>1.0175399999999999</v>
      </c>
      <c r="L25" s="56">
        <f t="shared" si="1"/>
        <v>1.7539999999999889E-2</v>
      </c>
      <c r="M25" s="57" t="str">
        <f>IF(K25&lt;='01_PARÂMETROS'!$B$14,"Preferencial",IF(K25&lt;='01_PARÂMETROS'!$B$15,"Baixo",IF(K25&lt;='01_PARÂMETROS'!$B$16,"Médio",IF(K25&lt;='01_PARÂMETROS'!$B$17,"Alto","Elevado"))))</f>
        <v>Médio</v>
      </c>
      <c r="N25" s="48" t="s">
        <v>478</v>
      </c>
      <c r="O25" s="29" t="s">
        <v>3360</v>
      </c>
    </row>
    <row r="26" spans="1:15" ht="13.5" customHeight="1" x14ac:dyDescent="0.25">
      <c r="A26" s="13" t="s">
        <v>501</v>
      </c>
      <c r="B26" s="49" t="s">
        <v>475</v>
      </c>
      <c r="C26" s="14" t="s">
        <v>171</v>
      </c>
      <c r="D26" s="50" t="s">
        <v>476</v>
      </c>
      <c r="E26" s="40" t="s">
        <v>477</v>
      </c>
      <c r="F26" s="54" t="s">
        <v>485</v>
      </c>
      <c r="G26" s="54" t="s">
        <v>485</v>
      </c>
      <c r="H26" s="54" t="s">
        <v>485</v>
      </c>
      <c r="I26" s="43">
        <f>'01_PARÂMETROS'!$B$9</f>
        <v>50</v>
      </c>
      <c r="J26" s="44">
        <f>1</f>
        <v>1</v>
      </c>
      <c r="K26" s="55">
        <f>MAX('01_PARÂMETROS'!$B$11,MIN('01_PARÂMETROS'!$B$12,J26))</f>
        <v>1</v>
      </c>
      <c r="L26" s="56">
        <f t="shared" si="1"/>
        <v>0</v>
      </c>
      <c r="M26" s="57" t="str">
        <f>IF(K26&lt;='01_PARÂMETROS'!$B$14,"Preferencial",IF(K26&lt;='01_PARÂMETROS'!$B$15,"Baixo",IF(K26&lt;='01_PARÂMETROS'!$B$16,"Médio",IF(K26&lt;='01_PARÂMETROS'!$B$17,"Alto","Elevado"))))</f>
        <v>Médio</v>
      </c>
      <c r="N26" s="58" t="s">
        <v>486</v>
      </c>
      <c r="O26" s="61"/>
    </row>
    <row r="27" spans="1:15" ht="13.5" customHeight="1" x14ac:dyDescent="0.25">
      <c r="A27" s="24" t="s">
        <v>502</v>
      </c>
      <c r="B27" s="38" t="s">
        <v>475</v>
      </c>
      <c r="C27" s="25" t="s">
        <v>173</v>
      </c>
      <c r="D27" s="39" t="s">
        <v>476</v>
      </c>
      <c r="E27" s="40" t="s">
        <v>477</v>
      </c>
      <c r="F27" s="41">
        <f>'03_FONTE_FAP'!F27</f>
        <v>12.136999999999999</v>
      </c>
      <c r="G27" s="42">
        <f>'03_FONTE_FAP'!K27</f>
        <v>11.298</v>
      </c>
      <c r="H27" s="21">
        <f>'03_FONTE_FAP'!M27</f>
        <v>11.717499999999999</v>
      </c>
      <c r="I27" s="43">
        <f>'01_PARÂMETROS'!$B$9</f>
        <v>50</v>
      </c>
      <c r="J27" s="44">
        <f t="shared" ref="J27:J38" si="3">IFERROR(IF(H27=0,1,H27/I27),1)</f>
        <v>0.23434999999999997</v>
      </c>
      <c r="K27" s="51">
        <f>MAX('01_PARÂMETROS'!$B$11,MIN('01_PARÂMETROS'!$B$12,J27))</f>
        <v>0.75</v>
      </c>
      <c r="L27" s="52">
        <f t="shared" si="1"/>
        <v>-0.25</v>
      </c>
      <c r="M27" s="53" t="str">
        <f>IF(K27&lt;='01_PARÂMETROS'!$B$14,"Preferencial",IF(K27&lt;='01_PARÂMETROS'!$B$15,"Baixo",IF(K27&lt;='01_PARÂMETROS'!$B$16,"Médio",IF(K27&lt;='01_PARÂMETROS'!$B$17,"Alto","Elevado"))))</f>
        <v>Preferencial</v>
      </c>
      <c r="N27" s="48" t="s">
        <v>478</v>
      </c>
      <c r="O27" s="29" t="s">
        <v>3360</v>
      </c>
    </row>
    <row r="28" spans="1:15" ht="13.5" customHeight="1" x14ac:dyDescent="0.25">
      <c r="A28" s="13" t="s">
        <v>503</v>
      </c>
      <c r="B28" s="49" t="s">
        <v>475</v>
      </c>
      <c r="C28" s="14" t="s">
        <v>175</v>
      </c>
      <c r="D28" s="50" t="s">
        <v>476</v>
      </c>
      <c r="E28" s="40" t="s">
        <v>477</v>
      </c>
      <c r="F28" s="41">
        <f>'03_FONTE_FAP'!F28</f>
        <v>69.612499999999997</v>
      </c>
      <c r="G28" s="42">
        <f>'03_FONTE_FAP'!K28</f>
        <v>59.088000000000001</v>
      </c>
      <c r="H28" s="21">
        <f>'03_FONTE_FAP'!M28</f>
        <v>64.350250000000003</v>
      </c>
      <c r="I28" s="43">
        <f>'01_PARÂMETROS'!$B$9</f>
        <v>50</v>
      </c>
      <c r="J28" s="44">
        <f t="shared" si="3"/>
        <v>1.287005</v>
      </c>
      <c r="K28" s="59">
        <f>MAX('01_PARÂMETROS'!$B$11,MIN('01_PARÂMETROS'!$B$12,J28))</f>
        <v>1.287005</v>
      </c>
      <c r="L28" s="60">
        <f t="shared" si="1"/>
        <v>0.28700499999999995</v>
      </c>
      <c r="M28" s="29" t="str">
        <f>IF(K28&lt;='01_PARÂMETROS'!$B$14,"Preferencial",IF(K28&lt;='01_PARÂMETROS'!$B$15,"Baixo",IF(K28&lt;='01_PARÂMETROS'!$B$16,"Médio",IF(K28&lt;='01_PARÂMETROS'!$B$17,"Alto","Elevado"))))</f>
        <v>Elevado</v>
      </c>
      <c r="N28" s="48" t="s">
        <v>478</v>
      </c>
      <c r="O28" s="29" t="s">
        <v>3360</v>
      </c>
    </row>
    <row r="29" spans="1:15" ht="13.5" customHeight="1" x14ac:dyDescent="0.25">
      <c r="A29" s="24" t="s">
        <v>504</v>
      </c>
      <c r="B29" s="38" t="s">
        <v>475</v>
      </c>
      <c r="C29" s="25" t="s">
        <v>177</v>
      </c>
      <c r="D29" s="39" t="s">
        <v>476</v>
      </c>
      <c r="E29" s="40" t="s">
        <v>477</v>
      </c>
      <c r="F29" s="41">
        <f>'03_FONTE_FAP'!F29</f>
        <v>31.978999999999999</v>
      </c>
      <c r="G29" s="42">
        <f>'03_FONTE_FAP'!K29</f>
        <v>35.085000000000001</v>
      </c>
      <c r="H29" s="21">
        <f>'03_FONTE_FAP'!M29</f>
        <v>33.531999999999996</v>
      </c>
      <c r="I29" s="43">
        <f>'01_PARÂMETROS'!$B$9</f>
        <v>50</v>
      </c>
      <c r="J29" s="44">
        <f t="shared" si="3"/>
        <v>0.6706399999999999</v>
      </c>
      <c r="K29" s="51">
        <f>MAX('01_PARÂMETROS'!$B$11,MIN('01_PARÂMETROS'!$B$12,J29))</f>
        <v>0.75</v>
      </c>
      <c r="L29" s="52">
        <f t="shared" si="1"/>
        <v>-0.25</v>
      </c>
      <c r="M29" s="53" t="str">
        <f>IF(K29&lt;='01_PARÂMETROS'!$B$14,"Preferencial",IF(K29&lt;='01_PARÂMETROS'!$B$15,"Baixo",IF(K29&lt;='01_PARÂMETROS'!$B$16,"Médio",IF(K29&lt;='01_PARÂMETROS'!$B$17,"Alto","Elevado"))))</f>
        <v>Preferencial</v>
      </c>
      <c r="N29" s="48" t="s">
        <v>478</v>
      </c>
      <c r="O29" s="54"/>
    </row>
    <row r="30" spans="1:15" ht="13.5" customHeight="1" x14ac:dyDescent="0.25">
      <c r="A30" s="13" t="s">
        <v>505</v>
      </c>
      <c r="B30" s="49" t="s">
        <v>475</v>
      </c>
      <c r="C30" s="14" t="s">
        <v>179</v>
      </c>
      <c r="D30" s="50" t="s">
        <v>476</v>
      </c>
      <c r="E30" s="40" t="s">
        <v>477</v>
      </c>
      <c r="F30" s="41">
        <f>'03_FONTE_FAP'!F30</f>
        <v>19.965499999999999</v>
      </c>
      <c r="G30" s="42">
        <f>'03_FONTE_FAP'!K30</f>
        <v>70.609499999999997</v>
      </c>
      <c r="H30" s="21">
        <f>'03_FONTE_FAP'!M30</f>
        <v>45.287499999999994</v>
      </c>
      <c r="I30" s="43">
        <f>'01_PARÂMETROS'!$B$9</f>
        <v>50</v>
      </c>
      <c r="J30" s="44">
        <f t="shared" si="3"/>
        <v>0.90574999999999983</v>
      </c>
      <c r="K30" s="62">
        <f>MAX('01_PARÂMETROS'!$B$11,MIN('01_PARÂMETROS'!$B$12,J30))</f>
        <v>0.90574999999999983</v>
      </c>
      <c r="L30" s="63">
        <f t="shared" si="1"/>
        <v>-9.4250000000000167E-2</v>
      </c>
      <c r="M30" s="17" t="str">
        <f>IF(K30&lt;='01_PARÂMETROS'!$B$14,"Preferencial",IF(K30&lt;='01_PARÂMETROS'!$B$15,"Baixo",IF(K30&lt;='01_PARÂMETROS'!$B$16,"Médio",IF(K30&lt;='01_PARÂMETROS'!$B$17,"Alto","Elevado"))))</f>
        <v>Baixo</v>
      </c>
      <c r="N30" s="48" t="s">
        <v>478</v>
      </c>
      <c r="O30" s="61"/>
    </row>
    <row r="31" spans="1:15" ht="13.5" customHeight="1" x14ac:dyDescent="0.25">
      <c r="A31" s="24" t="s">
        <v>506</v>
      </c>
      <c r="B31" s="38" t="s">
        <v>475</v>
      </c>
      <c r="C31" s="25" t="s">
        <v>181</v>
      </c>
      <c r="D31" s="39" t="s">
        <v>476</v>
      </c>
      <c r="E31" s="40" t="s">
        <v>477</v>
      </c>
      <c r="F31" s="41">
        <f>'03_FONTE_FAP'!F31</f>
        <v>35.604500000000002</v>
      </c>
      <c r="G31" s="42">
        <f>'03_FONTE_FAP'!K31</f>
        <v>37.404999999999994</v>
      </c>
      <c r="H31" s="21">
        <f>'03_FONTE_FAP'!M31</f>
        <v>36.504750000000001</v>
      </c>
      <c r="I31" s="43">
        <f>'01_PARÂMETROS'!$B$9</f>
        <v>50</v>
      </c>
      <c r="J31" s="44">
        <f t="shared" si="3"/>
        <v>0.73009500000000005</v>
      </c>
      <c r="K31" s="51">
        <f>MAX('01_PARÂMETROS'!$B$11,MIN('01_PARÂMETROS'!$B$12,J31))</f>
        <v>0.75</v>
      </c>
      <c r="L31" s="52">
        <f t="shared" si="1"/>
        <v>-0.25</v>
      </c>
      <c r="M31" s="53" t="str">
        <f>IF(K31&lt;='01_PARÂMETROS'!$B$14,"Preferencial",IF(K31&lt;='01_PARÂMETROS'!$B$15,"Baixo",IF(K31&lt;='01_PARÂMETROS'!$B$16,"Médio",IF(K31&lt;='01_PARÂMETROS'!$B$17,"Alto","Elevado"))))</f>
        <v>Preferencial</v>
      </c>
      <c r="N31" s="48" t="s">
        <v>478</v>
      </c>
      <c r="O31" s="54"/>
    </row>
    <row r="32" spans="1:15" ht="13.5" customHeight="1" x14ac:dyDescent="0.25">
      <c r="A32" s="13" t="s">
        <v>507</v>
      </c>
      <c r="B32" s="49" t="s">
        <v>475</v>
      </c>
      <c r="C32" s="14" t="s">
        <v>183</v>
      </c>
      <c r="D32" s="50" t="s">
        <v>476</v>
      </c>
      <c r="E32" s="40" t="s">
        <v>477</v>
      </c>
      <c r="F32" s="41">
        <f>'03_FONTE_FAP'!F32</f>
        <v>71.825999999999993</v>
      </c>
      <c r="G32" s="42">
        <f>'03_FONTE_FAP'!K32</f>
        <v>75.528999999999996</v>
      </c>
      <c r="H32" s="21">
        <f>'03_FONTE_FAP'!M32</f>
        <v>73.677499999999995</v>
      </c>
      <c r="I32" s="43">
        <f>'01_PARÂMETROS'!$B$9</f>
        <v>50</v>
      </c>
      <c r="J32" s="44">
        <f t="shared" si="3"/>
        <v>1.4735499999999999</v>
      </c>
      <c r="K32" s="59">
        <f>MAX('01_PARÂMETROS'!$B$11,MIN('01_PARÂMETROS'!$B$12,J32))</f>
        <v>1.4</v>
      </c>
      <c r="L32" s="60">
        <f t="shared" si="1"/>
        <v>0.39999999999999991</v>
      </c>
      <c r="M32" s="29" t="str">
        <f>IF(K32&lt;='01_PARÂMETROS'!$B$14,"Preferencial",IF(K32&lt;='01_PARÂMETROS'!$B$15,"Baixo",IF(K32&lt;='01_PARÂMETROS'!$B$16,"Médio",IF(K32&lt;='01_PARÂMETROS'!$B$17,"Alto","Elevado"))))</f>
        <v>Elevado</v>
      </c>
      <c r="N32" s="48" t="s">
        <v>478</v>
      </c>
      <c r="O32" s="61"/>
    </row>
    <row r="33" spans="1:15" ht="13.5" customHeight="1" x14ac:dyDescent="0.25">
      <c r="A33" s="24" t="s">
        <v>508</v>
      </c>
      <c r="B33" s="38" t="s">
        <v>475</v>
      </c>
      <c r="C33" s="25" t="s">
        <v>185</v>
      </c>
      <c r="D33" s="39" t="s">
        <v>476</v>
      </c>
      <c r="E33" s="40" t="s">
        <v>477</v>
      </c>
      <c r="F33" s="41">
        <f>'03_FONTE_FAP'!F33</f>
        <v>56.736999999999995</v>
      </c>
      <c r="G33" s="42">
        <f>'03_FONTE_FAP'!K33</f>
        <v>57.902500000000003</v>
      </c>
      <c r="H33" s="21">
        <f>'03_FONTE_FAP'!M33</f>
        <v>57.319749999999999</v>
      </c>
      <c r="I33" s="43">
        <f>'01_PARÂMETROS'!$B$9</f>
        <v>50</v>
      </c>
      <c r="J33" s="44">
        <f t="shared" si="3"/>
        <v>1.1463950000000001</v>
      </c>
      <c r="K33" s="45">
        <f>MAX('01_PARÂMETROS'!$B$11,MIN('01_PARÂMETROS'!$B$12,J33))</f>
        <v>1.1463950000000001</v>
      </c>
      <c r="L33" s="46">
        <f t="shared" si="1"/>
        <v>0.14639500000000005</v>
      </c>
      <c r="M33" s="47" t="str">
        <f>IF(K33&lt;='01_PARÂMETROS'!$B$14,"Preferencial",IF(K33&lt;='01_PARÂMETROS'!$B$15,"Baixo",IF(K33&lt;='01_PARÂMETROS'!$B$16,"Médio",IF(K33&lt;='01_PARÂMETROS'!$B$17,"Alto","Elevado"))))</f>
        <v>Alto</v>
      </c>
      <c r="N33" s="48" t="s">
        <v>478</v>
      </c>
      <c r="O33" s="54"/>
    </row>
    <row r="34" spans="1:15" ht="13.5" customHeight="1" x14ac:dyDescent="0.25">
      <c r="A34" s="13" t="s">
        <v>509</v>
      </c>
      <c r="B34" s="49" t="s">
        <v>475</v>
      </c>
      <c r="C34" s="14" t="s">
        <v>187</v>
      </c>
      <c r="D34" s="50" t="s">
        <v>476</v>
      </c>
      <c r="E34" s="40" t="s">
        <v>477</v>
      </c>
      <c r="F34" s="41">
        <f>'03_FONTE_FAP'!F34</f>
        <v>26.840000000000003</v>
      </c>
      <c r="G34" s="42">
        <f>'03_FONTE_FAP'!K34</f>
        <v>46.069499999999998</v>
      </c>
      <c r="H34" s="21">
        <f>'03_FONTE_FAP'!M34</f>
        <v>36.454750000000004</v>
      </c>
      <c r="I34" s="43">
        <f>'01_PARÂMETROS'!$B$9</f>
        <v>50</v>
      </c>
      <c r="J34" s="44">
        <f t="shared" si="3"/>
        <v>0.72909500000000005</v>
      </c>
      <c r="K34" s="51">
        <f>MAX('01_PARÂMETROS'!$B$11,MIN('01_PARÂMETROS'!$B$12,J34))</f>
        <v>0.75</v>
      </c>
      <c r="L34" s="52">
        <f t="shared" si="1"/>
        <v>-0.25</v>
      </c>
      <c r="M34" s="53" t="str">
        <f>IF(K34&lt;='01_PARÂMETROS'!$B$14,"Preferencial",IF(K34&lt;='01_PARÂMETROS'!$B$15,"Baixo",IF(K34&lt;='01_PARÂMETROS'!$B$16,"Médio",IF(K34&lt;='01_PARÂMETROS'!$B$17,"Alto","Elevado"))))</f>
        <v>Preferencial</v>
      </c>
      <c r="N34" s="48" t="s">
        <v>478</v>
      </c>
      <c r="O34" s="29" t="s">
        <v>3360</v>
      </c>
    </row>
    <row r="35" spans="1:15" ht="13.5" customHeight="1" x14ac:dyDescent="0.25">
      <c r="A35" s="24" t="s">
        <v>510</v>
      </c>
      <c r="B35" s="38" t="s">
        <v>475</v>
      </c>
      <c r="C35" s="25" t="s">
        <v>189</v>
      </c>
      <c r="D35" s="39" t="s">
        <v>476</v>
      </c>
      <c r="E35" s="40" t="s">
        <v>477</v>
      </c>
      <c r="F35" s="41">
        <f>'03_FONTE_FAP'!F35</f>
        <v>62.699499999999993</v>
      </c>
      <c r="G35" s="42">
        <f>'03_FONTE_FAP'!K35</f>
        <v>63.114999999999995</v>
      </c>
      <c r="H35" s="21">
        <f>'03_FONTE_FAP'!M35</f>
        <v>62.907249999999991</v>
      </c>
      <c r="I35" s="43">
        <f>'01_PARÂMETROS'!$B$9</f>
        <v>50</v>
      </c>
      <c r="J35" s="44">
        <f t="shared" si="3"/>
        <v>1.2581449999999998</v>
      </c>
      <c r="K35" s="59">
        <f>MAX('01_PARÂMETROS'!$B$11,MIN('01_PARÂMETROS'!$B$12,J35))</f>
        <v>1.2581449999999998</v>
      </c>
      <c r="L35" s="60">
        <f t="shared" si="1"/>
        <v>0.25814499999999985</v>
      </c>
      <c r="M35" s="29" t="str">
        <f>IF(K35&lt;='01_PARÂMETROS'!$B$14,"Preferencial",IF(K35&lt;='01_PARÂMETROS'!$B$15,"Baixo",IF(K35&lt;='01_PARÂMETROS'!$B$16,"Médio",IF(K35&lt;='01_PARÂMETROS'!$B$17,"Alto","Elevado"))))</f>
        <v>Elevado</v>
      </c>
      <c r="N35" s="48" t="s">
        <v>478</v>
      </c>
      <c r="O35" s="29" t="s">
        <v>3360</v>
      </c>
    </row>
    <row r="36" spans="1:15" ht="13.5" customHeight="1" x14ac:dyDescent="0.25">
      <c r="A36" s="13" t="s">
        <v>511</v>
      </c>
      <c r="B36" s="49" t="s">
        <v>475</v>
      </c>
      <c r="C36" s="14" t="s">
        <v>191</v>
      </c>
      <c r="D36" s="50" t="s">
        <v>476</v>
      </c>
      <c r="E36" s="40" t="s">
        <v>477</v>
      </c>
      <c r="F36" s="41">
        <f>'03_FONTE_FAP'!F36</f>
        <v>90.207999999999998</v>
      </c>
      <c r="G36" s="42">
        <f>'03_FONTE_FAP'!K36</f>
        <v>84.191000000000003</v>
      </c>
      <c r="H36" s="21">
        <f>'03_FONTE_FAP'!M36</f>
        <v>87.1995</v>
      </c>
      <c r="I36" s="43">
        <f>'01_PARÂMETROS'!$B$9</f>
        <v>50</v>
      </c>
      <c r="J36" s="44">
        <f t="shared" si="3"/>
        <v>1.7439899999999999</v>
      </c>
      <c r="K36" s="59">
        <f>MAX('01_PARÂMETROS'!$B$11,MIN('01_PARÂMETROS'!$B$12,J36))</f>
        <v>1.4</v>
      </c>
      <c r="L36" s="60">
        <f t="shared" si="1"/>
        <v>0.39999999999999991</v>
      </c>
      <c r="M36" s="29" t="str">
        <f>IF(K36&lt;='01_PARÂMETROS'!$B$14,"Preferencial",IF(K36&lt;='01_PARÂMETROS'!$B$15,"Baixo",IF(K36&lt;='01_PARÂMETROS'!$B$16,"Médio",IF(K36&lt;='01_PARÂMETROS'!$B$17,"Alto","Elevado"))))</f>
        <v>Elevado</v>
      </c>
      <c r="N36" s="48" t="s">
        <v>478</v>
      </c>
      <c r="O36" s="29" t="s">
        <v>3360</v>
      </c>
    </row>
    <row r="37" spans="1:15" ht="13.5" customHeight="1" x14ac:dyDescent="0.25">
      <c r="A37" s="24" t="s">
        <v>512</v>
      </c>
      <c r="B37" s="38" t="s">
        <v>475</v>
      </c>
      <c r="C37" s="25" t="s">
        <v>193</v>
      </c>
      <c r="D37" s="39" t="s">
        <v>476</v>
      </c>
      <c r="E37" s="40" t="s">
        <v>477</v>
      </c>
      <c r="F37" s="41">
        <f>'03_FONTE_FAP'!F37</f>
        <v>37.165999999999997</v>
      </c>
      <c r="G37" s="42">
        <f>'03_FONTE_FAP'!K37</f>
        <v>40.234499999999997</v>
      </c>
      <c r="H37" s="21">
        <f>'03_FONTE_FAP'!M37</f>
        <v>38.700249999999997</v>
      </c>
      <c r="I37" s="43">
        <f>'01_PARÂMETROS'!$B$9</f>
        <v>50</v>
      </c>
      <c r="J37" s="44">
        <f t="shared" si="3"/>
        <v>0.77400499999999994</v>
      </c>
      <c r="K37" s="51">
        <f>MAX('01_PARÂMETROS'!$B$11,MIN('01_PARÂMETROS'!$B$12,J37))</f>
        <v>0.77400499999999994</v>
      </c>
      <c r="L37" s="52">
        <f t="shared" si="1"/>
        <v>-0.22599500000000006</v>
      </c>
      <c r="M37" s="53" t="str">
        <f>IF(K37&lt;='01_PARÂMETROS'!$B$14,"Preferencial",IF(K37&lt;='01_PARÂMETROS'!$B$15,"Baixo",IF(K37&lt;='01_PARÂMETROS'!$B$16,"Médio",IF(K37&lt;='01_PARÂMETROS'!$B$17,"Alto","Elevado"))))</f>
        <v>Preferencial</v>
      </c>
      <c r="N37" s="48" t="s">
        <v>478</v>
      </c>
      <c r="O37" s="29" t="s">
        <v>3360</v>
      </c>
    </row>
    <row r="38" spans="1:15" ht="13.5" customHeight="1" x14ac:dyDescent="0.25">
      <c r="A38" s="13" t="s">
        <v>513</v>
      </c>
      <c r="B38" s="49" t="s">
        <v>475</v>
      </c>
      <c r="C38" s="14" t="s">
        <v>195</v>
      </c>
      <c r="D38" s="50" t="s">
        <v>476</v>
      </c>
      <c r="E38" s="40" t="s">
        <v>477</v>
      </c>
      <c r="F38" s="41">
        <f>'03_FONTE_FAP'!F38</f>
        <v>63.137999999999998</v>
      </c>
      <c r="G38" s="42">
        <f>'03_FONTE_FAP'!K38</f>
        <v>68.081999999999994</v>
      </c>
      <c r="H38" s="21">
        <f>'03_FONTE_FAP'!M38</f>
        <v>65.61</v>
      </c>
      <c r="I38" s="43">
        <f>'01_PARÂMETROS'!$B$9</f>
        <v>50</v>
      </c>
      <c r="J38" s="44">
        <f t="shared" si="3"/>
        <v>1.3122</v>
      </c>
      <c r="K38" s="59">
        <f>MAX('01_PARÂMETROS'!$B$11,MIN('01_PARÂMETROS'!$B$12,J38))</f>
        <v>1.3122</v>
      </c>
      <c r="L38" s="60">
        <f t="shared" si="1"/>
        <v>0.31220000000000003</v>
      </c>
      <c r="M38" s="29" t="str">
        <f>IF(K38&lt;='01_PARÂMETROS'!$B$14,"Preferencial",IF(K38&lt;='01_PARÂMETROS'!$B$15,"Baixo",IF(K38&lt;='01_PARÂMETROS'!$B$16,"Médio",IF(K38&lt;='01_PARÂMETROS'!$B$17,"Alto","Elevado"))))</f>
        <v>Elevado</v>
      </c>
      <c r="N38" s="48" t="s">
        <v>478</v>
      </c>
      <c r="O38" s="29" t="s">
        <v>3360</v>
      </c>
    </row>
    <row r="39" spans="1:15" ht="13.5" customHeight="1" x14ac:dyDescent="0.25">
      <c r="A39" s="24" t="s">
        <v>514</v>
      </c>
      <c r="B39" s="38" t="s">
        <v>475</v>
      </c>
      <c r="C39" s="25" t="s">
        <v>197</v>
      </c>
      <c r="D39" s="39" t="s">
        <v>476</v>
      </c>
      <c r="E39" s="40" t="s">
        <v>477</v>
      </c>
      <c r="F39" s="54" t="s">
        <v>485</v>
      </c>
      <c r="G39" s="54" t="s">
        <v>485</v>
      </c>
      <c r="H39" s="54" t="s">
        <v>485</v>
      </c>
      <c r="I39" s="43">
        <f>'01_PARÂMETROS'!$B$9</f>
        <v>50</v>
      </c>
      <c r="J39" s="44">
        <f>1</f>
        <v>1</v>
      </c>
      <c r="K39" s="55">
        <f>MAX('01_PARÂMETROS'!$B$11,MIN('01_PARÂMETROS'!$B$12,J39))</f>
        <v>1</v>
      </c>
      <c r="L39" s="56">
        <f t="shared" si="1"/>
        <v>0</v>
      </c>
      <c r="M39" s="57" t="str">
        <f>IF(K39&lt;='01_PARÂMETROS'!$B$14,"Preferencial",IF(K39&lt;='01_PARÂMETROS'!$B$15,"Baixo",IF(K39&lt;='01_PARÂMETROS'!$B$16,"Médio",IF(K39&lt;='01_PARÂMETROS'!$B$17,"Alto","Elevado"))))</f>
        <v>Médio</v>
      </c>
      <c r="N39" s="58" t="s">
        <v>486</v>
      </c>
      <c r="O39" s="54"/>
    </row>
    <row r="40" spans="1:15" ht="13.5" customHeight="1" x14ac:dyDescent="0.25">
      <c r="A40" s="13" t="s">
        <v>515</v>
      </c>
      <c r="B40" s="49" t="s">
        <v>475</v>
      </c>
      <c r="C40" s="14" t="s">
        <v>199</v>
      </c>
      <c r="D40" s="50" t="s">
        <v>476</v>
      </c>
      <c r="E40" s="40" t="s">
        <v>477</v>
      </c>
      <c r="F40" s="41">
        <f>'03_FONTE_FAP'!F40</f>
        <v>79.273500000000013</v>
      </c>
      <c r="G40" s="42">
        <f>'03_FONTE_FAP'!K40</f>
        <v>55.327999999999996</v>
      </c>
      <c r="H40" s="21">
        <f>'03_FONTE_FAP'!M40</f>
        <v>67.300750000000008</v>
      </c>
      <c r="I40" s="43">
        <f>'01_PARÂMETROS'!$B$9</f>
        <v>50</v>
      </c>
      <c r="J40" s="44">
        <f>IFERROR(IF(H40=0,1,H40/I40),1)</f>
        <v>1.3460150000000002</v>
      </c>
      <c r="K40" s="59">
        <f>MAX('01_PARÂMETROS'!$B$11,MIN('01_PARÂMETROS'!$B$12,J40))</f>
        <v>1.3460150000000002</v>
      </c>
      <c r="L40" s="60">
        <f t="shared" si="1"/>
        <v>0.34601500000000018</v>
      </c>
      <c r="M40" s="29" t="str">
        <f>IF(K40&lt;='01_PARÂMETROS'!$B$14,"Preferencial",IF(K40&lt;='01_PARÂMETROS'!$B$15,"Baixo",IF(K40&lt;='01_PARÂMETROS'!$B$16,"Médio",IF(K40&lt;='01_PARÂMETROS'!$B$17,"Alto","Elevado"))))</f>
        <v>Elevado</v>
      </c>
      <c r="N40" s="48" t="s">
        <v>478</v>
      </c>
      <c r="O40" s="29" t="s">
        <v>3360</v>
      </c>
    </row>
    <row r="41" spans="1:15" ht="13.5" customHeight="1" x14ac:dyDescent="0.25">
      <c r="A41" s="24" t="s">
        <v>516</v>
      </c>
      <c r="B41" s="38" t="s">
        <v>475</v>
      </c>
      <c r="C41" s="25" t="s">
        <v>201</v>
      </c>
      <c r="D41" s="39" t="s">
        <v>476</v>
      </c>
      <c r="E41" s="40" t="s">
        <v>477</v>
      </c>
      <c r="F41" s="41">
        <f>'03_FONTE_FAP'!F41</f>
        <v>61.525999999999996</v>
      </c>
      <c r="G41" s="42">
        <f>'03_FONTE_FAP'!K41</f>
        <v>51.259999999999991</v>
      </c>
      <c r="H41" s="21">
        <f>'03_FONTE_FAP'!M41</f>
        <v>56.392999999999994</v>
      </c>
      <c r="I41" s="43">
        <f>'01_PARÂMETROS'!$B$9</f>
        <v>50</v>
      </c>
      <c r="J41" s="44">
        <f>IFERROR(IF(H41=0,1,H41/I41),1)</f>
        <v>1.1278599999999999</v>
      </c>
      <c r="K41" s="45">
        <f>MAX('01_PARÂMETROS'!$B$11,MIN('01_PARÂMETROS'!$B$12,J41))</f>
        <v>1.1278599999999999</v>
      </c>
      <c r="L41" s="46">
        <f t="shared" si="1"/>
        <v>0.12785999999999986</v>
      </c>
      <c r="M41" s="47" t="str">
        <f>IF(K41&lt;='01_PARÂMETROS'!$B$14,"Preferencial",IF(K41&lt;='01_PARÂMETROS'!$B$15,"Baixo",IF(K41&lt;='01_PARÂMETROS'!$B$16,"Médio",IF(K41&lt;='01_PARÂMETROS'!$B$17,"Alto","Elevado"))))</f>
        <v>Alto</v>
      </c>
      <c r="N41" s="48" t="s">
        <v>478</v>
      </c>
      <c r="O41" s="29" t="s">
        <v>3360</v>
      </c>
    </row>
    <row r="42" spans="1:15" ht="13.5" customHeight="1" x14ac:dyDescent="0.25">
      <c r="A42" s="13" t="s">
        <v>517</v>
      </c>
      <c r="B42" s="49" t="s">
        <v>475</v>
      </c>
      <c r="C42" s="14" t="s">
        <v>203</v>
      </c>
      <c r="D42" s="50" t="s">
        <v>476</v>
      </c>
      <c r="E42" s="40" t="s">
        <v>477</v>
      </c>
      <c r="F42" s="41">
        <f>'03_FONTE_FAP'!F42</f>
        <v>13.415499999999998</v>
      </c>
      <c r="G42" s="42">
        <f>'03_FONTE_FAP'!K42</f>
        <v>64.260000000000005</v>
      </c>
      <c r="H42" s="21">
        <f>'03_FONTE_FAP'!M42</f>
        <v>38.83775</v>
      </c>
      <c r="I42" s="43">
        <f>'01_PARÂMETROS'!$B$9</f>
        <v>50</v>
      </c>
      <c r="J42" s="44">
        <f>IFERROR(IF(H42=0,1,H42/I42),1)</f>
        <v>0.77675499999999997</v>
      </c>
      <c r="K42" s="51">
        <f>MAX('01_PARÂMETROS'!$B$11,MIN('01_PARÂMETROS'!$B$12,J42))</f>
        <v>0.77675499999999997</v>
      </c>
      <c r="L42" s="52">
        <f t="shared" si="1"/>
        <v>-0.22324500000000003</v>
      </c>
      <c r="M42" s="53" t="str">
        <f>IF(K42&lt;='01_PARÂMETROS'!$B$14,"Preferencial",IF(K42&lt;='01_PARÂMETROS'!$B$15,"Baixo",IF(K42&lt;='01_PARÂMETROS'!$B$16,"Médio",IF(K42&lt;='01_PARÂMETROS'!$B$17,"Alto","Elevado"))))</f>
        <v>Preferencial</v>
      </c>
      <c r="N42" s="48" t="s">
        <v>478</v>
      </c>
      <c r="O42" s="29" t="s">
        <v>3360</v>
      </c>
    </row>
    <row r="43" spans="1:15" ht="13.5" customHeight="1" x14ac:dyDescent="0.25">
      <c r="A43" s="24" t="s">
        <v>518</v>
      </c>
      <c r="B43" s="38" t="s">
        <v>475</v>
      </c>
      <c r="C43" s="25" t="s">
        <v>205</v>
      </c>
      <c r="D43" s="39" t="s">
        <v>476</v>
      </c>
      <c r="E43" s="40" t="s">
        <v>477</v>
      </c>
      <c r="F43" s="41">
        <f>'03_FONTE_FAP'!F43</f>
        <v>36.399999999999991</v>
      </c>
      <c r="G43" s="42">
        <f>'03_FONTE_FAP'!K43</f>
        <v>40.116</v>
      </c>
      <c r="H43" s="21">
        <f>'03_FONTE_FAP'!M43</f>
        <v>38.257999999999996</v>
      </c>
      <c r="I43" s="43">
        <f>'01_PARÂMETROS'!$B$9</f>
        <v>50</v>
      </c>
      <c r="J43" s="44">
        <f>IFERROR(IF(H43=0,1,H43/I43),1)</f>
        <v>0.76515999999999995</v>
      </c>
      <c r="K43" s="51">
        <f>MAX('01_PARÂMETROS'!$B$11,MIN('01_PARÂMETROS'!$B$12,J43))</f>
        <v>0.76515999999999995</v>
      </c>
      <c r="L43" s="52">
        <f t="shared" si="1"/>
        <v>-0.23484000000000005</v>
      </c>
      <c r="M43" s="53" t="str">
        <f>IF(K43&lt;='01_PARÂMETROS'!$B$14,"Preferencial",IF(K43&lt;='01_PARÂMETROS'!$B$15,"Baixo",IF(K43&lt;='01_PARÂMETROS'!$B$16,"Médio",IF(K43&lt;='01_PARÂMETROS'!$B$17,"Alto","Elevado"))))</f>
        <v>Preferencial</v>
      </c>
      <c r="N43" s="48" t="s">
        <v>478</v>
      </c>
      <c r="O43" s="29" t="s">
        <v>3360</v>
      </c>
    </row>
    <row r="44" spans="1:15" ht="13.5" customHeight="1" x14ac:dyDescent="0.25">
      <c r="A44" s="13" t="s">
        <v>519</v>
      </c>
      <c r="B44" s="49" t="s">
        <v>475</v>
      </c>
      <c r="C44" s="14" t="s">
        <v>207</v>
      </c>
      <c r="D44" s="50" t="s">
        <v>476</v>
      </c>
      <c r="E44" s="40" t="s">
        <v>477</v>
      </c>
      <c r="F44" s="54" t="s">
        <v>485</v>
      </c>
      <c r="G44" s="54" t="s">
        <v>485</v>
      </c>
      <c r="H44" s="54" t="s">
        <v>485</v>
      </c>
      <c r="I44" s="43">
        <f>'01_PARÂMETROS'!$B$9</f>
        <v>50</v>
      </c>
      <c r="J44" s="44">
        <f>1</f>
        <v>1</v>
      </c>
      <c r="K44" s="55">
        <f>MAX('01_PARÂMETROS'!$B$11,MIN('01_PARÂMETROS'!$B$12,J44))</f>
        <v>1</v>
      </c>
      <c r="L44" s="56">
        <f t="shared" si="1"/>
        <v>0</v>
      </c>
      <c r="M44" s="57" t="str">
        <f>IF(K44&lt;='01_PARÂMETROS'!$B$14,"Preferencial",IF(K44&lt;='01_PARÂMETROS'!$B$15,"Baixo",IF(K44&lt;='01_PARÂMETROS'!$B$16,"Médio",IF(K44&lt;='01_PARÂMETROS'!$B$17,"Alto","Elevado"))))</f>
        <v>Médio</v>
      </c>
      <c r="N44" s="58" t="s">
        <v>486</v>
      </c>
      <c r="O44" s="61"/>
    </row>
    <row r="45" spans="1:15" ht="13.5" customHeight="1" x14ac:dyDescent="0.25">
      <c r="A45" s="24" t="s">
        <v>520</v>
      </c>
      <c r="B45" s="38" t="s">
        <v>475</v>
      </c>
      <c r="C45" s="25" t="s">
        <v>209</v>
      </c>
      <c r="D45" s="39" t="s">
        <v>476</v>
      </c>
      <c r="E45" s="40" t="s">
        <v>477</v>
      </c>
      <c r="F45" s="41">
        <f>'03_FONTE_FAP'!F45</f>
        <v>52.1995</v>
      </c>
      <c r="G45" s="42">
        <f>'03_FONTE_FAP'!K45</f>
        <v>42.396000000000001</v>
      </c>
      <c r="H45" s="21">
        <f>'03_FONTE_FAP'!M45</f>
        <v>47.297750000000001</v>
      </c>
      <c r="I45" s="43">
        <f>'01_PARÂMETROS'!$B$9</f>
        <v>50</v>
      </c>
      <c r="J45" s="44">
        <f>IFERROR(IF(H45=0,1,H45/I45),1)</f>
        <v>0.94595499999999999</v>
      </c>
      <c r="K45" s="62">
        <f>MAX('01_PARÂMETROS'!$B$11,MIN('01_PARÂMETROS'!$B$12,J45))</f>
        <v>0.94595499999999999</v>
      </c>
      <c r="L45" s="63">
        <f t="shared" si="1"/>
        <v>-5.404500000000001E-2</v>
      </c>
      <c r="M45" s="17" t="str">
        <f>IF(K45&lt;='01_PARÂMETROS'!$B$14,"Preferencial",IF(K45&lt;='01_PARÂMETROS'!$B$15,"Baixo",IF(K45&lt;='01_PARÂMETROS'!$B$16,"Médio",IF(K45&lt;='01_PARÂMETROS'!$B$17,"Alto","Elevado"))))</f>
        <v>Baixo</v>
      </c>
      <c r="N45" s="48" t="s">
        <v>478</v>
      </c>
      <c r="O45" s="29" t="s">
        <v>3360</v>
      </c>
    </row>
    <row r="46" spans="1:15" ht="13.5" customHeight="1" x14ac:dyDescent="0.25">
      <c r="A46" s="13" t="s">
        <v>521</v>
      </c>
      <c r="B46" s="49" t="s">
        <v>475</v>
      </c>
      <c r="C46" s="14" t="s">
        <v>211</v>
      </c>
      <c r="D46" s="50" t="s">
        <v>476</v>
      </c>
      <c r="E46" s="40" t="s">
        <v>477</v>
      </c>
      <c r="F46" s="41">
        <f>'03_FONTE_FAP'!F46</f>
        <v>72.522500000000008</v>
      </c>
      <c r="G46" s="42">
        <f>'03_FONTE_FAP'!K46</f>
        <v>63.268000000000008</v>
      </c>
      <c r="H46" s="21">
        <f>'03_FONTE_FAP'!M46</f>
        <v>67.895250000000004</v>
      </c>
      <c r="I46" s="43">
        <f>'01_PARÂMETROS'!$B$9</f>
        <v>50</v>
      </c>
      <c r="J46" s="44">
        <f>IFERROR(IF(H46=0,1,H46/I46),1)</f>
        <v>1.3579050000000001</v>
      </c>
      <c r="K46" s="59">
        <f>MAX('01_PARÂMETROS'!$B$11,MIN('01_PARÂMETROS'!$B$12,J46))</f>
        <v>1.3579050000000001</v>
      </c>
      <c r="L46" s="60">
        <f t="shared" si="1"/>
        <v>0.35790500000000014</v>
      </c>
      <c r="M46" s="29" t="str">
        <f>IF(K46&lt;='01_PARÂMETROS'!$B$14,"Preferencial",IF(K46&lt;='01_PARÂMETROS'!$B$15,"Baixo",IF(K46&lt;='01_PARÂMETROS'!$B$16,"Médio",IF(K46&lt;='01_PARÂMETROS'!$B$17,"Alto","Elevado"))))</f>
        <v>Elevado</v>
      </c>
      <c r="N46" s="48" t="s">
        <v>478</v>
      </c>
      <c r="O46" s="61"/>
    </row>
    <row r="47" spans="1:15" ht="13.5" customHeight="1" x14ac:dyDescent="0.25">
      <c r="A47" s="24" t="s">
        <v>522</v>
      </c>
      <c r="B47" s="38" t="s">
        <v>475</v>
      </c>
      <c r="C47" s="25" t="s">
        <v>213</v>
      </c>
      <c r="D47" s="39" t="s">
        <v>476</v>
      </c>
      <c r="E47" s="40" t="s">
        <v>477</v>
      </c>
      <c r="F47" s="41">
        <f>'03_FONTE_FAP'!F47</f>
        <v>74.082499999999996</v>
      </c>
      <c r="G47" s="42">
        <f>'03_FONTE_FAP'!K47</f>
        <v>50.230499999999992</v>
      </c>
      <c r="H47" s="21">
        <f>'03_FONTE_FAP'!M47</f>
        <v>62.156499999999994</v>
      </c>
      <c r="I47" s="43">
        <f>'01_PARÂMETROS'!$B$9</f>
        <v>50</v>
      </c>
      <c r="J47" s="44">
        <f>IFERROR(IF(H47=0,1,H47/I47),1)</f>
        <v>1.2431299999999998</v>
      </c>
      <c r="K47" s="59">
        <f>MAX('01_PARÂMETROS'!$B$11,MIN('01_PARÂMETROS'!$B$12,J47))</f>
        <v>1.2431299999999998</v>
      </c>
      <c r="L47" s="60">
        <f t="shared" si="1"/>
        <v>0.24312999999999985</v>
      </c>
      <c r="M47" s="29" t="str">
        <f>IF(K47&lt;='01_PARÂMETROS'!$B$14,"Preferencial",IF(K47&lt;='01_PARÂMETROS'!$B$15,"Baixo",IF(K47&lt;='01_PARÂMETROS'!$B$16,"Médio",IF(K47&lt;='01_PARÂMETROS'!$B$17,"Alto","Elevado"))))</f>
        <v>Elevado</v>
      </c>
      <c r="N47" s="48" t="s">
        <v>478</v>
      </c>
      <c r="O47" s="54"/>
    </row>
    <row r="48" spans="1:15" ht="13.5" customHeight="1" x14ac:dyDescent="0.25">
      <c r="A48" s="13" t="s">
        <v>523</v>
      </c>
      <c r="B48" s="49" t="s">
        <v>475</v>
      </c>
      <c r="C48" s="14" t="s">
        <v>215</v>
      </c>
      <c r="D48" s="50" t="s">
        <v>476</v>
      </c>
      <c r="E48" s="40" t="s">
        <v>477</v>
      </c>
      <c r="F48" s="54" t="s">
        <v>485</v>
      </c>
      <c r="G48" s="54" t="s">
        <v>485</v>
      </c>
      <c r="H48" s="54" t="s">
        <v>485</v>
      </c>
      <c r="I48" s="43">
        <f>'01_PARÂMETROS'!$B$9</f>
        <v>50</v>
      </c>
      <c r="J48" s="44">
        <f>1</f>
        <v>1</v>
      </c>
      <c r="K48" s="55">
        <f>MAX('01_PARÂMETROS'!$B$11,MIN('01_PARÂMETROS'!$B$12,J48))</f>
        <v>1</v>
      </c>
      <c r="L48" s="56">
        <f t="shared" si="1"/>
        <v>0</v>
      </c>
      <c r="M48" s="57" t="str">
        <f>IF(K48&lt;='01_PARÂMETROS'!$B$14,"Preferencial",IF(K48&lt;='01_PARÂMETROS'!$B$15,"Baixo",IF(K48&lt;='01_PARÂMETROS'!$B$16,"Médio",IF(K48&lt;='01_PARÂMETROS'!$B$17,"Alto","Elevado"))))</f>
        <v>Médio</v>
      </c>
      <c r="N48" s="58" t="s">
        <v>486</v>
      </c>
      <c r="O48" s="61"/>
    </row>
    <row r="49" spans="1:15" ht="13.5" customHeight="1" x14ac:dyDescent="0.25">
      <c r="A49" s="24" t="s">
        <v>524</v>
      </c>
      <c r="B49" s="38" t="s">
        <v>475</v>
      </c>
      <c r="C49" s="25" t="s">
        <v>217</v>
      </c>
      <c r="D49" s="39" t="s">
        <v>476</v>
      </c>
      <c r="E49" s="40" t="s">
        <v>477</v>
      </c>
      <c r="F49" s="41">
        <f>'03_FONTE_FAP'!F49</f>
        <v>57.754499999999993</v>
      </c>
      <c r="G49" s="42">
        <f>'03_FONTE_FAP'!K49</f>
        <v>31.361499999999999</v>
      </c>
      <c r="H49" s="21">
        <f>'03_FONTE_FAP'!M49</f>
        <v>44.557999999999993</v>
      </c>
      <c r="I49" s="43">
        <f>'01_PARÂMETROS'!$B$9</f>
        <v>50</v>
      </c>
      <c r="J49" s="44">
        <f t="shared" ref="J49:J73" si="4">IFERROR(IF(H49=0,1,H49/I49),1)</f>
        <v>0.89115999999999984</v>
      </c>
      <c r="K49" s="62">
        <f>MAX('01_PARÂMETROS'!$B$11,MIN('01_PARÂMETROS'!$B$12,J49))</f>
        <v>0.89115999999999984</v>
      </c>
      <c r="L49" s="63">
        <f t="shared" si="1"/>
        <v>-0.10884000000000016</v>
      </c>
      <c r="M49" s="17" t="str">
        <f>IF(K49&lt;='01_PARÂMETROS'!$B$14,"Preferencial",IF(K49&lt;='01_PARÂMETROS'!$B$15,"Baixo",IF(K49&lt;='01_PARÂMETROS'!$B$16,"Médio",IF(K49&lt;='01_PARÂMETROS'!$B$17,"Alto","Elevado"))))</f>
        <v>Baixo</v>
      </c>
      <c r="N49" s="48" t="s">
        <v>478</v>
      </c>
      <c r="O49" s="29" t="s">
        <v>3360</v>
      </c>
    </row>
    <row r="50" spans="1:15" ht="13.5" customHeight="1" x14ac:dyDescent="0.25">
      <c r="A50" s="13" t="s">
        <v>525</v>
      </c>
      <c r="B50" s="49" t="s">
        <v>475</v>
      </c>
      <c r="C50" s="14" t="s">
        <v>219</v>
      </c>
      <c r="D50" s="50" t="s">
        <v>476</v>
      </c>
      <c r="E50" s="40" t="s">
        <v>477</v>
      </c>
      <c r="F50" s="41">
        <f>'03_FONTE_FAP'!F50</f>
        <v>76.648999999999987</v>
      </c>
      <c r="G50" s="42">
        <f>'03_FONTE_FAP'!K50</f>
        <v>0</v>
      </c>
      <c r="H50" s="21">
        <f>'03_FONTE_FAP'!M50</f>
        <v>76.648999999999987</v>
      </c>
      <c r="I50" s="43">
        <f>'01_PARÂMETROS'!$B$9</f>
        <v>50</v>
      </c>
      <c r="J50" s="44">
        <f t="shared" si="4"/>
        <v>1.5329799999999998</v>
      </c>
      <c r="K50" s="59">
        <f>MAX('01_PARÂMETROS'!$B$11,MIN('01_PARÂMETROS'!$B$12,J50))</f>
        <v>1.4</v>
      </c>
      <c r="L50" s="60">
        <f t="shared" si="1"/>
        <v>0.39999999999999991</v>
      </c>
      <c r="M50" s="29" t="str">
        <f>IF(K50&lt;='01_PARÂMETROS'!$B$14,"Preferencial",IF(K50&lt;='01_PARÂMETROS'!$B$15,"Baixo",IF(K50&lt;='01_PARÂMETROS'!$B$16,"Médio",IF(K50&lt;='01_PARÂMETROS'!$B$17,"Alto","Elevado"))))</f>
        <v>Elevado</v>
      </c>
      <c r="N50" s="48" t="s">
        <v>478</v>
      </c>
      <c r="O50" s="29" t="s">
        <v>3360</v>
      </c>
    </row>
    <row r="51" spans="1:15" ht="13.5" customHeight="1" x14ac:dyDescent="0.25">
      <c r="A51" s="24" t="s">
        <v>526</v>
      </c>
      <c r="B51" s="38" t="s">
        <v>475</v>
      </c>
      <c r="C51" s="25" t="s">
        <v>221</v>
      </c>
      <c r="D51" s="39" t="s">
        <v>476</v>
      </c>
      <c r="E51" s="40" t="s">
        <v>477</v>
      </c>
      <c r="F51" s="41">
        <f>'03_FONTE_FAP'!F51</f>
        <v>0</v>
      </c>
      <c r="G51" s="42">
        <f>'03_FONTE_FAP'!K51</f>
        <v>28.539000000000001</v>
      </c>
      <c r="H51" s="21">
        <f>'03_FONTE_FAP'!M51</f>
        <v>28.539000000000001</v>
      </c>
      <c r="I51" s="43">
        <f>'01_PARÂMETROS'!$B$9</f>
        <v>50</v>
      </c>
      <c r="J51" s="44">
        <f t="shared" si="4"/>
        <v>0.57078000000000007</v>
      </c>
      <c r="K51" s="51">
        <f>MAX('01_PARÂMETROS'!$B$11,MIN('01_PARÂMETROS'!$B$12,J51))</f>
        <v>0.75</v>
      </c>
      <c r="L51" s="52">
        <f t="shared" si="1"/>
        <v>-0.25</v>
      </c>
      <c r="M51" s="53" t="str">
        <f>IF(K51&lt;='01_PARÂMETROS'!$B$14,"Preferencial",IF(K51&lt;='01_PARÂMETROS'!$B$15,"Baixo",IF(K51&lt;='01_PARÂMETROS'!$B$16,"Médio",IF(K51&lt;='01_PARÂMETROS'!$B$17,"Alto","Elevado"))))</f>
        <v>Preferencial</v>
      </c>
      <c r="N51" s="48" t="s">
        <v>478</v>
      </c>
      <c r="O51" s="29" t="s">
        <v>3360</v>
      </c>
    </row>
    <row r="52" spans="1:15" ht="13.5" customHeight="1" x14ac:dyDescent="0.25">
      <c r="A52" s="13" t="s">
        <v>527</v>
      </c>
      <c r="B52" s="49" t="s">
        <v>475</v>
      </c>
      <c r="C52" s="14" t="s">
        <v>223</v>
      </c>
      <c r="D52" s="50" t="s">
        <v>476</v>
      </c>
      <c r="E52" s="40" t="s">
        <v>477</v>
      </c>
      <c r="F52" s="41">
        <f>'03_FONTE_FAP'!F52</f>
        <v>73.836499999999987</v>
      </c>
      <c r="G52" s="42">
        <f>'03_FONTE_FAP'!K52</f>
        <v>65.878500000000003</v>
      </c>
      <c r="H52" s="21">
        <f>'03_FONTE_FAP'!M52</f>
        <v>69.857499999999987</v>
      </c>
      <c r="I52" s="43">
        <f>'01_PARÂMETROS'!$B$9</f>
        <v>50</v>
      </c>
      <c r="J52" s="44">
        <f t="shared" si="4"/>
        <v>1.3971499999999997</v>
      </c>
      <c r="K52" s="59">
        <f>MAX('01_PARÂMETROS'!$B$11,MIN('01_PARÂMETROS'!$B$12,J52))</f>
        <v>1.3971499999999997</v>
      </c>
      <c r="L52" s="60">
        <f t="shared" si="1"/>
        <v>0.39714999999999967</v>
      </c>
      <c r="M52" s="29" t="str">
        <f>IF(K52&lt;='01_PARÂMETROS'!$B$14,"Preferencial",IF(K52&lt;='01_PARÂMETROS'!$B$15,"Baixo",IF(K52&lt;='01_PARÂMETROS'!$B$16,"Médio",IF(K52&lt;='01_PARÂMETROS'!$B$17,"Alto","Elevado"))))</f>
        <v>Elevado</v>
      </c>
      <c r="N52" s="48" t="s">
        <v>478</v>
      </c>
      <c r="O52" s="29" t="s">
        <v>3360</v>
      </c>
    </row>
    <row r="53" spans="1:15" ht="13.5" customHeight="1" x14ac:dyDescent="0.25">
      <c r="A53" s="24" t="s">
        <v>528</v>
      </c>
      <c r="B53" s="38" t="s">
        <v>475</v>
      </c>
      <c r="C53" s="25" t="s">
        <v>225</v>
      </c>
      <c r="D53" s="39" t="s">
        <v>476</v>
      </c>
      <c r="E53" s="40" t="s">
        <v>477</v>
      </c>
      <c r="F53" s="41">
        <f>'03_FONTE_FAP'!F53</f>
        <v>15.849999999999998</v>
      </c>
      <c r="G53" s="42">
        <f>'03_FONTE_FAP'!K53</f>
        <v>15.079499999999999</v>
      </c>
      <c r="H53" s="21">
        <f>'03_FONTE_FAP'!M53</f>
        <v>15.464749999999999</v>
      </c>
      <c r="I53" s="43">
        <f>'01_PARÂMETROS'!$B$9</f>
        <v>50</v>
      </c>
      <c r="J53" s="44">
        <f t="shared" si="4"/>
        <v>0.30929499999999999</v>
      </c>
      <c r="K53" s="51">
        <f>MAX('01_PARÂMETROS'!$B$11,MIN('01_PARÂMETROS'!$B$12,J53))</f>
        <v>0.75</v>
      </c>
      <c r="L53" s="52">
        <f t="shared" si="1"/>
        <v>-0.25</v>
      </c>
      <c r="M53" s="53" t="str">
        <f>IF(K53&lt;='01_PARÂMETROS'!$B$14,"Preferencial",IF(K53&lt;='01_PARÂMETROS'!$B$15,"Baixo",IF(K53&lt;='01_PARÂMETROS'!$B$16,"Médio",IF(K53&lt;='01_PARÂMETROS'!$B$17,"Alto","Elevado"))))</f>
        <v>Preferencial</v>
      </c>
      <c r="N53" s="48" t="s">
        <v>478</v>
      </c>
      <c r="O53" s="29" t="s">
        <v>3360</v>
      </c>
    </row>
    <row r="54" spans="1:15" ht="13.5" customHeight="1" x14ac:dyDescent="0.25">
      <c r="A54" s="13" t="s">
        <v>529</v>
      </c>
      <c r="B54" s="49" t="s">
        <v>475</v>
      </c>
      <c r="C54" s="14" t="s">
        <v>227</v>
      </c>
      <c r="D54" s="50" t="s">
        <v>476</v>
      </c>
      <c r="E54" s="40" t="s">
        <v>477</v>
      </c>
      <c r="F54" s="41">
        <f>'03_FONTE_FAP'!F54</f>
        <v>58.411499999999997</v>
      </c>
      <c r="G54" s="42">
        <f>'03_FONTE_FAP'!K54</f>
        <v>52.808</v>
      </c>
      <c r="H54" s="21">
        <f>'03_FONTE_FAP'!M54</f>
        <v>55.609749999999998</v>
      </c>
      <c r="I54" s="43">
        <f>'01_PARÂMETROS'!$B$9</f>
        <v>50</v>
      </c>
      <c r="J54" s="44">
        <f t="shared" si="4"/>
        <v>1.112195</v>
      </c>
      <c r="K54" s="45">
        <f>MAX('01_PARÂMETROS'!$B$11,MIN('01_PARÂMETROS'!$B$12,J54))</f>
        <v>1.112195</v>
      </c>
      <c r="L54" s="46">
        <f t="shared" si="1"/>
        <v>0.11219500000000004</v>
      </c>
      <c r="M54" s="47" t="str">
        <f>IF(K54&lt;='01_PARÂMETROS'!$B$14,"Preferencial",IF(K54&lt;='01_PARÂMETROS'!$B$15,"Baixo",IF(K54&lt;='01_PARÂMETROS'!$B$16,"Médio",IF(K54&lt;='01_PARÂMETROS'!$B$17,"Alto","Elevado"))))</f>
        <v>Alto</v>
      </c>
      <c r="N54" s="48" t="s">
        <v>478</v>
      </c>
      <c r="O54" s="29" t="s">
        <v>3360</v>
      </c>
    </row>
    <row r="55" spans="1:15" ht="13.5" customHeight="1" x14ac:dyDescent="0.25">
      <c r="A55" s="24" t="s">
        <v>530</v>
      </c>
      <c r="B55" s="38" t="s">
        <v>475</v>
      </c>
      <c r="C55" s="25" t="s">
        <v>229</v>
      </c>
      <c r="D55" s="39" t="s">
        <v>476</v>
      </c>
      <c r="E55" s="40" t="s">
        <v>477</v>
      </c>
      <c r="F55" s="41">
        <f>'03_FONTE_FAP'!F55</f>
        <v>37.789499999999997</v>
      </c>
      <c r="G55" s="42">
        <f>'03_FONTE_FAP'!K55</f>
        <v>30.769499999999997</v>
      </c>
      <c r="H55" s="21">
        <f>'03_FONTE_FAP'!M55</f>
        <v>34.279499999999999</v>
      </c>
      <c r="I55" s="43">
        <f>'01_PARÂMETROS'!$B$9</f>
        <v>50</v>
      </c>
      <c r="J55" s="44">
        <f t="shared" si="4"/>
        <v>0.68558999999999992</v>
      </c>
      <c r="K55" s="51">
        <f>MAX('01_PARÂMETROS'!$B$11,MIN('01_PARÂMETROS'!$B$12,J55))</f>
        <v>0.75</v>
      </c>
      <c r="L55" s="52">
        <f t="shared" si="1"/>
        <v>-0.25</v>
      </c>
      <c r="M55" s="53" t="str">
        <f>IF(K55&lt;='01_PARÂMETROS'!$B$14,"Preferencial",IF(K55&lt;='01_PARÂMETROS'!$B$15,"Baixo",IF(K55&lt;='01_PARÂMETROS'!$B$16,"Médio",IF(K55&lt;='01_PARÂMETROS'!$B$17,"Alto","Elevado"))))</f>
        <v>Preferencial</v>
      </c>
      <c r="N55" s="48" t="s">
        <v>478</v>
      </c>
      <c r="O55" s="29" t="s">
        <v>3360</v>
      </c>
    </row>
    <row r="56" spans="1:15" ht="13.5" customHeight="1" x14ac:dyDescent="0.25">
      <c r="A56" s="13" t="s">
        <v>531</v>
      </c>
      <c r="B56" s="49" t="s">
        <v>475</v>
      </c>
      <c r="C56" s="14" t="s">
        <v>231</v>
      </c>
      <c r="D56" s="50" t="s">
        <v>476</v>
      </c>
      <c r="E56" s="40" t="s">
        <v>477</v>
      </c>
      <c r="F56" s="41">
        <f>'03_FONTE_FAP'!F56</f>
        <v>82.475999999999985</v>
      </c>
      <c r="G56" s="42">
        <f>'03_FONTE_FAP'!K56</f>
        <v>61.564999999999998</v>
      </c>
      <c r="H56" s="21">
        <f>'03_FONTE_FAP'!M56</f>
        <v>72.020499999999998</v>
      </c>
      <c r="I56" s="43">
        <f>'01_PARÂMETROS'!$B$9</f>
        <v>50</v>
      </c>
      <c r="J56" s="44">
        <f t="shared" si="4"/>
        <v>1.44041</v>
      </c>
      <c r="K56" s="59">
        <f>MAX('01_PARÂMETROS'!$B$11,MIN('01_PARÂMETROS'!$B$12,J56))</f>
        <v>1.4</v>
      </c>
      <c r="L56" s="60">
        <f t="shared" si="1"/>
        <v>0.39999999999999991</v>
      </c>
      <c r="M56" s="29" t="str">
        <f>IF(K56&lt;='01_PARÂMETROS'!$B$14,"Preferencial",IF(K56&lt;='01_PARÂMETROS'!$B$15,"Baixo",IF(K56&lt;='01_PARÂMETROS'!$B$16,"Médio",IF(K56&lt;='01_PARÂMETROS'!$B$17,"Alto","Elevado"))))</f>
        <v>Elevado</v>
      </c>
      <c r="N56" s="48" t="s">
        <v>478</v>
      </c>
      <c r="O56" s="29" t="s">
        <v>3360</v>
      </c>
    </row>
    <row r="57" spans="1:15" ht="13.5" customHeight="1" x14ac:dyDescent="0.25">
      <c r="A57" s="24" t="s">
        <v>532</v>
      </c>
      <c r="B57" s="38" t="s">
        <v>475</v>
      </c>
      <c r="C57" s="25" t="s">
        <v>233</v>
      </c>
      <c r="D57" s="39" t="s">
        <v>476</v>
      </c>
      <c r="E57" s="40" t="s">
        <v>477</v>
      </c>
      <c r="F57" s="41">
        <f>'03_FONTE_FAP'!F57</f>
        <v>45.364999999999995</v>
      </c>
      <c r="G57" s="42">
        <f>'03_FONTE_FAP'!K57</f>
        <v>29.648</v>
      </c>
      <c r="H57" s="21">
        <f>'03_FONTE_FAP'!M57</f>
        <v>37.506499999999996</v>
      </c>
      <c r="I57" s="43">
        <f>'01_PARÂMETROS'!$B$9</f>
        <v>50</v>
      </c>
      <c r="J57" s="44">
        <f t="shared" si="4"/>
        <v>0.75012999999999996</v>
      </c>
      <c r="K57" s="51">
        <f>MAX('01_PARÂMETROS'!$B$11,MIN('01_PARÂMETROS'!$B$12,J57))</f>
        <v>0.75012999999999996</v>
      </c>
      <c r="L57" s="52">
        <f t="shared" si="1"/>
        <v>-0.24987000000000004</v>
      </c>
      <c r="M57" s="53" t="str">
        <f>IF(K57&lt;='01_PARÂMETROS'!$B$14,"Preferencial",IF(K57&lt;='01_PARÂMETROS'!$B$15,"Baixo",IF(K57&lt;='01_PARÂMETROS'!$B$16,"Médio",IF(K57&lt;='01_PARÂMETROS'!$B$17,"Alto","Elevado"))))</f>
        <v>Preferencial</v>
      </c>
      <c r="N57" s="48" t="s">
        <v>478</v>
      </c>
      <c r="O57" s="54"/>
    </row>
    <row r="58" spans="1:15" ht="13.5" customHeight="1" x14ac:dyDescent="0.25">
      <c r="A58" s="13" t="s">
        <v>533</v>
      </c>
      <c r="B58" s="49" t="s">
        <v>475</v>
      </c>
      <c r="C58" s="14" t="s">
        <v>235</v>
      </c>
      <c r="D58" s="50" t="s">
        <v>476</v>
      </c>
      <c r="E58" s="40" t="s">
        <v>477</v>
      </c>
      <c r="F58" s="41">
        <f>'03_FONTE_FAP'!F58</f>
        <v>84.53</v>
      </c>
      <c r="G58" s="42">
        <f>'03_FONTE_FAP'!K58</f>
        <v>83.646999999999991</v>
      </c>
      <c r="H58" s="21">
        <f>'03_FONTE_FAP'!M58</f>
        <v>84.088499999999996</v>
      </c>
      <c r="I58" s="43">
        <f>'01_PARÂMETROS'!$B$9</f>
        <v>50</v>
      </c>
      <c r="J58" s="44">
        <f t="shared" si="4"/>
        <v>1.68177</v>
      </c>
      <c r="K58" s="59">
        <f>MAX('01_PARÂMETROS'!$B$11,MIN('01_PARÂMETROS'!$B$12,J58))</f>
        <v>1.4</v>
      </c>
      <c r="L58" s="60">
        <f t="shared" si="1"/>
        <v>0.39999999999999991</v>
      </c>
      <c r="M58" s="29" t="str">
        <f>IF(K58&lt;='01_PARÂMETROS'!$B$14,"Preferencial",IF(K58&lt;='01_PARÂMETROS'!$B$15,"Baixo",IF(K58&lt;='01_PARÂMETROS'!$B$16,"Médio",IF(K58&lt;='01_PARÂMETROS'!$B$17,"Alto","Elevado"))))</f>
        <v>Elevado</v>
      </c>
      <c r="N58" s="48" t="s">
        <v>478</v>
      </c>
      <c r="O58" s="61"/>
    </row>
    <row r="59" spans="1:15" ht="13.5" customHeight="1" x14ac:dyDescent="0.25">
      <c r="A59" s="24" t="s">
        <v>534</v>
      </c>
      <c r="B59" s="38" t="s">
        <v>475</v>
      </c>
      <c r="C59" s="25" t="s">
        <v>237</v>
      </c>
      <c r="D59" s="39" t="s">
        <v>476</v>
      </c>
      <c r="E59" s="40" t="s">
        <v>477</v>
      </c>
      <c r="F59" s="41">
        <f>'03_FONTE_FAP'!F59</f>
        <v>62.015000000000001</v>
      </c>
      <c r="G59" s="42">
        <f>'03_FONTE_FAP'!K59</f>
        <v>64.700999999999993</v>
      </c>
      <c r="H59" s="21">
        <f>'03_FONTE_FAP'!M59</f>
        <v>63.357999999999997</v>
      </c>
      <c r="I59" s="43">
        <f>'01_PARÂMETROS'!$B$9</f>
        <v>50</v>
      </c>
      <c r="J59" s="44">
        <f t="shared" si="4"/>
        <v>1.2671599999999998</v>
      </c>
      <c r="K59" s="59">
        <f>MAX('01_PARÂMETROS'!$B$11,MIN('01_PARÂMETROS'!$B$12,J59))</f>
        <v>1.2671599999999998</v>
      </c>
      <c r="L59" s="60">
        <f t="shared" si="1"/>
        <v>0.26715999999999984</v>
      </c>
      <c r="M59" s="29" t="str">
        <f>IF(K59&lt;='01_PARÂMETROS'!$B$14,"Preferencial",IF(K59&lt;='01_PARÂMETROS'!$B$15,"Baixo",IF(K59&lt;='01_PARÂMETROS'!$B$16,"Médio",IF(K59&lt;='01_PARÂMETROS'!$B$17,"Alto","Elevado"))))</f>
        <v>Elevado</v>
      </c>
      <c r="N59" s="48" t="s">
        <v>478</v>
      </c>
      <c r="O59" s="54"/>
    </row>
    <row r="60" spans="1:15" ht="13.5" customHeight="1" x14ac:dyDescent="0.25">
      <c r="A60" s="13" t="s">
        <v>535</v>
      </c>
      <c r="B60" s="49" t="s">
        <v>475</v>
      </c>
      <c r="C60" s="14" t="s">
        <v>239</v>
      </c>
      <c r="D60" s="50" t="s">
        <v>476</v>
      </c>
      <c r="E60" s="40" t="s">
        <v>477</v>
      </c>
      <c r="F60" s="41">
        <f>'03_FONTE_FAP'!F60</f>
        <v>79.04549999999999</v>
      </c>
      <c r="G60" s="42">
        <f>'03_FONTE_FAP'!K60</f>
        <v>82.783000000000001</v>
      </c>
      <c r="H60" s="21">
        <f>'03_FONTE_FAP'!M60</f>
        <v>80.914249999999996</v>
      </c>
      <c r="I60" s="43">
        <f>'01_PARÂMETROS'!$B$9</f>
        <v>50</v>
      </c>
      <c r="J60" s="44">
        <f t="shared" si="4"/>
        <v>1.618285</v>
      </c>
      <c r="K60" s="59">
        <f>MAX('01_PARÂMETROS'!$B$11,MIN('01_PARÂMETROS'!$B$12,J60))</f>
        <v>1.4</v>
      </c>
      <c r="L60" s="60">
        <f t="shared" si="1"/>
        <v>0.39999999999999991</v>
      </c>
      <c r="M60" s="29" t="str">
        <f>IF(K60&lt;='01_PARÂMETROS'!$B$14,"Preferencial",IF(K60&lt;='01_PARÂMETROS'!$B$15,"Baixo",IF(K60&lt;='01_PARÂMETROS'!$B$16,"Médio",IF(K60&lt;='01_PARÂMETROS'!$B$17,"Alto","Elevado"))))</f>
        <v>Elevado</v>
      </c>
      <c r="N60" s="48" t="s">
        <v>478</v>
      </c>
      <c r="O60" s="61"/>
    </row>
    <row r="61" spans="1:15" ht="13.5" customHeight="1" x14ac:dyDescent="0.25">
      <c r="A61" s="24" t="s">
        <v>536</v>
      </c>
      <c r="B61" s="38" t="s">
        <v>475</v>
      </c>
      <c r="C61" s="25" t="s">
        <v>241</v>
      </c>
      <c r="D61" s="39" t="s">
        <v>476</v>
      </c>
      <c r="E61" s="40" t="s">
        <v>477</v>
      </c>
      <c r="F61" s="41">
        <f>'03_FONTE_FAP'!F61</f>
        <v>37.634999999999998</v>
      </c>
      <c r="G61" s="42">
        <f>'03_FONTE_FAP'!K61</f>
        <v>31.05</v>
      </c>
      <c r="H61" s="21">
        <f>'03_FONTE_FAP'!M61</f>
        <v>34.342500000000001</v>
      </c>
      <c r="I61" s="43">
        <f>'01_PARÂMETROS'!$B$9</f>
        <v>50</v>
      </c>
      <c r="J61" s="44">
        <f t="shared" si="4"/>
        <v>0.68685000000000007</v>
      </c>
      <c r="K61" s="51">
        <f>MAX('01_PARÂMETROS'!$B$11,MIN('01_PARÂMETROS'!$B$12,J61))</f>
        <v>0.75</v>
      </c>
      <c r="L61" s="52">
        <f t="shared" si="1"/>
        <v>-0.25</v>
      </c>
      <c r="M61" s="53" t="str">
        <f>IF(K61&lt;='01_PARÂMETROS'!$B$14,"Preferencial",IF(K61&lt;='01_PARÂMETROS'!$B$15,"Baixo",IF(K61&lt;='01_PARÂMETROS'!$B$16,"Médio",IF(K61&lt;='01_PARÂMETROS'!$B$17,"Alto","Elevado"))))</f>
        <v>Preferencial</v>
      </c>
      <c r="N61" s="48" t="s">
        <v>478</v>
      </c>
      <c r="O61" s="29" t="s">
        <v>3360</v>
      </c>
    </row>
    <row r="62" spans="1:15" ht="13.5" customHeight="1" x14ac:dyDescent="0.25">
      <c r="A62" s="13" t="s">
        <v>537</v>
      </c>
      <c r="B62" s="49" t="s">
        <v>475</v>
      </c>
      <c r="C62" s="14" t="s">
        <v>243</v>
      </c>
      <c r="D62" s="50" t="s">
        <v>476</v>
      </c>
      <c r="E62" s="40" t="s">
        <v>477</v>
      </c>
      <c r="F62" s="41">
        <f>'03_FONTE_FAP'!F62</f>
        <v>51.5565</v>
      </c>
      <c r="G62" s="42">
        <f>'03_FONTE_FAP'!K62</f>
        <v>67.186499999999995</v>
      </c>
      <c r="H62" s="21">
        <f>'03_FONTE_FAP'!M62</f>
        <v>59.371499999999997</v>
      </c>
      <c r="I62" s="43">
        <f>'01_PARÂMETROS'!$B$9</f>
        <v>50</v>
      </c>
      <c r="J62" s="44">
        <f t="shared" si="4"/>
        <v>1.18743</v>
      </c>
      <c r="K62" s="45">
        <f>MAX('01_PARÂMETROS'!$B$11,MIN('01_PARÂMETROS'!$B$12,J62))</f>
        <v>1.18743</v>
      </c>
      <c r="L62" s="46">
        <f t="shared" si="1"/>
        <v>0.18742999999999999</v>
      </c>
      <c r="M62" s="47" t="str">
        <f>IF(K62&lt;='01_PARÂMETROS'!$B$14,"Preferencial",IF(K62&lt;='01_PARÂMETROS'!$B$15,"Baixo",IF(K62&lt;='01_PARÂMETROS'!$B$16,"Médio",IF(K62&lt;='01_PARÂMETROS'!$B$17,"Alto","Elevado"))))</f>
        <v>Alto</v>
      </c>
      <c r="N62" s="48" t="s">
        <v>478</v>
      </c>
      <c r="O62" s="29" t="s">
        <v>3360</v>
      </c>
    </row>
    <row r="63" spans="1:15" ht="13.5" customHeight="1" x14ac:dyDescent="0.25">
      <c r="A63" s="24" t="s">
        <v>538</v>
      </c>
      <c r="B63" s="38" t="s">
        <v>475</v>
      </c>
      <c r="C63" s="25" t="s">
        <v>245</v>
      </c>
      <c r="D63" s="39" t="s">
        <v>476</v>
      </c>
      <c r="E63" s="40" t="s">
        <v>477</v>
      </c>
      <c r="F63" s="41">
        <f>'03_FONTE_FAP'!F63</f>
        <v>82.829000000000008</v>
      </c>
      <c r="G63" s="42">
        <f>'03_FONTE_FAP'!K63</f>
        <v>89.258499999999998</v>
      </c>
      <c r="H63" s="21">
        <f>'03_FONTE_FAP'!M63</f>
        <v>86.043750000000003</v>
      </c>
      <c r="I63" s="43">
        <f>'01_PARÂMETROS'!$B$9</f>
        <v>50</v>
      </c>
      <c r="J63" s="44">
        <f t="shared" si="4"/>
        <v>1.7208750000000002</v>
      </c>
      <c r="K63" s="59">
        <f>MAX('01_PARÂMETROS'!$B$11,MIN('01_PARÂMETROS'!$B$12,J63))</f>
        <v>1.4</v>
      </c>
      <c r="L63" s="60">
        <f t="shared" si="1"/>
        <v>0.39999999999999991</v>
      </c>
      <c r="M63" s="29" t="str">
        <f>IF(K63&lt;='01_PARÂMETROS'!$B$14,"Preferencial",IF(K63&lt;='01_PARÂMETROS'!$B$15,"Baixo",IF(K63&lt;='01_PARÂMETROS'!$B$16,"Médio",IF(K63&lt;='01_PARÂMETROS'!$B$17,"Alto","Elevado"))))</f>
        <v>Elevado</v>
      </c>
      <c r="N63" s="48" t="s">
        <v>478</v>
      </c>
      <c r="O63" s="29" t="s">
        <v>3360</v>
      </c>
    </row>
    <row r="64" spans="1:15" ht="13.5" customHeight="1" x14ac:dyDescent="0.25">
      <c r="A64" s="13" t="s">
        <v>539</v>
      </c>
      <c r="B64" s="49" t="s">
        <v>475</v>
      </c>
      <c r="C64" s="14" t="s">
        <v>247</v>
      </c>
      <c r="D64" s="50" t="s">
        <v>476</v>
      </c>
      <c r="E64" s="40" t="s">
        <v>477</v>
      </c>
      <c r="F64" s="41">
        <f>'03_FONTE_FAP'!F64</f>
        <v>18.626999999999999</v>
      </c>
      <c r="G64" s="42">
        <f>'03_FONTE_FAP'!K64</f>
        <v>16.085999999999999</v>
      </c>
      <c r="H64" s="21">
        <f>'03_FONTE_FAP'!M64</f>
        <v>17.356499999999997</v>
      </c>
      <c r="I64" s="43">
        <f>'01_PARÂMETROS'!$B$9</f>
        <v>50</v>
      </c>
      <c r="J64" s="44">
        <f t="shared" si="4"/>
        <v>0.34712999999999994</v>
      </c>
      <c r="K64" s="51">
        <f>MAX('01_PARÂMETROS'!$B$11,MIN('01_PARÂMETROS'!$B$12,J64))</f>
        <v>0.75</v>
      </c>
      <c r="L64" s="52">
        <f t="shared" si="1"/>
        <v>-0.25</v>
      </c>
      <c r="M64" s="53" t="str">
        <f>IF(K64&lt;='01_PARÂMETROS'!$B$14,"Preferencial",IF(K64&lt;='01_PARÂMETROS'!$B$15,"Baixo",IF(K64&lt;='01_PARÂMETROS'!$B$16,"Médio",IF(K64&lt;='01_PARÂMETROS'!$B$17,"Alto","Elevado"))))</f>
        <v>Preferencial</v>
      </c>
      <c r="N64" s="48" t="s">
        <v>478</v>
      </c>
      <c r="O64" s="29" t="s">
        <v>3360</v>
      </c>
    </row>
    <row r="65" spans="1:15" ht="13.5" customHeight="1" x14ac:dyDescent="0.25">
      <c r="A65" s="24" t="s">
        <v>540</v>
      </c>
      <c r="B65" s="38" t="s">
        <v>475</v>
      </c>
      <c r="C65" s="25" t="s">
        <v>249</v>
      </c>
      <c r="D65" s="39" t="s">
        <v>476</v>
      </c>
      <c r="E65" s="40" t="s">
        <v>477</v>
      </c>
      <c r="F65" s="41">
        <f>'03_FONTE_FAP'!F65</f>
        <v>60.167999999999999</v>
      </c>
      <c r="G65" s="42">
        <f>'03_FONTE_FAP'!K65</f>
        <v>54.838999999999999</v>
      </c>
      <c r="H65" s="21">
        <f>'03_FONTE_FAP'!M65</f>
        <v>57.503500000000003</v>
      </c>
      <c r="I65" s="43">
        <f>'01_PARÂMETROS'!$B$9</f>
        <v>50</v>
      </c>
      <c r="J65" s="44">
        <f t="shared" si="4"/>
        <v>1.1500700000000001</v>
      </c>
      <c r="K65" s="45">
        <f>MAX('01_PARÂMETROS'!$B$11,MIN('01_PARÂMETROS'!$B$12,J65))</f>
        <v>1.1500700000000001</v>
      </c>
      <c r="L65" s="46">
        <f t="shared" si="1"/>
        <v>0.15007000000000015</v>
      </c>
      <c r="M65" s="47" t="str">
        <f>IF(K65&lt;='01_PARÂMETROS'!$B$14,"Preferencial",IF(K65&lt;='01_PARÂMETROS'!$B$15,"Baixo",IF(K65&lt;='01_PARÂMETROS'!$B$16,"Médio",IF(K65&lt;='01_PARÂMETROS'!$B$17,"Alto","Elevado"))))</f>
        <v>Alto</v>
      </c>
      <c r="N65" s="48" t="s">
        <v>478</v>
      </c>
      <c r="O65" s="29" t="s">
        <v>3360</v>
      </c>
    </row>
    <row r="66" spans="1:15" ht="13.5" customHeight="1" x14ac:dyDescent="0.25">
      <c r="A66" s="13" t="s">
        <v>541</v>
      </c>
      <c r="B66" s="49" t="s">
        <v>475</v>
      </c>
      <c r="C66" s="14" t="s">
        <v>251</v>
      </c>
      <c r="D66" s="50" t="s">
        <v>476</v>
      </c>
      <c r="E66" s="40" t="s">
        <v>477</v>
      </c>
      <c r="F66" s="41">
        <f>'03_FONTE_FAP'!F66</f>
        <v>81.618500000000012</v>
      </c>
      <c r="G66" s="42">
        <f>'03_FONTE_FAP'!K66</f>
        <v>83.135499999999993</v>
      </c>
      <c r="H66" s="21">
        <f>'03_FONTE_FAP'!M66</f>
        <v>82.37700000000001</v>
      </c>
      <c r="I66" s="43">
        <f>'01_PARÂMETROS'!$B$9</f>
        <v>50</v>
      </c>
      <c r="J66" s="44">
        <f t="shared" si="4"/>
        <v>1.6475400000000002</v>
      </c>
      <c r="K66" s="59">
        <f>MAX('01_PARÂMETROS'!$B$11,MIN('01_PARÂMETROS'!$B$12,J66))</f>
        <v>1.4</v>
      </c>
      <c r="L66" s="60">
        <f t="shared" si="1"/>
        <v>0.39999999999999991</v>
      </c>
      <c r="M66" s="29" t="str">
        <f>IF(K66&lt;='01_PARÂMETROS'!$B$14,"Preferencial",IF(K66&lt;='01_PARÂMETROS'!$B$15,"Baixo",IF(K66&lt;='01_PARÂMETROS'!$B$16,"Médio",IF(K66&lt;='01_PARÂMETROS'!$B$17,"Alto","Elevado"))))</f>
        <v>Elevado</v>
      </c>
      <c r="N66" s="48" t="s">
        <v>478</v>
      </c>
      <c r="O66" s="61"/>
    </row>
    <row r="67" spans="1:15" ht="13.5" customHeight="1" x14ac:dyDescent="0.25">
      <c r="A67" s="24" t="s">
        <v>542</v>
      </c>
      <c r="B67" s="38" t="s">
        <v>475</v>
      </c>
      <c r="C67" s="25" t="s">
        <v>253</v>
      </c>
      <c r="D67" s="39" t="s">
        <v>476</v>
      </c>
      <c r="E67" s="40" t="s">
        <v>477</v>
      </c>
      <c r="F67" s="41">
        <f>'03_FONTE_FAP'!F67</f>
        <v>57.037499999999994</v>
      </c>
      <c r="G67" s="42">
        <f>'03_FONTE_FAP'!K67</f>
        <v>50.858999999999995</v>
      </c>
      <c r="H67" s="21">
        <f>'03_FONTE_FAP'!M67</f>
        <v>53.948249999999994</v>
      </c>
      <c r="I67" s="43">
        <f>'01_PARÂMETROS'!$B$9</f>
        <v>50</v>
      </c>
      <c r="J67" s="44">
        <f t="shared" si="4"/>
        <v>1.078965</v>
      </c>
      <c r="K67" s="45">
        <f>MAX('01_PARÂMETROS'!$B$11,MIN('01_PARÂMETROS'!$B$12,J67))</f>
        <v>1.078965</v>
      </c>
      <c r="L67" s="46">
        <f t="shared" si="1"/>
        <v>7.8964999999999952E-2</v>
      </c>
      <c r="M67" s="47" t="str">
        <f>IF(K67&lt;='01_PARÂMETROS'!$B$14,"Preferencial",IF(K67&lt;='01_PARÂMETROS'!$B$15,"Baixo",IF(K67&lt;='01_PARÂMETROS'!$B$16,"Médio",IF(K67&lt;='01_PARÂMETROS'!$B$17,"Alto","Elevado"))))</f>
        <v>Alto</v>
      </c>
      <c r="N67" s="48" t="s">
        <v>478</v>
      </c>
      <c r="O67" s="29" t="s">
        <v>3360</v>
      </c>
    </row>
    <row r="68" spans="1:15" ht="13.5" customHeight="1" x14ac:dyDescent="0.25">
      <c r="A68" s="13" t="s">
        <v>543</v>
      </c>
      <c r="B68" s="49" t="s">
        <v>475</v>
      </c>
      <c r="C68" s="14" t="s">
        <v>255</v>
      </c>
      <c r="D68" s="50" t="s">
        <v>476</v>
      </c>
      <c r="E68" s="40" t="s">
        <v>477</v>
      </c>
      <c r="F68" s="41">
        <f>'03_FONTE_FAP'!F68</f>
        <v>70.733000000000004</v>
      </c>
      <c r="G68" s="42">
        <f>'03_FONTE_FAP'!K68</f>
        <v>76.024499999999989</v>
      </c>
      <c r="H68" s="21">
        <f>'03_FONTE_FAP'!M68</f>
        <v>73.378749999999997</v>
      </c>
      <c r="I68" s="43">
        <f>'01_PARÂMETROS'!$B$9</f>
        <v>50</v>
      </c>
      <c r="J68" s="44">
        <f t="shared" si="4"/>
        <v>1.4675749999999999</v>
      </c>
      <c r="K68" s="59">
        <f>MAX('01_PARÂMETROS'!$B$11,MIN('01_PARÂMETROS'!$B$12,J68))</f>
        <v>1.4</v>
      </c>
      <c r="L68" s="60">
        <f t="shared" si="1"/>
        <v>0.39999999999999991</v>
      </c>
      <c r="M68" s="29" t="str">
        <f>IF(K68&lt;='01_PARÂMETROS'!$B$14,"Preferencial",IF(K68&lt;='01_PARÂMETROS'!$B$15,"Baixo",IF(K68&lt;='01_PARÂMETROS'!$B$16,"Médio",IF(K68&lt;='01_PARÂMETROS'!$B$17,"Alto","Elevado"))))</f>
        <v>Elevado</v>
      </c>
      <c r="N68" s="48" t="s">
        <v>478</v>
      </c>
      <c r="O68" s="29" t="s">
        <v>3360</v>
      </c>
    </row>
    <row r="69" spans="1:15" ht="13.5" customHeight="1" x14ac:dyDescent="0.25">
      <c r="A69" s="24" t="s">
        <v>544</v>
      </c>
      <c r="B69" s="38" t="s">
        <v>475</v>
      </c>
      <c r="C69" s="25" t="s">
        <v>257</v>
      </c>
      <c r="D69" s="39" t="s">
        <v>476</v>
      </c>
      <c r="E69" s="40" t="s">
        <v>477</v>
      </c>
      <c r="F69" s="41">
        <f>'03_FONTE_FAP'!F69</f>
        <v>84.003500000000003</v>
      </c>
      <c r="G69" s="42">
        <f>'03_FONTE_FAP'!K69</f>
        <v>83.947499999999991</v>
      </c>
      <c r="H69" s="21">
        <f>'03_FONTE_FAP'!M69</f>
        <v>83.975499999999997</v>
      </c>
      <c r="I69" s="43">
        <f>'01_PARÂMETROS'!$B$9</f>
        <v>50</v>
      </c>
      <c r="J69" s="44">
        <f t="shared" si="4"/>
        <v>1.6795099999999998</v>
      </c>
      <c r="K69" s="59">
        <f>MAX('01_PARÂMETROS'!$B$11,MIN('01_PARÂMETROS'!$B$12,J69))</f>
        <v>1.4</v>
      </c>
      <c r="L69" s="60">
        <f t="shared" ref="L69:L132" si="5">(K69-1)</f>
        <v>0.39999999999999991</v>
      </c>
      <c r="M69" s="29" t="str">
        <f>IF(K69&lt;='01_PARÂMETROS'!$B$14,"Preferencial",IF(K69&lt;='01_PARÂMETROS'!$B$15,"Baixo",IF(K69&lt;='01_PARÂMETROS'!$B$16,"Médio",IF(K69&lt;='01_PARÂMETROS'!$B$17,"Alto","Elevado"))))</f>
        <v>Elevado</v>
      </c>
      <c r="N69" s="48" t="s">
        <v>478</v>
      </c>
      <c r="O69" s="29" t="s">
        <v>3360</v>
      </c>
    </row>
    <row r="70" spans="1:15" ht="13.5" customHeight="1" x14ac:dyDescent="0.25">
      <c r="A70" s="13" t="s">
        <v>545</v>
      </c>
      <c r="B70" s="49" t="s">
        <v>475</v>
      </c>
      <c r="C70" s="14" t="s">
        <v>259</v>
      </c>
      <c r="D70" s="50" t="s">
        <v>476</v>
      </c>
      <c r="E70" s="40" t="s">
        <v>477</v>
      </c>
      <c r="F70" s="41">
        <f>'03_FONTE_FAP'!F70</f>
        <v>51.0535</v>
      </c>
      <c r="G70" s="42">
        <f>'03_FONTE_FAP'!K70</f>
        <v>18.503499999999999</v>
      </c>
      <c r="H70" s="21">
        <f>'03_FONTE_FAP'!M70</f>
        <v>34.778500000000001</v>
      </c>
      <c r="I70" s="43">
        <f>'01_PARÂMETROS'!$B$9</f>
        <v>50</v>
      </c>
      <c r="J70" s="44">
        <f t="shared" si="4"/>
        <v>0.69557000000000002</v>
      </c>
      <c r="K70" s="51">
        <f>MAX('01_PARÂMETROS'!$B$11,MIN('01_PARÂMETROS'!$B$12,J70))</f>
        <v>0.75</v>
      </c>
      <c r="L70" s="52">
        <f t="shared" si="5"/>
        <v>-0.25</v>
      </c>
      <c r="M70" s="53" t="str">
        <f>IF(K70&lt;='01_PARÂMETROS'!$B$14,"Preferencial",IF(K70&lt;='01_PARÂMETROS'!$B$15,"Baixo",IF(K70&lt;='01_PARÂMETROS'!$B$16,"Médio",IF(K70&lt;='01_PARÂMETROS'!$B$17,"Alto","Elevado"))))</f>
        <v>Preferencial</v>
      </c>
      <c r="N70" s="48" t="s">
        <v>478</v>
      </c>
      <c r="O70" s="29" t="s">
        <v>3360</v>
      </c>
    </row>
    <row r="71" spans="1:15" ht="13.5" customHeight="1" x14ac:dyDescent="0.25">
      <c r="A71" s="24" t="s">
        <v>546</v>
      </c>
      <c r="B71" s="38" t="s">
        <v>475</v>
      </c>
      <c r="C71" s="25" t="s">
        <v>261</v>
      </c>
      <c r="D71" s="39" t="s">
        <v>476</v>
      </c>
      <c r="E71" s="40" t="s">
        <v>477</v>
      </c>
      <c r="F71" s="41">
        <f>'03_FONTE_FAP'!F71</f>
        <v>67.031999999999996</v>
      </c>
      <c r="G71" s="42">
        <f>'03_FONTE_FAP'!K71</f>
        <v>65.875499999999988</v>
      </c>
      <c r="H71" s="21">
        <f>'03_FONTE_FAP'!M71</f>
        <v>66.453749999999985</v>
      </c>
      <c r="I71" s="43">
        <f>'01_PARÂMETROS'!$B$9</f>
        <v>50</v>
      </c>
      <c r="J71" s="44">
        <f t="shared" si="4"/>
        <v>1.3290749999999998</v>
      </c>
      <c r="K71" s="59">
        <f>MAX('01_PARÂMETROS'!$B$11,MIN('01_PARÂMETROS'!$B$12,J71))</f>
        <v>1.3290749999999998</v>
      </c>
      <c r="L71" s="60">
        <f t="shared" si="5"/>
        <v>0.32907499999999978</v>
      </c>
      <c r="M71" s="29" t="str">
        <f>IF(K71&lt;='01_PARÂMETROS'!$B$14,"Preferencial",IF(K71&lt;='01_PARÂMETROS'!$B$15,"Baixo",IF(K71&lt;='01_PARÂMETROS'!$B$16,"Médio",IF(K71&lt;='01_PARÂMETROS'!$B$17,"Alto","Elevado"))))</f>
        <v>Elevado</v>
      </c>
      <c r="N71" s="48" t="s">
        <v>478</v>
      </c>
      <c r="O71" s="29" t="s">
        <v>3360</v>
      </c>
    </row>
    <row r="72" spans="1:15" ht="13.5" customHeight="1" x14ac:dyDescent="0.25">
      <c r="A72" s="13" t="s">
        <v>547</v>
      </c>
      <c r="B72" s="49" t="s">
        <v>475</v>
      </c>
      <c r="C72" s="14" t="s">
        <v>263</v>
      </c>
      <c r="D72" s="50" t="s">
        <v>476</v>
      </c>
      <c r="E72" s="40" t="s">
        <v>477</v>
      </c>
      <c r="F72" s="41">
        <f>'03_FONTE_FAP'!F72</f>
        <v>33.735999999999997</v>
      </c>
      <c r="G72" s="42">
        <f>'03_FONTE_FAP'!K72</f>
        <v>52.091999999999999</v>
      </c>
      <c r="H72" s="21">
        <f>'03_FONTE_FAP'!M72</f>
        <v>42.914000000000001</v>
      </c>
      <c r="I72" s="43">
        <f>'01_PARÂMETROS'!$B$9</f>
        <v>50</v>
      </c>
      <c r="J72" s="44">
        <f t="shared" si="4"/>
        <v>0.85828000000000004</v>
      </c>
      <c r="K72" s="51">
        <f>MAX('01_PARÂMETROS'!$B$11,MIN('01_PARÂMETROS'!$B$12,J72))</f>
        <v>0.85828000000000004</v>
      </c>
      <c r="L72" s="52">
        <f t="shared" si="5"/>
        <v>-0.14171999999999996</v>
      </c>
      <c r="M72" s="53" t="str">
        <f>IF(K72&lt;='01_PARÂMETROS'!$B$14,"Preferencial",IF(K72&lt;='01_PARÂMETROS'!$B$15,"Baixo",IF(K72&lt;='01_PARÂMETROS'!$B$16,"Médio",IF(K72&lt;='01_PARÂMETROS'!$B$17,"Alto","Elevado"))))</f>
        <v>Preferencial</v>
      </c>
      <c r="N72" s="48" t="s">
        <v>478</v>
      </c>
      <c r="O72" s="61"/>
    </row>
    <row r="73" spans="1:15" ht="13.5" customHeight="1" x14ac:dyDescent="0.25">
      <c r="A73" s="24" t="s">
        <v>548</v>
      </c>
      <c r="B73" s="38" t="s">
        <v>475</v>
      </c>
      <c r="C73" s="25" t="s">
        <v>265</v>
      </c>
      <c r="D73" s="39" t="s">
        <v>476</v>
      </c>
      <c r="E73" s="40" t="s">
        <v>477</v>
      </c>
      <c r="F73" s="41">
        <f>'03_FONTE_FAP'!F73</f>
        <v>46.436499999999995</v>
      </c>
      <c r="G73" s="42">
        <f>'03_FONTE_FAP'!K73</f>
        <v>39.719500000000004</v>
      </c>
      <c r="H73" s="21">
        <f>'03_FONTE_FAP'!M73</f>
        <v>43.078000000000003</v>
      </c>
      <c r="I73" s="43">
        <f>'01_PARÂMETROS'!$B$9</f>
        <v>50</v>
      </c>
      <c r="J73" s="44">
        <f t="shared" si="4"/>
        <v>0.8615600000000001</v>
      </c>
      <c r="K73" s="51">
        <f>MAX('01_PARÂMETROS'!$B$11,MIN('01_PARÂMETROS'!$B$12,J73))</f>
        <v>0.8615600000000001</v>
      </c>
      <c r="L73" s="52">
        <f t="shared" si="5"/>
        <v>-0.1384399999999999</v>
      </c>
      <c r="M73" s="53" t="str">
        <f>IF(K73&lt;='01_PARÂMETROS'!$B$14,"Preferencial",IF(K73&lt;='01_PARÂMETROS'!$B$15,"Baixo",IF(K73&lt;='01_PARÂMETROS'!$B$16,"Médio",IF(K73&lt;='01_PARÂMETROS'!$B$17,"Alto","Elevado"))))</f>
        <v>Preferencial</v>
      </c>
      <c r="N73" s="48" t="s">
        <v>478</v>
      </c>
      <c r="O73" s="54"/>
    </row>
    <row r="74" spans="1:15" ht="13.5" customHeight="1" x14ac:dyDescent="0.25">
      <c r="A74" s="13" t="s">
        <v>549</v>
      </c>
      <c r="B74" s="49" t="s">
        <v>475</v>
      </c>
      <c r="C74" s="14" t="s">
        <v>550</v>
      </c>
      <c r="D74" s="50" t="s">
        <v>476</v>
      </c>
      <c r="E74" s="40" t="s">
        <v>477</v>
      </c>
      <c r="F74" s="54" t="s">
        <v>485</v>
      </c>
      <c r="G74" s="54" t="s">
        <v>485</v>
      </c>
      <c r="H74" s="54" t="s">
        <v>485</v>
      </c>
      <c r="I74" s="43">
        <f>'01_PARÂMETROS'!$B$9</f>
        <v>50</v>
      </c>
      <c r="J74" s="44">
        <f>1</f>
        <v>1</v>
      </c>
      <c r="K74" s="55">
        <f>MAX('01_PARÂMETROS'!$B$11,MIN('01_PARÂMETROS'!$B$12,J74))</f>
        <v>1</v>
      </c>
      <c r="L74" s="56">
        <f t="shared" si="5"/>
        <v>0</v>
      </c>
      <c r="M74" s="57" t="str">
        <f>IF(K74&lt;='01_PARÂMETROS'!$B$14,"Preferencial",IF(K74&lt;='01_PARÂMETROS'!$B$15,"Baixo",IF(K74&lt;='01_PARÂMETROS'!$B$16,"Médio",IF(K74&lt;='01_PARÂMETROS'!$B$17,"Alto","Elevado"))))</f>
        <v>Médio</v>
      </c>
      <c r="N74" s="58" t="s">
        <v>486</v>
      </c>
      <c r="O74" s="61"/>
    </row>
    <row r="75" spans="1:15" ht="13.5" customHeight="1" x14ac:dyDescent="0.25">
      <c r="A75" s="24" t="s">
        <v>551</v>
      </c>
      <c r="B75" s="38" t="s">
        <v>475</v>
      </c>
      <c r="C75" s="25" t="s">
        <v>552</v>
      </c>
      <c r="D75" s="39" t="s">
        <v>476</v>
      </c>
      <c r="E75" s="40" t="s">
        <v>477</v>
      </c>
      <c r="F75" s="54" t="s">
        <v>485</v>
      </c>
      <c r="G75" s="54" t="s">
        <v>485</v>
      </c>
      <c r="H75" s="54" t="s">
        <v>485</v>
      </c>
      <c r="I75" s="43">
        <f>'01_PARÂMETROS'!$B$9</f>
        <v>50</v>
      </c>
      <c r="J75" s="44">
        <f>1</f>
        <v>1</v>
      </c>
      <c r="K75" s="55">
        <f>MAX('01_PARÂMETROS'!$B$11,MIN('01_PARÂMETROS'!$B$12,J75))</f>
        <v>1</v>
      </c>
      <c r="L75" s="56">
        <f t="shared" si="5"/>
        <v>0</v>
      </c>
      <c r="M75" s="57" t="str">
        <f>IF(K75&lt;='01_PARÂMETROS'!$B$14,"Preferencial",IF(K75&lt;='01_PARÂMETROS'!$B$15,"Baixo",IF(K75&lt;='01_PARÂMETROS'!$B$16,"Médio",IF(K75&lt;='01_PARÂMETROS'!$B$17,"Alto","Elevado"))))</f>
        <v>Médio</v>
      </c>
      <c r="N75" s="58" t="s">
        <v>486</v>
      </c>
      <c r="O75" s="54"/>
    </row>
    <row r="76" spans="1:15" ht="13.5" customHeight="1" x14ac:dyDescent="0.25">
      <c r="A76" s="13" t="s">
        <v>553</v>
      </c>
      <c r="B76" s="49" t="s">
        <v>475</v>
      </c>
      <c r="C76" s="14" t="s">
        <v>267</v>
      </c>
      <c r="D76" s="50" t="s">
        <v>476</v>
      </c>
      <c r="E76" s="40" t="s">
        <v>477</v>
      </c>
      <c r="F76" s="41">
        <f>'03_FONTE_FAP'!F74</f>
        <v>36.607999999999997</v>
      </c>
      <c r="G76" s="42">
        <f>'03_FONTE_FAP'!K74</f>
        <v>45.798500000000004</v>
      </c>
      <c r="H76" s="21">
        <f>'03_FONTE_FAP'!M74</f>
        <v>41.203249999999997</v>
      </c>
      <c r="I76" s="43">
        <f>'01_PARÂMETROS'!$B$9</f>
        <v>50</v>
      </c>
      <c r="J76" s="44">
        <f t="shared" ref="J76:J81" si="6">IFERROR(IF(H76=0,1,H76/I76),1)</f>
        <v>0.82406499999999994</v>
      </c>
      <c r="K76" s="51">
        <f>MAX('01_PARÂMETROS'!$B$11,MIN('01_PARÂMETROS'!$B$12,J76))</f>
        <v>0.82406499999999994</v>
      </c>
      <c r="L76" s="52">
        <f t="shared" si="5"/>
        <v>-0.17593500000000006</v>
      </c>
      <c r="M76" s="53" t="str">
        <f>IF(K76&lt;='01_PARÂMETROS'!$B$14,"Preferencial",IF(K76&lt;='01_PARÂMETROS'!$B$15,"Baixo",IF(K76&lt;='01_PARÂMETROS'!$B$16,"Médio",IF(K76&lt;='01_PARÂMETROS'!$B$17,"Alto","Elevado"))))</f>
        <v>Preferencial</v>
      </c>
      <c r="N76" s="48" t="s">
        <v>478</v>
      </c>
      <c r="O76" s="61"/>
    </row>
    <row r="77" spans="1:15" ht="13.5" customHeight="1" x14ac:dyDescent="0.25">
      <c r="A77" s="24" t="s">
        <v>554</v>
      </c>
      <c r="B77" s="38" t="s">
        <v>475</v>
      </c>
      <c r="C77" s="25" t="s">
        <v>269</v>
      </c>
      <c r="D77" s="39" t="s">
        <v>476</v>
      </c>
      <c r="E77" s="40" t="s">
        <v>477</v>
      </c>
      <c r="F77" s="41">
        <f>'03_FONTE_FAP'!F75</f>
        <v>45.859000000000002</v>
      </c>
      <c r="G77" s="42">
        <f>'03_FONTE_FAP'!K75</f>
        <v>50.494500000000002</v>
      </c>
      <c r="H77" s="21">
        <f>'03_FONTE_FAP'!M75</f>
        <v>48.176749999999998</v>
      </c>
      <c r="I77" s="43">
        <f>'01_PARÂMETROS'!$B$9</f>
        <v>50</v>
      </c>
      <c r="J77" s="44">
        <f t="shared" si="6"/>
        <v>0.96353499999999992</v>
      </c>
      <c r="K77" s="55">
        <f>MAX('01_PARÂMETROS'!$B$11,MIN('01_PARÂMETROS'!$B$12,J77))</f>
        <v>0.96353499999999992</v>
      </c>
      <c r="L77" s="56">
        <f t="shared" si="5"/>
        <v>-3.6465000000000081E-2</v>
      </c>
      <c r="M77" s="57" t="str">
        <f>IF(K77&lt;='01_PARÂMETROS'!$B$14,"Preferencial",IF(K77&lt;='01_PARÂMETROS'!$B$15,"Baixo",IF(K77&lt;='01_PARÂMETROS'!$B$16,"Médio",IF(K77&lt;='01_PARÂMETROS'!$B$17,"Alto","Elevado"))))</f>
        <v>Médio</v>
      </c>
      <c r="N77" s="48" t="s">
        <v>478</v>
      </c>
      <c r="O77" s="29" t="s">
        <v>3360</v>
      </c>
    </row>
    <row r="78" spans="1:15" ht="13.5" customHeight="1" x14ac:dyDescent="0.25">
      <c r="A78" s="13" t="s">
        <v>555</v>
      </c>
      <c r="B78" s="49" t="s">
        <v>475</v>
      </c>
      <c r="C78" s="14" t="s">
        <v>271</v>
      </c>
      <c r="D78" s="50" t="s">
        <v>476</v>
      </c>
      <c r="E78" s="40" t="s">
        <v>477</v>
      </c>
      <c r="F78" s="41">
        <f>'03_FONTE_FAP'!F76</f>
        <v>81.573499999999996</v>
      </c>
      <c r="G78" s="42">
        <f>'03_FONTE_FAP'!K76</f>
        <v>81.31</v>
      </c>
      <c r="H78" s="21">
        <f>'03_FONTE_FAP'!M76</f>
        <v>81.441749999999999</v>
      </c>
      <c r="I78" s="43">
        <f>'01_PARÂMETROS'!$B$9</f>
        <v>50</v>
      </c>
      <c r="J78" s="44">
        <f t="shared" si="6"/>
        <v>1.628835</v>
      </c>
      <c r="K78" s="59">
        <f>MAX('01_PARÂMETROS'!$B$11,MIN('01_PARÂMETROS'!$B$12,J78))</f>
        <v>1.4</v>
      </c>
      <c r="L78" s="60">
        <f t="shared" si="5"/>
        <v>0.39999999999999991</v>
      </c>
      <c r="M78" s="29" t="str">
        <f>IF(K78&lt;='01_PARÂMETROS'!$B$14,"Preferencial",IF(K78&lt;='01_PARÂMETROS'!$B$15,"Baixo",IF(K78&lt;='01_PARÂMETROS'!$B$16,"Médio",IF(K78&lt;='01_PARÂMETROS'!$B$17,"Alto","Elevado"))))</f>
        <v>Elevado</v>
      </c>
      <c r="N78" s="48" t="s">
        <v>478</v>
      </c>
      <c r="O78" s="29" t="s">
        <v>3360</v>
      </c>
    </row>
    <row r="79" spans="1:15" ht="13.5" customHeight="1" x14ac:dyDescent="0.25">
      <c r="A79" s="24" t="s">
        <v>556</v>
      </c>
      <c r="B79" s="38" t="s">
        <v>475</v>
      </c>
      <c r="C79" s="25" t="s">
        <v>273</v>
      </c>
      <c r="D79" s="39" t="s">
        <v>476</v>
      </c>
      <c r="E79" s="40" t="s">
        <v>477</v>
      </c>
      <c r="F79" s="41">
        <f>'03_FONTE_FAP'!F77</f>
        <v>51.233000000000004</v>
      </c>
      <c r="G79" s="42">
        <f>'03_FONTE_FAP'!K77</f>
        <v>44.952999999999996</v>
      </c>
      <c r="H79" s="21">
        <f>'03_FONTE_FAP'!M77</f>
        <v>48.093000000000004</v>
      </c>
      <c r="I79" s="43">
        <f>'01_PARÂMETROS'!$B$9</f>
        <v>50</v>
      </c>
      <c r="J79" s="44">
        <f t="shared" si="6"/>
        <v>0.96186000000000005</v>
      </c>
      <c r="K79" s="55">
        <f>MAX('01_PARÂMETROS'!$B$11,MIN('01_PARÂMETROS'!$B$12,J79))</f>
        <v>0.96186000000000005</v>
      </c>
      <c r="L79" s="56">
        <f t="shared" si="5"/>
        <v>-3.8139999999999952E-2</v>
      </c>
      <c r="M79" s="57" t="str">
        <f>IF(K79&lt;='01_PARÂMETROS'!$B$14,"Preferencial",IF(K79&lt;='01_PARÂMETROS'!$B$15,"Baixo",IF(K79&lt;='01_PARÂMETROS'!$B$16,"Médio",IF(K79&lt;='01_PARÂMETROS'!$B$17,"Alto","Elevado"))))</f>
        <v>Médio</v>
      </c>
      <c r="N79" s="48" t="s">
        <v>478</v>
      </c>
      <c r="O79" s="29" t="s">
        <v>3360</v>
      </c>
    </row>
    <row r="80" spans="1:15" ht="13.5" customHeight="1" x14ac:dyDescent="0.25">
      <c r="A80" s="13" t="s">
        <v>557</v>
      </c>
      <c r="B80" s="49" t="s">
        <v>475</v>
      </c>
      <c r="C80" s="14" t="s">
        <v>275</v>
      </c>
      <c r="D80" s="50" t="s">
        <v>476</v>
      </c>
      <c r="E80" s="40" t="s">
        <v>477</v>
      </c>
      <c r="F80" s="41">
        <f>'03_FONTE_FAP'!F78</f>
        <v>46.0045</v>
      </c>
      <c r="G80" s="42">
        <f>'03_FONTE_FAP'!K78</f>
        <v>46.640999999999998</v>
      </c>
      <c r="H80" s="21">
        <f>'03_FONTE_FAP'!M78</f>
        <v>46.322749999999999</v>
      </c>
      <c r="I80" s="43">
        <f>'01_PARÂMETROS'!$B$9</f>
        <v>50</v>
      </c>
      <c r="J80" s="44">
        <f t="shared" si="6"/>
        <v>0.92645500000000003</v>
      </c>
      <c r="K80" s="62">
        <f>MAX('01_PARÂMETROS'!$B$11,MIN('01_PARÂMETROS'!$B$12,J80))</f>
        <v>0.92645500000000003</v>
      </c>
      <c r="L80" s="63">
        <f t="shared" si="5"/>
        <v>-7.3544999999999972E-2</v>
      </c>
      <c r="M80" s="17" t="str">
        <f>IF(K80&lt;='01_PARÂMETROS'!$B$14,"Preferencial",IF(K80&lt;='01_PARÂMETROS'!$B$15,"Baixo",IF(K80&lt;='01_PARÂMETROS'!$B$16,"Médio",IF(K80&lt;='01_PARÂMETROS'!$B$17,"Alto","Elevado"))))</f>
        <v>Baixo</v>
      </c>
      <c r="N80" s="48" t="s">
        <v>478</v>
      </c>
      <c r="O80" s="29" t="s">
        <v>3360</v>
      </c>
    </row>
    <row r="81" spans="1:15" ht="13.5" customHeight="1" x14ac:dyDescent="0.25">
      <c r="A81" s="24" t="s">
        <v>558</v>
      </c>
      <c r="B81" s="38" t="s">
        <v>475</v>
      </c>
      <c r="C81" s="25" t="s">
        <v>277</v>
      </c>
      <c r="D81" s="39" t="s">
        <v>476</v>
      </c>
      <c r="E81" s="40" t="s">
        <v>477</v>
      </c>
      <c r="F81" s="41">
        <f>'03_FONTE_FAP'!F79</f>
        <v>56.288499999999999</v>
      </c>
      <c r="G81" s="42">
        <f>'03_FONTE_FAP'!K79</f>
        <v>42.346499999999999</v>
      </c>
      <c r="H81" s="21">
        <f>'03_FONTE_FAP'!M79</f>
        <v>49.317499999999995</v>
      </c>
      <c r="I81" s="43">
        <f>'01_PARÂMETROS'!$B$9</f>
        <v>50</v>
      </c>
      <c r="J81" s="44">
        <f t="shared" si="6"/>
        <v>0.98634999999999995</v>
      </c>
      <c r="K81" s="55">
        <f>MAX('01_PARÂMETROS'!$B$11,MIN('01_PARÂMETROS'!$B$12,J81))</f>
        <v>0.98634999999999995</v>
      </c>
      <c r="L81" s="56">
        <f t="shared" si="5"/>
        <v>-1.3650000000000051E-2</v>
      </c>
      <c r="M81" s="57" t="str">
        <f>IF(K81&lt;='01_PARÂMETROS'!$B$14,"Preferencial",IF(K81&lt;='01_PARÂMETROS'!$B$15,"Baixo",IF(K81&lt;='01_PARÂMETROS'!$B$16,"Médio",IF(K81&lt;='01_PARÂMETROS'!$B$17,"Alto","Elevado"))))</f>
        <v>Médio</v>
      </c>
      <c r="N81" s="48" t="s">
        <v>478</v>
      </c>
      <c r="O81" s="54"/>
    </row>
    <row r="82" spans="1:15" ht="13.5" customHeight="1" x14ac:dyDescent="0.25">
      <c r="A82" s="13" t="s">
        <v>559</v>
      </c>
      <c r="B82" s="49" t="s">
        <v>475</v>
      </c>
      <c r="C82" s="14" t="s">
        <v>279</v>
      </c>
      <c r="D82" s="50" t="s">
        <v>476</v>
      </c>
      <c r="E82" s="40" t="s">
        <v>477</v>
      </c>
      <c r="F82" s="54" t="s">
        <v>485</v>
      </c>
      <c r="G82" s="54" t="s">
        <v>485</v>
      </c>
      <c r="H82" s="54" t="s">
        <v>485</v>
      </c>
      <c r="I82" s="43">
        <f>'01_PARÂMETROS'!$B$9</f>
        <v>50</v>
      </c>
      <c r="J82" s="44">
        <f>1</f>
        <v>1</v>
      </c>
      <c r="K82" s="55">
        <f>MAX('01_PARÂMETROS'!$B$11,MIN('01_PARÂMETROS'!$B$12,J82))</f>
        <v>1</v>
      </c>
      <c r="L82" s="56">
        <f t="shared" si="5"/>
        <v>0</v>
      </c>
      <c r="M82" s="57" t="str">
        <f>IF(K82&lt;='01_PARÂMETROS'!$B$14,"Preferencial",IF(K82&lt;='01_PARÂMETROS'!$B$15,"Baixo",IF(K82&lt;='01_PARÂMETROS'!$B$16,"Médio",IF(K82&lt;='01_PARÂMETROS'!$B$17,"Alto","Elevado"))))</f>
        <v>Médio</v>
      </c>
      <c r="N82" s="58" t="s">
        <v>486</v>
      </c>
      <c r="O82" s="61"/>
    </row>
    <row r="83" spans="1:15" ht="13.5" customHeight="1" x14ac:dyDescent="0.25">
      <c r="A83" s="24" t="s">
        <v>560</v>
      </c>
      <c r="B83" s="38" t="s">
        <v>475</v>
      </c>
      <c r="C83" s="25" t="s">
        <v>281</v>
      </c>
      <c r="D83" s="39" t="s">
        <v>476</v>
      </c>
      <c r="E83" s="40" t="s">
        <v>477</v>
      </c>
      <c r="F83" s="41">
        <f>'03_FONTE_FAP'!F81</f>
        <v>58.234000000000002</v>
      </c>
      <c r="G83" s="42">
        <f>'03_FONTE_FAP'!K81</f>
        <v>59.869500000000002</v>
      </c>
      <c r="H83" s="21">
        <f>'03_FONTE_FAP'!M81</f>
        <v>59.051749999999998</v>
      </c>
      <c r="I83" s="43">
        <f>'01_PARÂMETROS'!$B$9</f>
        <v>50</v>
      </c>
      <c r="J83" s="44">
        <f>IFERROR(IF(H83=0,1,H83/I83),1)</f>
        <v>1.1810350000000001</v>
      </c>
      <c r="K83" s="45">
        <f>MAX('01_PARÂMETROS'!$B$11,MIN('01_PARÂMETROS'!$B$12,J83))</f>
        <v>1.1810350000000001</v>
      </c>
      <c r="L83" s="46">
        <f t="shared" si="5"/>
        <v>0.18103500000000006</v>
      </c>
      <c r="M83" s="47" t="str">
        <f>IF(K83&lt;='01_PARÂMETROS'!$B$14,"Preferencial",IF(K83&lt;='01_PARÂMETROS'!$B$15,"Baixo",IF(K83&lt;='01_PARÂMETROS'!$B$16,"Médio",IF(K83&lt;='01_PARÂMETROS'!$B$17,"Alto","Elevado"))))</f>
        <v>Alto</v>
      </c>
      <c r="N83" s="48" t="s">
        <v>478</v>
      </c>
      <c r="O83" s="54"/>
    </row>
    <row r="84" spans="1:15" ht="13.5" customHeight="1" x14ac:dyDescent="0.25">
      <c r="A84" s="13" t="s">
        <v>561</v>
      </c>
      <c r="B84" s="49" t="s">
        <v>475</v>
      </c>
      <c r="C84" s="14" t="s">
        <v>283</v>
      </c>
      <c r="D84" s="50" t="s">
        <v>476</v>
      </c>
      <c r="E84" s="40" t="s">
        <v>477</v>
      </c>
      <c r="F84" s="41">
        <f>'03_FONTE_FAP'!F82</f>
        <v>71.327500000000001</v>
      </c>
      <c r="G84" s="42">
        <f>'03_FONTE_FAP'!K82</f>
        <v>64.134500000000003</v>
      </c>
      <c r="H84" s="21">
        <f>'03_FONTE_FAP'!M82</f>
        <v>67.730999999999995</v>
      </c>
      <c r="I84" s="43">
        <f>'01_PARÂMETROS'!$B$9</f>
        <v>50</v>
      </c>
      <c r="J84" s="44">
        <f>IFERROR(IF(H84=0,1,H84/I84),1)</f>
        <v>1.3546199999999999</v>
      </c>
      <c r="K84" s="59">
        <f>MAX('01_PARÂMETROS'!$B$11,MIN('01_PARÂMETROS'!$B$12,J84))</f>
        <v>1.3546199999999999</v>
      </c>
      <c r="L84" s="60">
        <f t="shared" si="5"/>
        <v>0.35461999999999994</v>
      </c>
      <c r="M84" s="29" t="str">
        <f>IF(K84&lt;='01_PARÂMETROS'!$B$14,"Preferencial",IF(K84&lt;='01_PARÂMETROS'!$B$15,"Baixo",IF(K84&lt;='01_PARÂMETROS'!$B$16,"Médio",IF(K84&lt;='01_PARÂMETROS'!$B$17,"Alto","Elevado"))))</f>
        <v>Elevado</v>
      </c>
      <c r="N84" s="48" t="s">
        <v>478</v>
      </c>
      <c r="O84" s="61"/>
    </row>
    <row r="85" spans="1:15" ht="13.5" customHeight="1" x14ac:dyDescent="0.25">
      <c r="A85" s="24" t="s">
        <v>562</v>
      </c>
      <c r="B85" s="38" t="s">
        <v>475</v>
      </c>
      <c r="C85" s="25" t="s">
        <v>285</v>
      </c>
      <c r="D85" s="39" t="s">
        <v>476</v>
      </c>
      <c r="E85" s="40" t="s">
        <v>477</v>
      </c>
      <c r="F85" s="41">
        <f>'03_FONTE_FAP'!F83</f>
        <v>71.945999999999998</v>
      </c>
      <c r="G85" s="42">
        <f>'03_FONTE_FAP'!K83</f>
        <v>63.446499999999993</v>
      </c>
      <c r="H85" s="21">
        <f>'03_FONTE_FAP'!M83</f>
        <v>67.696249999999992</v>
      </c>
      <c r="I85" s="43">
        <f>'01_PARÂMETROS'!$B$9</f>
        <v>50</v>
      </c>
      <c r="J85" s="44">
        <f>IFERROR(IF(H85=0,1,H85/I85),1)</f>
        <v>1.3539249999999998</v>
      </c>
      <c r="K85" s="59">
        <f>MAX('01_PARÂMETROS'!$B$11,MIN('01_PARÂMETROS'!$B$12,J85))</f>
        <v>1.3539249999999998</v>
      </c>
      <c r="L85" s="60">
        <f t="shared" si="5"/>
        <v>0.35392499999999982</v>
      </c>
      <c r="M85" s="29" t="str">
        <f>IF(K85&lt;='01_PARÂMETROS'!$B$14,"Preferencial",IF(K85&lt;='01_PARÂMETROS'!$B$15,"Baixo",IF(K85&lt;='01_PARÂMETROS'!$B$16,"Médio",IF(K85&lt;='01_PARÂMETROS'!$B$17,"Alto","Elevado"))))</f>
        <v>Elevado</v>
      </c>
      <c r="N85" s="48" t="s">
        <v>478</v>
      </c>
      <c r="O85" s="54"/>
    </row>
    <row r="86" spans="1:15" ht="13.5" customHeight="1" x14ac:dyDescent="0.25">
      <c r="A86" s="13" t="s">
        <v>563</v>
      </c>
      <c r="B86" s="49" t="s">
        <v>475</v>
      </c>
      <c r="C86" s="14" t="s">
        <v>287</v>
      </c>
      <c r="D86" s="50" t="s">
        <v>476</v>
      </c>
      <c r="E86" s="40" t="s">
        <v>477</v>
      </c>
      <c r="F86" s="54" t="s">
        <v>485</v>
      </c>
      <c r="G86" s="54" t="s">
        <v>485</v>
      </c>
      <c r="H86" s="54" t="s">
        <v>485</v>
      </c>
      <c r="I86" s="43">
        <f>'01_PARÂMETROS'!$B$9</f>
        <v>50</v>
      </c>
      <c r="J86" s="44">
        <f>1</f>
        <v>1</v>
      </c>
      <c r="K86" s="55">
        <f>MAX('01_PARÂMETROS'!$B$11,MIN('01_PARÂMETROS'!$B$12,J86))</f>
        <v>1</v>
      </c>
      <c r="L86" s="56">
        <f t="shared" si="5"/>
        <v>0</v>
      </c>
      <c r="M86" s="57" t="str">
        <f>IF(K86&lt;='01_PARÂMETROS'!$B$14,"Preferencial",IF(K86&lt;='01_PARÂMETROS'!$B$15,"Baixo",IF(K86&lt;='01_PARÂMETROS'!$B$16,"Médio",IF(K86&lt;='01_PARÂMETROS'!$B$17,"Alto","Elevado"))))</f>
        <v>Médio</v>
      </c>
      <c r="N86" s="58" t="s">
        <v>486</v>
      </c>
      <c r="O86" s="61"/>
    </row>
    <row r="87" spans="1:15" ht="13.5" customHeight="1" x14ac:dyDescent="0.25">
      <c r="A87" s="24" t="s">
        <v>564</v>
      </c>
      <c r="B87" s="38" t="s">
        <v>475</v>
      </c>
      <c r="C87" s="25" t="s">
        <v>289</v>
      </c>
      <c r="D87" s="39" t="s">
        <v>565</v>
      </c>
      <c r="E87" s="64" t="s">
        <v>566</v>
      </c>
      <c r="F87" s="41">
        <f>'03_FONTE_FAP'!F85</f>
        <v>56.844000000000001</v>
      </c>
      <c r="G87" s="42">
        <f>'03_FONTE_FAP'!K85</f>
        <v>62.643500000000003</v>
      </c>
      <c r="H87" s="21">
        <f>'03_FONTE_FAP'!M85</f>
        <v>59.743750000000006</v>
      </c>
      <c r="I87" s="43">
        <f>'01_PARÂMETROS'!$B$9</f>
        <v>50</v>
      </c>
      <c r="J87" s="44">
        <f t="shared" ref="J87:J109" si="7">IFERROR(IF(H87=0,1.15,H87/I87),1.15)</f>
        <v>1.1948750000000001</v>
      </c>
      <c r="K87" s="45">
        <f>MAX('01_PARÂMETROS'!$B$11,MIN('01_PARÂMETROS'!$B$12,J87))</f>
        <v>1.1948750000000001</v>
      </c>
      <c r="L87" s="46">
        <f t="shared" si="5"/>
        <v>0.19487500000000013</v>
      </c>
      <c r="M87" s="47" t="str">
        <f>IF(K87&lt;='01_PARÂMETROS'!$B$14,"Preferencial",IF(K87&lt;='01_PARÂMETROS'!$B$15,"Baixo",IF(K87&lt;='01_PARÂMETROS'!$B$16,"Médio",IF(K87&lt;='01_PARÂMETROS'!$B$17,"Alto","Elevado"))))</f>
        <v>Alto</v>
      </c>
      <c r="N87" s="48" t="s">
        <v>478</v>
      </c>
      <c r="O87" s="29" t="s">
        <v>3360</v>
      </c>
    </row>
    <row r="88" spans="1:15" ht="13.5" customHeight="1" x14ac:dyDescent="0.25">
      <c r="A88" s="13" t="s">
        <v>567</v>
      </c>
      <c r="B88" s="49" t="s">
        <v>475</v>
      </c>
      <c r="C88" s="14" t="s">
        <v>291</v>
      </c>
      <c r="D88" s="50" t="s">
        <v>565</v>
      </c>
      <c r="E88" s="64" t="s">
        <v>566</v>
      </c>
      <c r="F88" s="41">
        <f>'03_FONTE_FAP'!F86</f>
        <v>35</v>
      </c>
      <c r="G88" s="42">
        <f>'03_FONTE_FAP'!K86</f>
        <v>34.972000000000001</v>
      </c>
      <c r="H88" s="21">
        <f>'03_FONTE_FAP'!M86</f>
        <v>34.986000000000004</v>
      </c>
      <c r="I88" s="43">
        <f>'01_PARÂMETROS'!$B$9</f>
        <v>50</v>
      </c>
      <c r="J88" s="44">
        <f t="shared" si="7"/>
        <v>0.69972000000000012</v>
      </c>
      <c r="K88" s="51">
        <f>MAX('01_PARÂMETROS'!$B$11,MIN('01_PARÂMETROS'!$B$12,J88))</f>
        <v>0.75</v>
      </c>
      <c r="L88" s="52">
        <f t="shared" si="5"/>
        <v>-0.25</v>
      </c>
      <c r="M88" s="53" t="str">
        <f>IF(K88&lt;='01_PARÂMETROS'!$B$14,"Preferencial",IF(K88&lt;='01_PARÂMETROS'!$B$15,"Baixo",IF(K88&lt;='01_PARÂMETROS'!$B$16,"Médio",IF(K88&lt;='01_PARÂMETROS'!$B$17,"Alto","Elevado"))))</f>
        <v>Preferencial</v>
      </c>
      <c r="N88" s="48" t="s">
        <v>478</v>
      </c>
      <c r="O88" s="29" t="s">
        <v>3360</v>
      </c>
    </row>
    <row r="89" spans="1:15" ht="13.5" customHeight="1" x14ac:dyDescent="0.25">
      <c r="A89" s="24" t="s">
        <v>568</v>
      </c>
      <c r="B89" s="38" t="s">
        <v>475</v>
      </c>
      <c r="C89" s="25" t="s">
        <v>293</v>
      </c>
      <c r="D89" s="39" t="s">
        <v>565</v>
      </c>
      <c r="E89" s="64" t="s">
        <v>566</v>
      </c>
      <c r="F89" s="41">
        <f>'03_FONTE_FAP'!F87</f>
        <v>92.245999999999995</v>
      </c>
      <c r="G89" s="42">
        <f>'03_FONTE_FAP'!K87</f>
        <v>92.072000000000003</v>
      </c>
      <c r="H89" s="21">
        <f>'03_FONTE_FAP'!M87</f>
        <v>92.158999999999992</v>
      </c>
      <c r="I89" s="43">
        <f>'01_PARÂMETROS'!$B$9</f>
        <v>50</v>
      </c>
      <c r="J89" s="44">
        <f t="shared" si="7"/>
        <v>1.8431799999999998</v>
      </c>
      <c r="K89" s="59">
        <f>MAX('01_PARÂMETROS'!$B$11,MIN('01_PARÂMETROS'!$B$12,J89))</f>
        <v>1.4</v>
      </c>
      <c r="L89" s="60">
        <f t="shared" si="5"/>
        <v>0.39999999999999991</v>
      </c>
      <c r="M89" s="29" t="str">
        <f>IF(K89&lt;='01_PARÂMETROS'!$B$14,"Preferencial",IF(K89&lt;='01_PARÂMETROS'!$B$15,"Baixo",IF(K89&lt;='01_PARÂMETROS'!$B$16,"Médio",IF(K89&lt;='01_PARÂMETROS'!$B$17,"Alto","Elevado"))))</f>
        <v>Elevado</v>
      </c>
      <c r="N89" s="48" t="s">
        <v>478</v>
      </c>
      <c r="O89" s="29" t="s">
        <v>3360</v>
      </c>
    </row>
    <row r="90" spans="1:15" ht="13.5" customHeight="1" x14ac:dyDescent="0.25">
      <c r="A90" s="13" t="s">
        <v>569</v>
      </c>
      <c r="B90" s="49" t="s">
        <v>475</v>
      </c>
      <c r="C90" s="14" t="s">
        <v>295</v>
      </c>
      <c r="D90" s="50" t="s">
        <v>565</v>
      </c>
      <c r="E90" s="64" t="s">
        <v>566</v>
      </c>
      <c r="F90" s="41">
        <f>'03_FONTE_FAP'!F88</f>
        <v>84.993000000000009</v>
      </c>
      <c r="G90" s="42">
        <f>'03_FONTE_FAP'!K88</f>
        <v>59.642999999999994</v>
      </c>
      <c r="H90" s="21">
        <f>'03_FONTE_FAP'!M88</f>
        <v>72.317999999999998</v>
      </c>
      <c r="I90" s="43">
        <f>'01_PARÂMETROS'!$B$9</f>
        <v>50</v>
      </c>
      <c r="J90" s="44">
        <f t="shared" si="7"/>
        <v>1.4463599999999999</v>
      </c>
      <c r="K90" s="59">
        <f>MAX('01_PARÂMETROS'!$B$11,MIN('01_PARÂMETROS'!$B$12,J90))</f>
        <v>1.4</v>
      </c>
      <c r="L90" s="60">
        <f t="shared" si="5"/>
        <v>0.39999999999999991</v>
      </c>
      <c r="M90" s="29" t="str">
        <f>IF(K90&lt;='01_PARÂMETROS'!$B$14,"Preferencial",IF(K90&lt;='01_PARÂMETROS'!$B$15,"Baixo",IF(K90&lt;='01_PARÂMETROS'!$B$16,"Médio",IF(K90&lt;='01_PARÂMETROS'!$B$17,"Alto","Elevado"))))</f>
        <v>Elevado</v>
      </c>
      <c r="N90" s="48" t="s">
        <v>478</v>
      </c>
      <c r="O90" s="29" t="s">
        <v>3360</v>
      </c>
    </row>
    <row r="91" spans="1:15" ht="13.5" customHeight="1" x14ac:dyDescent="0.25">
      <c r="A91" s="24" t="s">
        <v>570</v>
      </c>
      <c r="B91" s="38" t="s">
        <v>475</v>
      </c>
      <c r="C91" s="25" t="s">
        <v>297</v>
      </c>
      <c r="D91" s="39" t="s">
        <v>565</v>
      </c>
      <c r="E91" s="64" t="s">
        <v>566</v>
      </c>
      <c r="F91" s="41">
        <f>'03_FONTE_FAP'!F89</f>
        <v>42.465000000000003</v>
      </c>
      <c r="G91" s="42">
        <f>'03_FONTE_FAP'!K89</f>
        <v>40.522500000000001</v>
      </c>
      <c r="H91" s="21">
        <f>'03_FONTE_FAP'!M89</f>
        <v>41.493750000000006</v>
      </c>
      <c r="I91" s="43">
        <f>'01_PARÂMETROS'!$B$9</f>
        <v>50</v>
      </c>
      <c r="J91" s="44">
        <f t="shared" si="7"/>
        <v>0.82987500000000014</v>
      </c>
      <c r="K91" s="51">
        <f>MAX('01_PARÂMETROS'!$B$11,MIN('01_PARÂMETROS'!$B$12,J91))</f>
        <v>0.82987500000000014</v>
      </c>
      <c r="L91" s="52">
        <f t="shared" si="5"/>
        <v>-0.17012499999999986</v>
      </c>
      <c r="M91" s="53" t="str">
        <f>IF(K91&lt;='01_PARÂMETROS'!$B$14,"Preferencial",IF(K91&lt;='01_PARÂMETROS'!$B$15,"Baixo",IF(K91&lt;='01_PARÂMETROS'!$B$16,"Médio",IF(K91&lt;='01_PARÂMETROS'!$B$17,"Alto","Elevado"))))</f>
        <v>Preferencial</v>
      </c>
      <c r="N91" s="48" t="s">
        <v>478</v>
      </c>
      <c r="O91" s="29" t="s">
        <v>3360</v>
      </c>
    </row>
    <row r="92" spans="1:15" ht="13.5" customHeight="1" x14ac:dyDescent="0.25">
      <c r="A92" s="13" t="s">
        <v>571</v>
      </c>
      <c r="B92" s="49" t="s">
        <v>475</v>
      </c>
      <c r="C92" s="14" t="s">
        <v>299</v>
      </c>
      <c r="D92" s="50" t="s">
        <v>565</v>
      </c>
      <c r="E92" s="64" t="s">
        <v>566</v>
      </c>
      <c r="F92" s="41">
        <f>'03_FONTE_FAP'!F90</f>
        <v>64.767500000000013</v>
      </c>
      <c r="G92" s="42">
        <f>'03_FONTE_FAP'!K90</f>
        <v>53.648000000000003</v>
      </c>
      <c r="H92" s="21">
        <f>'03_FONTE_FAP'!M90</f>
        <v>59.207750000000004</v>
      </c>
      <c r="I92" s="43">
        <f>'01_PARÂMETROS'!$B$9</f>
        <v>50</v>
      </c>
      <c r="J92" s="44">
        <f t="shared" si="7"/>
        <v>1.1841550000000001</v>
      </c>
      <c r="K92" s="45">
        <f>MAX('01_PARÂMETROS'!$B$11,MIN('01_PARÂMETROS'!$B$12,J92))</f>
        <v>1.1841550000000001</v>
      </c>
      <c r="L92" s="46">
        <f t="shared" si="5"/>
        <v>0.18415500000000007</v>
      </c>
      <c r="M92" s="47" t="str">
        <f>IF(K92&lt;='01_PARÂMETROS'!$B$14,"Preferencial",IF(K92&lt;='01_PARÂMETROS'!$B$15,"Baixo",IF(K92&lt;='01_PARÂMETROS'!$B$16,"Médio",IF(K92&lt;='01_PARÂMETROS'!$B$17,"Alto","Elevado"))))</f>
        <v>Alto</v>
      </c>
      <c r="N92" s="48" t="s">
        <v>478</v>
      </c>
      <c r="O92" s="29" t="s">
        <v>3360</v>
      </c>
    </row>
    <row r="93" spans="1:15" ht="13.5" customHeight="1" x14ac:dyDescent="0.25">
      <c r="A93" s="24" t="s">
        <v>572</v>
      </c>
      <c r="B93" s="38" t="s">
        <v>475</v>
      </c>
      <c r="C93" s="25" t="s">
        <v>301</v>
      </c>
      <c r="D93" s="39" t="s">
        <v>565</v>
      </c>
      <c r="E93" s="64" t="s">
        <v>566</v>
      </c>
      <c r="F93" s="41">
        <f>'03_FONTE_FAP'!F91</f>
        <v>91.301000000000002</v>
      </c>
      <c r="G93" s="42">
        <f>'03_FONTE_FAP'!K91</f>
        <v>89.228499999999997</v>
      </c>
      <c r="H93" s="21">
        <f>'03_FONTE_FAP'!M91</f>
        <v>90.264749999999992</v>
      </c>
      <c r="I93" s="43">
        <f>'01_PARÂMETROS'!$B$9</f>
        <v>50</v>
      </c>
      <c r="J93" s="44">
        <f t="shared" si="7"/>
        <v>1.8052949999999999</v>
      </c>
      <c r="K93" s="59">
        <f>MAX('01_PARÂMETROS'!$B$11,MIN('01_PARÂMETROS'!$B$12,J93))</f>
        <v>1.4</v>
      </c>
      <c r="L93" s="60">
        <f t="shared" si="5"/>
        <v>0.39999999999999991</v>
      </c>
      <c r="M93" s="29" t="str">
        <f>IF(K93&lt;='01_PARÂMETROS'!$B$14,"Preferencial",IF(K93&lt;='01_PARÂMETROS'!$B$15,"Baixo",IF(K93&lt;='01_PARÂMETROS'!$B$16,"Médio",IF(K93&lt;='01_PARÂMETROS'!$B$17,"Alto","Elevado"))))</f>
        <v>Elevado</v>
      </c>
      <c r="N93" s="48" t="s">
        <v>478</v>
      </c>
      <c r="O93" s="29" t="s">
        <v>3360</v>
      </c>
    </row>
    <row r="94" spans="1:15" ht="13.5" customHeight="1" x14ac:dyDescent="0.25">
      <c r="A94" s="13" t="s">
        <v>573</v>
      </c>
      <c r="B94" s="49" t="s">
        <v>475</v>
      </c>
      <c r="C94" s="14" t="s">
        <v>303</v>
      </c>
      <c r="D94" s="50" t="s">
        <v>565</v>
      </c>
      <c r="E94" s="64" t="s">
        <v>566</v>
      </c>
      <c r="F94" s="41">
        <f>'03_FONTE_FAP'!F92</f>
        <v>80.484999999999985</v>
      </c>
      <c r="G94" s="42">
        <f>'03_FONTE_FAP'!K92</f>
        <v>59.305999999999997</v>
      </c>
      <c r="H94" s="21">
        <f>'03_FONTE_FAP'!M92</f>
        <v>69.895499999999998</v>
      </c>
      <c r="I94" s="43">
        <f>'01_PARÂMETROS'!$B$9</f>
        <v>50</v>
      </c>
      <c r="J94" s="44">
        <f t="shared" si="7"/>
        <v>1.39791</v>
      </c>
      <c r="K94" s="59">
        <f>MAX('01_PARÂMETROS'!$B$11,MIN('01_PARÂMETROS'!$B$12,J94))</f>
        <v>1.39791</v>
      </c>
      <c r="L94" s="60">
        <f t="shared" si="5"/>
        <v>0.39790999999999999</v>
      </c>
      <c r="M94" s="29" t="str">
        <f>IF(K94&lt;='01_PARÂMETROS'!$B$14,"Preferencial",IF(K94&lt;='01_PARÂMETROS'!$B$15,"Baixo",IF(K94&lt;='01_PARÂMETROS'!$B$16,"Médio",IF(K94&lt;='01_PARÂMETROS'!$B$17,"Alto","Elevado"))))</f>
        <v>Elevado</v>
      </c>
      <c r="N94" s="48" t="s">
        <v>478</v>
      </c>
      <c r="O94" s="29" t="s">
        <v>3360</v>
      </c>
    </row>
    <row r="95" spans="1:15" ht="13.5" customHeight="1" x14ac:dyDescent="0.25">
      <c r="A95" s="24" t="s">
        <v>574</v>
      </c>
      <c r="B95" s="38" t="s">
        <v>475</v>
      </c>
      <c r="C95" s="25" t="s">
        <v>305</v>
      </c>
      <c r="D95" s="39" t="s">
        <v>565</v>
      </c>
      <c r="E95" s="64" t="s">
        <v>566</v>
      </c>
      <c r="F95" s="41">
        <f>'03_FONTE_FAP'!F93</f>
        <v>23.054500000000001</v>
      </c>
      <c r="G95" s="42">
        <f>'03_FONTE_FAP'!K93</f>
        <v>14.916999999999998</v>
      </c>
      <c r="H95" s="21">
        <f>'03_FONTE_FAP'!M93</f>
        <v>18.985749999999999</v>
      </c>
      <c r="I95" s="43">
        <f>'01_PARÂMETROS'!$B$9</f>
        <v>50</v>
      </c>
      <c r="J95" s="44">
        <f t="shared" si="7"/>
        <v>0.37971499999999997</v>
      </c>
      <c r="K95" s="51">
        <f>MAX('01_PARÂMETROS'!$B$11,MIN('01_PARÂMETROS'!$B$12,J95))</f>
        <v>0.75</v>
      </c>
      <c r="L95" s="52">
        <f t="shared" si="5"/>
        <v>-0.25</v>
      </c>
      <c r="M95" s="53" t="str">
        <f>IF(K95&lt;='01_PARÂMETROS'!$B$14,"Preferencial",IF(K95&lt;='01_PARÂMETROS'!$B$15,"Baixo",IF(K95&lt;='01_PARÂMETROS'!$B$16,"Médio",IF(K95&lt;='01_PARÂMETROS'!$B$17,"Alto","Elevado"))))</f>
        <v>Preferencial</v>
      </c>
      <c r="N95" s="48" t="s">
        <v>478</v>
      </c>
      <c r="O95" s="29" t="s">
        <v>3360</v>
      </c>
    </row>
    <row r="96" spans="1:15" ht="13.5" customHeight="1" x14ac:dyDescent="0.25">
      <c r="A96" s="13" t="s">
        <v>575</v>
      </c>
      <c r="B96" s="49" t="s">
        <v>475</v>
      </c>
      <c r="C96" s="14" t="s">
        <v>307</v>
      </c>
      <c r="D96" s="50" t="s">
        <v>565</v>
      </c>
      <c r="E96" s="64" t="s">
        <v>566</v>
      </c>
      <c r="F96" s="41">
        <f>'03_FONTE_FAP'!F94</f>
        <v>42.416499999999999</v>
      </c>
      <c r="G96" s="42">
        <f>'03_FONTE_FAP'!K94</f>
        <v>39.900999999999996</v>
      </c>
      <c r="H96" s="21">
        <f>'03_FONTE_FAP'!M94</f>
        <v>41.158749999999998</v>
      </c>
      <c r="I96" s="43">
        <f>'01_PARÂMETROS'!$B$9</f>
        <v>50</v>
      </c>
      <c r="J96" s="44">
        <f t="shared" si="7"/>
        <v>0.82317499999999999</v>
      </c>
      <c r="K96" s="51">
        <f>MAX('01_PARÂMETROS'!$B$11,MIN('01_PARÂMETROS'!$B$12,J96))</f>
        <v>0.82317499999999999</v>
      </c>
      <c r="L96" s="52">
        <f t="shared" si="5"/>
        <v>-0.17682500000000001</v>
      </c>
      <c r="M96" s="53" t="str">
        <f>IF(K96&lt;='01_PARÂMETROS'!$B$14,"Preferencial",IF(K96&lt;='01_PARÂMETROS'!$B$15,"Baixo",IF(K96&lt;='01_PARÂMETROS'!$B$16,"Médio",IF(K96&lt;='01_PARÂMETROS'!$B$17,"Alto","Elevado"))))</f>
        <v>Preferencial</v>
      </c>
      <c r="N96" s="48" t="s">
        <v>478</v>
      </c>
      <c r="O96" s="29" t="s">
        <v>3360</v>
      </c>
    </row>
    <row r="97" spans="1:15" ht="13.5" customHeight="1" x14ac:dyDescent="0.25">
      <c r="A97" s="24" t="s">
        <v>576</v>
      </c>
      <c r="B97" s="38" t="s">
        <v>475</v>
      </c>
      <c r="C97" s="25" t="s">
        <v>309</v>
      </c>
      <c r="D97" s="39" t="s">
        <v>565</v>
      </c>
      <c r="E97" s="64" t="s">
        <v>566</v>
      </c>
      <c r="F97" s="41">
        <f>'03_FONTE_FAP'!F95</f>
        <v>86.004499999999993</v>
      </c>
      <c r="G97" s="42">
        <f>'03_FONTE_FAP'!K95</f>
        <v>88.200999999999993</v>
      </c>
      <c r="H97" s="21">
        <f>'03_FONTE_FAP'!M95</f>
        <v>87.102749999999986</v>
      </c>
      <c r="I97" s="43">
        <f>'01_PARÂMETROS'!$B$9</f>
        <v>50</v>
      </c>
      <c r="J97" s="44">
        <f t="shared" si="7"/>
        <v>1.7420549999999997</v>
      </c>
      <c r="K97" s="59">
        <f>MAX('01_PARÂMETROS'!$B$11,MIN('01_PARÂMETROS'!$B$12,J97))</f>
        <v>1.4</v>
      </c>
      <c r="L97" s="60">
        <f t="shared" si="5"/>
        <v>0.39999999999999991</v>
      </c>
      <c r="M97" s="29" t="str">
        <f>IF(K97&lt;='01_PARÂMETROS'!$B$14,"Preferencial",IF(K97&lt;='01_PARÂMETROS'!$B$15,"Baixo",IF(K97&lt;='01_PARÂMETROS'!$B$16,"Médio",IF(K97&lt;='01_PARÂMETROS'!$B$17,"Alto","Elevado"))))</f>
        <v>Elevado</v>
      </c>
      <c r="N97" s="48" t="s">
        <v>478</v>
      </c>
      <c r="O97" s="29" t="s">
        <v>3360</v>
      </c>
    </row>
    <row r="98" spans="1:15" ht="13.5" customHeight="1" x14ac:dyDescent="0.25">
      <c r="A98" s="13" t="s">
        <v>577</v>
      </c>
      <c r="B98" s="49" t="s">
        <v>475</v>
      </c>
      <c r="C98" s="14" t="s">
        <v>311</v>
      </c>
      <c r="D98" s="50" t="s">
        <v>565</v>
      </c>
      <c r="E98" s="64" t="s">
        <v>566</v>
      </c>
      <c r="F98" s="41">
        <f>'03_FONTE_FAP'!F96</f>
        <v>57.97</v>
      </c>
      <c r="G98" s="42">
        <f>'03_FONTE_FAP'!K96</f>
        <v>71.245499999999993</v>
      </c>
      <c r="H98" s="21">
        <f>'03_FONTE_FAP'!M96</f>
        <v>64.607749999999996</v>
      </c>
      <c r="I98" s="43">
        <f>'01_PARÂMETROS'!$B$9</f>
        <v>50</v>
      </c>
      <c r="J98" s="44">
        <f t="shared" si="7"/>
        <v>1.2921549999999999</v>
      </c>
      <c r="K98" s="59">
        <f>MAX('01_PARÂMETROS'!$B$11,MIN('01_PARÂMETROS'!$B$12,J98))</f>
        <v>1.2921549999999999</v>
      </c>
      <c r="L98" s="60">
        <f t="shared" si="5"/>
        <v>0.29215499999999994</v>
      </c>
      <c r="M98" s="29" t="str">
        <f>IF(K98&lt;='01_PARÂMETROS'!$B$14,"Preferencial",IF(K98&lt;='01_PARÂMETROS'!$B$15,"Baixo",IF(K98&lt;='01_PARÂMETROS'!$B$16,"Médio",IF(K98&lt;='01_PARÂMETROS'!$B$17,"Alto","Elevado"))))</f>
        <v>Elevado</v>
      </c>
      <c r="N98" s="48" t="s">
        <v>478</v>
      </c>
      <c r="O98" s="29" t="s">
        <v>3360</v>
      </c>
    </row>
    <row r="99" spans="1:15" ht="13.5" customHeight="1" x14ac:dyDescent="0.25">
      <c r="A99" s="24" t="s">
        <v>578</v>
      </c>
      <c r="B99" s="38" t="s">
        <v>475</v>
      </c>
      <c r="C99" s="25" t="s">
        <v>313</v>
      </c>
      <c r="D99" s="39" t="s">
        <v>565</v>
      </c>
      <c r="E99" s="64" t="s">
        <v>566</v>
      </c>
      <c r="F99" s="41">
        <f>'03_FONTE_FAP'!F97</f>
        <v>87.838499999999996</v>
      </c>
      <c r="G99" s="42">
        <f>'03_FONTE_FAP'!K97</f>
        <v>80.749499999999998</v>
      </c>
      <c r="H99" s="21">
        <f>'03_FONTE_FAP'!M97</f>
        <v>84.293999999999997</v>
      </c>
      <c r="I99" s="43">
        <f>'01_PARÂMETROS'!$B$9</f>
        <v>50</v>
      </c>
      <c r="J99" s="44">
        <f t="shared" si="7"/>
        <v>1.68588</v>
      </c>
      <c r="K99" s="59">
        <f>MAX('01_PARÂMETROS'!$B$11,MIN('01_PARÂMETROS'!$B$12,J99))</f>
        <v>1.4</v>
      </c>
      <c r="L99" s="60">
        <f t="shared" si="5"/>
        <v>0.39999999999999991</v>
      </c>
      <c r="M99" s="29" t="str">
        <f>IF(K99&lt;='01_PARÂMETROS'!$B$14,"Preferencial",IF(K99&lt;='01_PARÂMETROS'!$B$15,"Baixo",IF(K99&lt;='01_PARÂMETROS'!$B$16,"Médio",IF(K99&lt;='01_PARÂMETROS'!$B$17,"Alto","Elevado"))))</f>
        <v>Elevado</v>
      </c>
      <c r="N99" s="48" t="s">
        <v>478</v>
      </c>
      <c r="O99" s="29" t="s">
        <v>3360</v>
      </c>
    </row>
    <row r="100" spans="1:15" ht="13.5" customHeight="1" x14ac:dyDescent="0.25">
      <c r="A100" s="13" t="s">
        <v>579</v>
      </c>
      <c r="B100" s="49" t="s">
        <v>475</v>
      </c>
      <c r="C100" s="14" t="s">
        <v>315</v>
      </c>
      <c r="D100" s="50" t="s">
        <v>565</v>
      </c>
      <c r="E100" s="64" t="s">
        <v>566</v>
      </c>
      <c r="F100" s="41">
        <f>'03_FONTE_FAP'!F98</f>
        <v>0</v>
      </c>
      <c r="G100" s="42">
        <f>'03_FONTE_FAP'!K98</f>
        <v>59.791999999999994</v>
      </c>
      <c r="H100" s="21">
        <f>'03_FONTE_FAP'!M98</f>
        <v>59.791999999999994</v>
      </c>
      <c r="I100" s="43">
        <f>'01_PARÂMETROS'!$B$9</f>
        <v>50</v>
      </c>
      <c r="J100" s="44">
        <f t="shared" si="7"/>
        <v>1.1958399999999998</v>
      </c>
      <c r="K100" s="45">
        <f>MAX('01_PARÂMETROS'!$B$11,MIN('01_PARÂMETROS'!$B$12,J100))</f>
        <v>1.1958399999999998</v>
      </c>
      <c r="L100" s="46">
        <f t="shared" si="5"/>
        <v>0.19583999999999979</v>
      </c>
      <c r="M100" s="47" t="str">
        <f>IF(K100&lt;='01_PARÂMETROS'!$B$14,"Preferencial",IF(K100&lt;='01_PARÂMETROS'!$B$15,"Baixo",IF(K100&lt;='01_PARÂMETROS'!$B$16,"Médio",IF(K100&lt;='01_PARÂMETROS'!$B$17,"Alto","Elevado"))))</f>
        <v>Alto</v>
      </c>
      <c r="N100" s="48" t="s">
        <v>478</v>
      </c>
      <c r="O100" s="29" t="s">
        <v>3360</v>
      </c>
    </row>
    <row r="101" spans="1:15" ht="13.5" customHeight="1" x14ac:dyDescent="0.25">
      <c r="A101" s="24" t="s">
        <v>580</v>
      </c>
      <c r="B101" s="38" t="s">
        <v>475</v>
      </c>
      <c r="C101" s="25" t="s">
        <v>317</v>
      </c>
      <c r="D101" s="39" t="s">
        <v>565</v>
      </c>
      <c r="E101" s="64" t="s">
        <v>566</v>
      </c>
      <c r="F101" s="41">
        <f>'03_FONTE_FAP'!F99</f>
        <v>0</v>
      </c>
      <c r="G101" s="42">
        <f>'03_FONTE_FAP'!K99</f>
        <v>99.888000000000005</v>
      </c>
      <c r="H101" s="21">
        <f>'03_FONTE_FAP'!M99</f>
        <v>99.888000000000005</v>
      </c>
      <c r="I101" s="43">
        <f>'01_PARÂMETROS'!$B$9</f>
        <v>50</v>
      </c>
      <c r="J101" s="44">
        <f t="shared" si="7"/>
        <v>1.9977600000000002</v>
      </c>
      <c r="K101" s="59">
        <f>MAX('01_PARÂMETROS'!$B$11,MIN('01_PARÂMETROS'!$B$12,J101))</f>
        <v>1.4</v>
      </c>
      <c r="L101" s="60">
        <f t="shared" si="5"/>
        <v>0.39999999999999991</v>
      </c>
      <c r="M101" s="29" t="str">
        <f>IF(K101&lt;='01_PARÂMETROS'!$B$14,"Preferencial",IF(K101&lt;='01_PARÂMETROS'!$B$15,"Baixo",IF(K101&lt;='01_PARÂMETROS'!$B$16,"Médio",IF(K101&lt;='01_PARÂMETROS'!$B$17,"Alto","Elevado"))))</f>
        <v>Elevado</v>
      </c>
      <c r="N101" s="48" t="s">
        <v>478</v>
      </c>
      <c r="O101" s="29" t="s">
        <v>3360</v>
      </c>
    </row>
    <row r="102" spans="1:15" ht="13.5" customHeight="1" x14ac:dyDescent="0.25">
      <c r="A102" s="13" t="s">
        <v>581</v>
      </c>
      <c r="B102" s="49" t="s">
        <v>475</v>
      </c>
      <c r="C102" s="14" t="s">
        <v>319</v>
      </c>
      <c r="D102" s="50" t="s">
        <v>565</v>
      </c>
      <c r="E102" s="64" t="s">
        <v>566</v>
      </c>
      <c r="F102" s="41">
        <f>'03_FONTE_FAP'!F100</f>
        <v>63.723999999999997</v>
      </c>
      <c r="G102" s="42">
        <f>'03_FONTE_FAP'!K100</f>
        <v>71.630499999999998</v>
      </c>
      <c r="H102" s="21">
        <f>'03_FONTE_FAP'!M100</f>
        <v>67.677250000000001</v>
      </c>
      <c r="I102" s="43">
        <f>'01_PARÂMETROS'!$B$9</f>
        <v>50</v>
      </c>
      <c r="J102" s="44">
        <f t="shared" si="7"/>
        <v>1.353545</v>
      </c>
      <c r="K102" s="59">
        <f>MAX('01_PARÂMETROS'!$B$11,MIN('01_PARÂMETROS'!$B$12,J102))</f>
        <v>1.353545</v>
      </c>
      <c r="L102" s="60">
        <f t="shared" si="5"/>
        <v>0.353545</v>
      </c>
      <c r="M102" s="29" t="str">
        <f>IF(K102&lt;='01_PARÂMETROS'!$B$14,"Preferencial",IF(K102&lt;='01_PARÂMETROS'!$B$15,"Baixo",IF(K102&lt;='01_PARÂMETROS'!$B$16,"Médio",IF(K102&lt;='01_PARÂMETROS'!$B$17,"Alto","Elevado"))))</f>
        <v>Elevado</v>
      </c>
      <c r="N102" s="48" t="s">
        <v>478</v>
      </c>
      <c r="O102" s="29" t="s">
        <v>3360</v>
      </c>
    </row>
    <row r="103" spans="1:15" ht="13.5" customHeight="1" x14ac:dyDescent="0.25">
      <c r="A103" s="24" t="s">
        <v>582</v>
      </c>
      <c r="B103" s="38" t="s">
        <v>475</v>
      </c>
      <c r="C103" s="25" t="s">
        <v>321</v>
      </c>
      <c r="D103" s="39" t="s">
        <v>565</v>
      </c>
      <c r="E103" s="64" t="s">
        <v>566</v>
      </c>
      <c r="F103" s="41">
        <f>'03_FONTE_FAP'!F101</f>
        <v>45.6845</v>
      </c>
      <c r="G103" s="42">
        <f>'03_FONTE_FAP'!K101</f>
        <v>49.101999999999997</v>
      </c>
      <c r="H103" s="21">
        <f>'03_FONTE_FAP'!M101</f>
        <v>47.393249999999995</v>
      </c>
      <c r="I103" s="43">
        <f>'01_PARÂMETROS'!$B$9</f>
        <v>50</v>
      </c>
      <c r="J103" s="44">
        <f t="shared" si="7"/>
        <v>0.94786499999999985</v>
      </c>
      <c r="K103" s="62">
        <f>MAX('01_PARÂMETROS'!$B$11,MIN('01_PARÂMETROS'!$B$12,J103))</f>
        <v>0.94786499999999985</v>
      </c>
      <c r="L103" s="63">
        <f t="shared" si="5"/>
        <v>-5.2135000000000153E-2</v>
      </c>
      <c r="M103" s="17" t="str">
        <f>IF(K103&lt;='01_PARÂMETROS'!$B$14,"Preferencial",IF(K103&lt;='01_PARÂMETROS'!$B$15,"Baixo",IF(K103&lt;='01_PARÂMETROS'!$B$16,"Médio",IF(K103&lt;='01_PARÂMETROS'!$B$17,"Alto","Elevado"))))</f>
        <v>Baixo</v>
      </c>
      <c r="N103" s="48" t="s">
        <v>478</v>
      </c>
      <c r="O103" s="29" t="s">
        <v>3360</v>
      </c>
    </row>
    <row r="104" spans="1:15" ht="13.5" customHeight="1" x14ac:dyDescent="0.25">
      <c r="A104" s="13" t="s">
        <v>583</v>
      </c>
      <c r="B104" s="49" t="s">
        <v>475</v>
      </c>
      <c r="C104" s="14" t="s">
        <v>323</v>
      </c>
      <c r="D104" s="50" t="s">
        <v>565</v>
      </c>
      <c r="E104" s="64" t="s">
        <v>566</v>
      </c>
      <c r="F104" s="41">
        <f>'03_FONTE_FAP'!F102</f>
        <v>60.763500000000001</v>
      </c>
      <c r="G104" s="42">
        <f>'03_FONTE_FAP'!K102</f>
        <v>61.728499999999997</v>
      </c>
      <c r="H104" s="21">
        <f>'03_FONTE_FAP'!M102</f>
        <v>61.245999999999995</v>
      </c>
      <c r="I104" s="43">
        <f>'01_PARÂMETROS'!$B$9</f>
        <v>50</v>
      </c>
      <c r="J104" s="44">
        <f t="shared" si="7"/>
        <v>1.22492</v>
      </c>
      <c r="K104" s="45">
        <f>MAX('01_PARÂMETROS'!$B$11,MIN('01_PARÂMETROS'!$B$12,J104))</f>
        <v>1.22492</v>
      </c>
      <c r="L104" s="46">
        <f t="shared" si="5"/>
        <v>0.22492000000000001</v>
      </c>
      <c r="M104" s="47" t="str">
        <f>IF(K104&lt;='01_PARÂMETROS'!$B$14,"Preferencial",IF(K104&lt;='01_PARÂMETROS'!$B$15,"Baixo",IF(K104&lt;='01_PARÂMETROS'!$B$16,"Médio",IF(K104&lt;='01_PARÂMETROS'!$B$17,"Alto","Elevado"))))</f>
        <v>Alto</v>
      </c>
      <c r="N104" s="48" t="s">
        <v>478</v>
      </c>
      <c r="O104" s="61"/>
    </row>
    <row r="105" spans="1:15" ht="13.5" customHeight="1" x14ac:dyDescent="0.25">
      <c r="A105" s="24" t="s">
        <v>584</v>
      </c>
      <c r="B105" s="38" t="s">
        <v>475</v>
      </c>
      <c r="C105" s="25" t="s">
        <v>325</v>
      </c>
      <c r="D105" s="39" t="s">
        <v>585</v>
      </c>
      <c r="E105" s="64" t="s">
        <v>566</v>
      </c>
      <c r="F105" s="41">
        <f>'03_FONTE_FAP'!F103</f>
        <v>87.986999999999995</v>
      </c>
      <c r="G105" s="42">
        <f>'03_FONTE_FAP'!K103</f>
        <v>80.1995</v>
      </c>
      <c r="H105" s="21">
        <f>'03_FONTE_FAP'!M103</f>
        <v>84.093249999999998</v>
      </c>
      <c r="I105" s="43">
        <f>'01_PARÂMETROS'!$B$9</f>
        <v>50</v>
      </c>
      <c r="J105" s="44">
        <f t="shared" si="7"/>
        <v>1.6818649999999999</v>
      </c>
      <c r="K105" s="59">
        <f>MAX('01_PARÂMETROS'!$B$11,MIN('01_PARÂMETROS'!$B$12,J105))</f>
        <v>1.4</v>
      </c>
      <c r="L105" s="60">
        <f t="shared" si="5"/>
        <v>0.39999999999999991</v>
      </c>
      <c r="M105" s="29" t="str">
        <f>IF(K105&lt;='01_PARÂMETROS'!$B$14,"Preferencial",IF(K105&lt;='01_PARÂMETROS'!$B$15,"Baixo",IF(K105&lt;='01_PARÂMETROS'!$B$16,"Médio",IF(K105&lt;='01_PARÂMETROS'!$B$17,"Alto","Elevado"))))</f>
        <v>Elevado</v>
      </c>
      <c r="N105" s="48" t="s">
        <v>478</v>
      </c>
      <c r="O105" s="29" t="s">
        <v>3360</v>
      </c>
    </row>
    <row r="106" spans="1:15" ht="13.5" customHeight="1" x14ac:dyDescent="0.25">
      <c r="A106" s="13" t="s">
        <v>586</v>
      </c>
      <c r="B106" s="49" t="s">
        <v>475</v>
      </c>
      <c r="C106" s="14" t="s">
        <v>327</v>
      </c>
      <c r="D106" s="50" t="s">
        <v>585</v>
      </c>
      <c r="E106" s="64" t="s">
        <v>566</v>
      </c>
      <c r="F106" s="41">
        <f>'03_FONTE_FAP'!F104</f>
        <v>58.658500000000004</v>
      </c>
      <c r="G106" s="42">
        <f>'03_FONTE_FAP'!K104</f>
        <v>39.616999999999997</v>
      </c>
      <c r="H106" s="21">
        <f>'03_FONTE_FAP'!M104</f>
        <v>49.137749999999997</v>
      </c>
      <c r="I106" s="43">
        <f>'01_PARÂMETROS'!$B$9</f>
        <v>50</v>
      </c>
      <c r="J106" s="44">
        <f t="shared" si="7"/>
        <v>0.98275499999999993</v>
      </c>
      <c r="K106" s="55">
        <f>MAX('01_PARÂMETROS'!$B$11,MIN('01_PARÂMETROS'!$B$12,J106))</f>
        <v>0.98275499999999993</v>
      </c>
      <c r="L106" s="56">
        <f t="shared" si="5"/>
        <v>-1.7245000000000066E-2</v>
      </c>
      <c r="M106" s="57" t="str">
        <f>IF(K106&lt;='01_PARÂMETROS'!$B$14,"Preferencial",IF(K106&lt;='01_PARÂMETROS'!$B$15,"Baixo",IF(K106&lt;='01_PARÂMETROS'!$B$16,"Médio",IF(K106&lt;='01_PARÂMETROS'!$B$17,"Alto","Elevado"))))</f>
        <v>Médio</v>
      </c>
      <c r="N106" s="48" t="s">
        <v>478</v>
      </c>
      <c r="O106" s="29" t="s">
        <v>3360</v>
      </c>
    </row>
    <row r="107" spans="1:15" ht="13.5" customHeight="1" x14ac:dyDescent="0.25">
      <c r="A107" s="24" t="s">
        <v>587</v>
      </c>
      <c r="B107" s="38" t="s">
        <v>475</v>
      </c>
      <c r="C107" s="25" t="s">
        <v>329</v>
      </c>
      <c r="D107" s="39" t="s">
        <v>585</v>
      </c>
      <c r="E107" s="64" t="s">
        <v>566</v>
      </c>
      <c r="F107" s="41">
        <f>'03_FONTE_FAP'!F105</f>
        <v>0</v>
      </c>
      <c r="G107" s="42">
        <f>'03_FONTE_FAP'!K105</f>
        <v>99.754999999999995</v>
      </c>
      <c r="H107" s="21">
        <f>'03_FONTE_FAP'!M105</f>
        <v>99.754999999999995</v>
      </c>
      <c r="I107" s="43">
        <f>'01_PARÂMETROS'!$B$9</f>
        <v>50</v>
      </c>
      <c r="J107" s="44">
        <f t="shared" si="7"/>
        <v>1.9950999999999999</v>
      </c>
      <c r="K107" s="59">
        <f>MAX('01_PARÂMETROS'!$B$11,MIN('01_PARÂMETROS'!$B$12,J107))</f>
        <v>1.4</v>
      </c>
      <c r="L107" s="60">
        <f t="shared" si="5"/>
        <v>0.39999999999999991</v>
      </c>
      <c r="M107" s="29" t="str">
        <f>IF(K107&lt;='01_PARÂMETROS'!$B$14,"Preferencial",IF(K107&lt;='01_PARÂMETROS'!$B$15,"Baixo",IF(K107&lt;='01_PARÂMETROS'!$B$16,"Médio",IF(K107&lt;='01_PARÂMETROS'!$B$17,"Alto","Elevado"))))</f>
        <v>Elevado</v>
      </c>
      <c r="N107" s="48" t="s">
        <v>478</v>
      </c>
      <c r="O107" s="29" t="s">
        <v>3360</v>
      </c>
    </row>
    <row r="108" spans="1:15" ht="13.5" customHeight="1" x14ac:dyDescent="0.25">
      <c r="A108" s="13" t="s">
        <v>588</v>
      </c>
      <c r="B108" s="49" t="s">
        <v>475</v>
      </c>
      <c r="C108" s="14" t="s">
        <v>331</v>
      </c>
      <c r="D108" s="50" t="s">
        <v>585</v>
      </c>
      <c r="E108" s="64" t="s">
        <v>566</v>
      </c>
      <c r="F108" s="41">
        <f>'03_FONTE_FAP'!F106</f>
        <v>28.180499999999999</v>
      </c>
      <c r="G108" s="42">
        <f>'03_FONTE_FAP'!K106</f>
        <v>30.573</v>
      </c>
      <c r="H108" s="21">
        <f>'03_FONTE_FAP'!M106</f>
        <v>29.376750000000001</v>
      </c>
      <c r="I108" s="43">
        <f>'01_PARÂMETROS'!$B$9</f>
        <v>50</v>
      </c>
      <c r="J108" s="44">
        <f t="shared" si="7"/>
        <v>0.58753500000000003</v>
      </c>
      <c r="K108" s="51">
        <f>MAX('01_PARÂMETROS'!$B$11,MIN('01_PARÂMETROS'!$B$12,J108))</f>
        <v>0.75</v>
      </c>
      <c r="L108" s="52">
        <f t="shared" si="5"/>
        <v>-0.25</v>
      </c>
      <c r="M108" s="53" t="str">
        <f>IF(K108&lt;='01_PARÂMETROS'!$B$14,"Preferencial",IF(K108&lt;='01_PARÂMETROS'!$B$15,"Baixo",IF(K108&lt;='01_PARÂMETROS'!$B$16,"Médio",IF(K108&lt;='01_PARÂMETROS'!$B$17,"Alto","Elevado"))))</f>
        <v>Preferencial</v>
      </c>
      <c r="N108" s="48" t="s">
        <v>478</v>
      </c>
      <c r="O108" s="29" t="s">
        <v>3360</v>
      </c>
    </row>
    <row r="109" spans="1:15" ht="13.5" customHeight="1" x14ac:dyDescent="0.25">
      <c r="A109" s="24" t="s">
        <v>589</v>
      </c>
      <c r="B109" s="38" t="s">
        <v>475</v>
      </c>
      <c r="C109" s="25" t="s">
        <v>333</v>
      </c>
      <c r="D109" s="39" t="s">
        <v>585</v>
      </c>
      <c r="E109" s="64" t="s">
        <v>566</v>
      </c>
      <c r="F109" s="41">
        <f>'03_FONTE_FAP'!F107</f>
        <v>64.479500000000002</v>
      </c>
      <c r="G109" s="42">
        <f>'03_FONTE_FAP'!K107</f>
        <v>63.066000000000003</v>
      </c>
      <c r="H109" s="21">
        <f>'03_FONTE_FAP'!M107</f>
        <v>63.772750000000002</v>
      </c>
      <c r="I109" s="43">
        <f>'01_PARÂMETROS'!$B$9</f>
        <v>50</v>
      </c>
      <c r="J109" s="44">
        <f t="shared" si="7"/>
        <v>1.275455</v>
      </c>
      <c r="K109" s="59">
        <f>MAX('01_PARÂMETROS'!$B$11,MIN('01_PARÂMETROS'!$B$12,J109))</f>
        <v>1.275455</v>
      </c>
      <c r="L109" s="60">
        <f t="shared" si="5"/>
        <v>0.27545500000000001</v>
      </c>
      <c r="M109" s="29" t="str">
        <f>IF(K109&lt;='01_PARÂMETROS'!$B$14,"Preferencial",IF(K109&lt;='01_PARÂMETROS'!$B$15,"Baixo",IF(K109&lt;='01_PARÂMETROS'!$B$16,"Médio",IF(K109&lt;='01_PARÂMETROS'!$B$17,"Alto","Elevado"))))</f>
        <v>Elevado</v>
      </c>
      <c r="N109" s="48" t="s">
        <v>478</v>
      </c>
      <c r="O109" s="29" t="s">
        <v>3360</v>
      </c>
    </row>
    <row r="110" spans="1:15" ht="13.5" customHeight="1" x14ac:dyDescent="0.25">
      <c r="A110" s="13" t="s">
        <v>590</v>
      </c>
      <c r="B110" s="49" t="s">
        <v>475</v>
      </c>
      <c r="C110" s="14" t="s">
        <v>591</v>
      </c>
      <c r="D110" s="50" t="s">
        <v>585</v>
      </c>
      <c r="E110" s="64" t="s">
        <v>566</v>
      </c>
      <c r="F110" s="54" t="s">
        <v>485</v>
      </c>
      <c r="G110" s="54" t="s">
        <v>485</v>
      </c>
      <c r="H110" s="54" t="s">
        <v>485</v>
      </c>
      <c r="I110" s="43">
        <f>'01_PARÂMETROS'!$B$9</f>
        <v>50</v>
      </c>
      <c r="J110" s="44">
        <f>1.15</f>
        <v>1.1499999999999999</v>
      </c>
      <c r="K110" s="45">
        <f>MAX('01_PARÂMETROS'!$B$11,MIN('01_PARÂMETROS'!$B$12,J110))</f>
        <v>1.1499999999999999</v>
      </c>
      <c r="L110" s="46">
        <f t="shared" si="5"/>
        <v>0.14999999999999991</v>
      </c>
      <c r="M110" s="47" t="str">
        <f>IF(K110&lt;='01_PARÂMETROS'!$B$14,"Preferencial",IF(K110&lt;='01_PARÂMETROS'!$B$15,"Baixo",IF(K110&lt;='01_PARÂMETROS'!$B$16,"Médio",IF(K110&lt;='01_PARÂMETROS'!$B$17,"Alto","Elevado"))))</f>
        <v>Alto</v>
      </c>
      <c r="N110" s="58" t="s">
        <v>486</v>
      </c>
      <c r="O110" s="61"/>
    </row>
    <row r="111" spans="1:15" ht="13.5" customHeight="1" x14ac:dyDescent="0.25">
      <c r="A111" s="24" t="s">
        <v>592</v>
      </c>
      <c r="B111" s="38" t="s">
        <v>475</v>
      </c>
      <c r="C111" s="25" t="s">
        <v>335</v>
      </c>
      <c r="D111" s="39" t="s">
        <v>585</v>
      </c>
      <c r="E111" s="64" t="s">
        <v>566</v>
      </c>
      <c r="F111" s="41">
        <f>'03_FONTE_FAP'!F108</f>
        <v>30.765000000000001</v>
      </c>
      <c r="G111" s="42">
        <f>'03_FONTE_FAP'!K108</f>
        <v>0</v>
      </c>
      <c r="H111" s="21">
        <f>'03_FONTE_FAP'!M108</f>
        <v>30.765000000000001</v>
      </c>
      <c r="I111" s="43">
        <f>'01_PARÂMETROS'!$B$9</f>
        <v>50</v>
      </c>
      <c r="J111" s="44">
        <f>IFERROR(IF(H111=0,1.15,H111/I111),1.15)</f>
        <v>0.61529999999999996</v>
      </c>
      <c r="K111" s="51">
        <f>MAX('01_PARÂMETROS'!$B$11,MIN('01_PARÂMETROS'!$B$12,J111))</f>
        <v>0.75</v>
      </c>
      <c r="L111" s="52">
        <f t="shared" si="5"/>
        <v>-0.25</v>
      </c>
      <c r="M111" s="53" t="str">
        <f>IF(K111&lt;='01_PARÂMETROS'!$B$14,"Preferencial",IF(K111&lt;='01_PARÂMETROS'!$B$15,"Baixo",IF(K111&lt;='01_PARÂMETROS'!$B$16,"Médio",IF(K111&lt;='01_PARÂMETROS'!$B$17,"Alto","Elevado"))))</f>
        <v>Preferencial</v>
      </c>
      <c r="N111" s="48" t="s">
        <v>478</v>
      </c>
      <c r="O111" s="29" t="s">
        <v>3360</v>
      </c>
    </row>
    <row r="112" spans="1:15" ht="13.5" customHeight="1" x14ac:dyDescent="0.25">
      <c r="A112" s="13" t="s">
        <v>593</v>
      </c>
      <c r="B112" s="49" t="s">
        <v>475</v>
      </c>
      <c r="C112" s="14" t="s">
        <v>337</v>
      </c>
      <c r="D112" s="50" t="s">
        <v>585</v>
      </c>
      <c r="E112" s="64" t="s">
        <v>566</v>
      </c>
      <c r="F112" s="54" t="s">
        <v>485</v>
      </c>
      <c r="G112" s="54" t="s">
        <v>485</v>
      </c>
      <c r="H112" s="54" t="s">
        <v>485</v>
      </c>
      <c r="I112" s="43">
        <f>'01_PARÂMETROS'!$B$9</f>
        <v>50</v>
      </c>
      <c r="J112" s="44">
        <f>1.15</f>
        <v>1.1499999999999999</v>
      </c>
      <c r="K112" s="45">
        <f>MAX('01_PARÂMETROS'!$B$11,MIN('01_PARÂMETROS'!$B$12,J112))</f>
        <v>1.1499999999999999</v>
      </c>
      <c r="L112" s="46">
        <f t="shared" si="5"/>
        <v>0.14999999999999991</v>
      </c>
      <c r="M112" s="47" t="str">
        <f>IF(K112&lt;='01_PARÂMETROS'!$B$14,"Preferencial",IF(K112&lt;='01_PARÂMETROS'!$B$15,"Baixo",IF(K112&lt;='01_PARÂMETROS'!$B$16,"Médio",IF(K112&lt;='01_PARÂMETROS'!$B$17,"Alto","Elevado"))))</f>
        <v>Alto</v>
      </c>
      <c r="N112" s="58" t="s">
        <v>486</v>
      </c>
      <c r="O112" s="61"/>
    </row>
    <row r="113" spans="1:15" ht="13.5" customHeight="1" x14ac:dyDescent="0.25">
      <c r="A113" s="24" t="s">
        <v>594</v>
      </c>
      <c r="B113" s="38" t="s">
        <v>475</v>
      </c>
      <c r="C113" s="25" t="s">
        <v>339</v>
      </c>
      <c r="D113" s="39" t="s">
        <v>585</v>
      </c>
      <c r="E113" s="64" t="s">
        <v>566</v>
      </c>
      <c r="F113" s="54" t="s">
        <v>485</v>
      </c>
      <c r="G113" s="54" t="s">
        <v>485</v>
      </c>
      <c r="H113" s="54" t="s">
        <v>485</v>
      </c>
      <c r="I113" s="43">
        <f>'01_PARÂMETROS'!$B$9</f>
        <v>50</v>
      </c>
      <c r="J113" s="44">
        <f>1.15</f>
        <v>1.1499999999999999</v>
      </c>
      <c r="K113" s="45">
        <f>MAX('01_PARÂMETROS'!$B$11,MIN('01_PARÂMETROS'!$B$12,J113))</f>
        <v>1.1499999999999999</v>
      </c>
      <c r="L113" s="46">
        <f t="shared" si="5"/>
        <v>0.14999999999999991</v>
      </c>
      <c r="M113" s="47" t="str">
        <f>IF(K113&lt;='01_PARÂMETROS'!$B$14,"Preferencial",IF(K113&lt;='01_PARÂMETROS'!$B$15,"Baixo",IF(K113&lt;='01_PARÂMETROS'!$B$16,"Médio",IF(K113&lt;='01_PARÂMETROS'!$B$17,"Alto","Elevado"))))</f>
        <v>Alto</v>
      </c>
      <c r="N113" s="58" t="s">
        <v>486</v>
      </c>
      <c r="O113" s="54"/>
    </row>
    <row r="114" spans="1:15" ht="13.5" customHeight="1" x14ac:dyDescent="0.25">
      <c r="A114" s="13" t="s">
        <v>595</v>
      </c>
      <c r="B114" s="49" t="s">
        <v>475</v>
      </c>
      <c r="C114" s="14" t="s">
        <v>341</v>
      </c>
      <c r="D114" s="50" t="s">
        <v>585</v>
      </c>
      <c r="E114" s="64" t="s">
        <v>566</v>
      </c>
      <c r="F114" s="41">
        <f>'03_FONTE_FAP'!F111</f>
        <v>38.545000000000002</v>
      </c>
      <c r="G114" s="42">
        <f>'03_FONTE_FAP'!K111</f>
        <v>39.894000000000005</v>
      </c>
      <c r="H114" s="21">
        <f>'03_FONTE_FAP'!M111</f>
        <v>39.219500000000004</v>
      </c>
      <c r="I114" s="43">
        <f>'01_PARÂMETROS'!$B$9</f>
        <v>50</v>
      </c>
      <c r="J114" s="44">
        <f>IFERROR(IF(H114=0,1.15,H114/I114),1.15)</f>
        <v>0.78439000000000003</v>
      </c>
      <c r="K114" s="51">
        <f>MAX('01_PARÂMETROS'!$B$11,MIN('01_PARÂMETROS'!$B$12,J114))</f>
        <v>0.78439000000000003</v>
      </c>
      <c r="L114" s="52">
        <f t="shared" si="5"/>
        <v>-0.21560999999999997</v>
      </c>
      <c r="M114" s="53" t="str">
        <f>IF(K114&lt;='01_PARÂMETROS'!$B$14,"Preferencial",IF(K114&lt;='01_PARÂMETROS'!$B$15,"Baixo",IF(K114&lt;='01_PARÂMETROS'!$B$16,"Médio",IF(K114&lt;='01_PARÂMETROS'!$B$17,"Alto","Elevado"))))</f>
        <v>Preferencial</v>
      </c>
      <c r="N114" s="48" t="s">
        <v>478</v>
      </c>
      <c r="O114" s="29" t="s">
        <v>3360</v>
      </c>
    </row>
    <row r="115" spans="1:15" ht="13.5" customHeight="1" x14ac:dyDescent="0.25">
      <c r="A115" s="24" t="s">
        <v>596</v>
      </c>
      <c r="B115" s="38" t="s">
        <v>475</v>
      </c>
      <c r="C115" s="25" t="s">
        <v>343</v>
      </c>
      <c r="D115" s="39" t="s">
        <v>585</v>
      </c>
      <c r="E115" s="64" t="s">
        <v>566</v>
      </c>
      <c r="F115" s="54" t="s">
        <v>485</v>
      </c>
      <c r="G115" s="54" t="s">
        <v>485</v>
      </c>
      <c r="H115" s="54" t="s">
        <v>485</v>
      </c>
      <c r="I115" s="43">
        <f>'01_PARÂMETROS'!$B$9</f>
        <v>50</v>
      </c>
      <c r="J115" s="44">
        <f>1.15</f>
        <v>1.1499999999999999</v>
      </c>
      <c r="K115" s="45">
        <f>MAX('01_PARÂMETROS'!$B$11,MIN('01_PARÂMETROS'!$B$12,J115))</f>
        <v>1.1499999999999999</v>
      </c>
      <c r="L115" s="46">
        <f t="shared" si="5"/>
        <v>0.14999999999999991</v>
      </c>
      <c r="M115" s="47" t="str">
        <f>IF(K115&lt;='01_PARÂMETROS'!$B$14,"Preferencial",IF(K115&lt;='01_PARÂMETROS'!$B$15,"Baixo",IF(K115&lt;='01_PARÂMETROS'!$B$16,"Médio",IF(K115&lt;='01_PARÂMETROS'!$B$17,"Alto","Elevado"))))</f>
        <v>Alto</v>
      </c>
      <c r="N115" s="58" t="s">
        <v>486</v>
      </c>
      <c r="O115" s="54"/>
    </row>
    <row r="116" spans="1:15" ht="13.5" customHeight="1" x14ac:dyDescent="0.25">
      <c r="A116" s="13" t="s">
        <v>597</v>
      </c>
      <c r="B116" s="49" t="s">
        <v>475</v>
      </c>
      <c r="C116" s="14" t="s">
        <v>345</v>
      </c>
      <c r="D116" s="50" t="s">
        <v>585</v>
      </c>
      <c r="E116" s="64" t="s">
        <v>566</v>
      </c>
      <c r="F116" s="41">
        <f>'03_FONTE_FAP'!F113</f>
        <v>95.868499999999997</v>
      </c>
      <c r="G116" s="42">
        <f>'03_FONTE_FAP'!K113</f>
        <v>74.744500000000002</v>
      </c>
      <c r="H116" s="21">
        <f>'03_FONTE_FAP'!M113</f>
        <v>85.3065</v>
      </c>
      <c r="I116" s="43">
        <f>'01_PARÂMETROS'!$B$9</f>
        <v>50</v>
      </c>
      <c r="J116" s="44">
        <f>IFERROR(IF(H116=0,1.15,H116/I116),1.15)</f>
        <v>1.7061299999999999</v>
      </c>
      <c r="K116" s="59">
        <f>MAX('01_PARÂMETROS'!$B$11,MIN('01_PARÂMETROS'!$B$12,J116))</f>
        <v>1.4</v>
      </c>
      <c r="L116" s="60">
        <f t="shared" si="5"/>
        <v>0.39999999999999991</v>
      </c>
      <c r="M116" s="29" t="str">
        <f>IF(K116&lt;='01_PARÂMETROS'!$B$14,"Preferencial",IF(K116&lt;='01_PARÂMETROS'!$B$15,"Baixo",IF(K116&lt;='01_PARÂMETROS'!$B$16,"Médio",IF(K116&lt;='01_PARÂMETROS'!$B$17,"Alto","Elevado"))))</f>
        <v>Elevado</v>
      </c>
      <c r="N116" s="48" t="s">
        <v>478</v>
      </c>
      <c r="O116" s="29" t="s">
        <v>3360</v>
      </c>
    </row>
    <row r="117" spans="1:15" ht="13.5" customHeight="1" x14ac:dyDescent="0.25">
      <c r="A117" s="24" t="s">
        <v>598</v>
      </c>
      <c r="B117" s="38" t="s">
        <v>475</v>
      </c>
      <c r="C117" s="25" t="s">
        <v>347</v>
      </c>
      <c r="D117" s="39" t="s">
        <v>585</v>
      </c>
      <c r="E117" s="64" t="s">
        <v>566</v>
      </c>
      <c r="F117" s="41">
        <f>'03_FONTE_FAP'!F114</f>
        <v>11.9245</v>
      </c>
      <c r="G117" s="42">
        <f>'03_FONTE_FAP'!K114</f>
        <v>41.399499999999996</v>
      </c>
      <c r="H117" s="21">
        <f>'03_FONTE_FAP'!M114</f>
        <v>26.661999999999999</v>
      </c>
      <c r="I117" s="43">
        <f>'01_PARÂMETROS'!$B$9</f>
        <v>50</v>
      </c>
      <c r="J117" s="44">
        <f>IFERROR(IF(H117=0,1.15,H117/I117),1.15)</f>
        <v>0.53323999999999994</v>
      </c>
      <c r="K117" s="51">
        <f>MAX('01_PARÂMETROS'!$B$11,MIN('01_PARÂMETROS'!$B$12,J117))</f>
        <v>0.75</v>
      </c>
      <c r="L117" s="52">
        <f t="shared" si="5"/>
        <v>-0.25</v>
      </c>
      <c r="M117" s="53" t="str">
        <f>IF(K117&lt;='01_PARÂMETROS'!$B$14,"Preferencial",IF(K117&lt;='01_PARÂMETROS'!$B$15,"Baixo",IF(K117&lt;='01_PARÂMETROS'!$B$16,"Médio",IF(K117&lt;='01_PARÂMETROS'!$B$17,"Alto","Elevado"))))</f>
        <v>Preferencial</v>
      </c>
      <c r="N117" s="48" t="s">
        <v>478</v>
      </c>
      <c r="O117" s="29" t="s">
        <v>3360</v>
      </c>
    </row>
    <row r="118" spans="1:15" ht="13.5" customHeight="1" x14ac:dyDescent="0.25">
      <c r="A118" s="13" t="s">
        <v>599</v>
      </c>
      <c r="B118" s="49" t="s">
        <v>475</v>
      </c>
      <c r="C118" s="14" t="s">
        <v>349</v>
      </c>
      <c r="D118" s="50" t="s">
        <v>585</v>
      </c>
      <c r="E118" s="64" t="s">
        <v>566</v>
      </c>
      <c r="F118" s="41">
        <f>'03_FONTE_FAP'!F115</f>
        <v>0</v>
      </c>
      <c r="G118" s="42">
        <f>'03_FONTE_FAP'!K115</f>
        <v>9.0019999999999989</v>
      </c>
      <c r="H118" s="21">
        <f>'03_FONTE_FAP'!M115</f>
        <v>9.0019999999999989</v>
      </c>
      <c r="I118" s="43">
        <f>'01_PARÂMETROS'!$B$9</f>
        <v>50</v>
      </c>
      <c r="J118" s="44">
        <f>IFERROR(IF(H118=0,1.15,H118/I118),1.15)</f>
        <v>0.18003999999999998</v>
      </c>
      <c r="K118" s="51">
        <f>MAX('01_PARÂMETROS'!$B$11,MIN('01_PARÂMETROS'!$B$12,J118))</f>
        <v>0.75</v>
      </c>
      <c r="L118" s="52">
        <f t="shared" si="5"/>
        <v>-0.25</v>
      </c>
      <c r="M118" s="53" t="str">
        <f>IF(K118&lt;='01_PARÂMETROS'!$B$14,"Preferencial",IF(K118&lt;='01_PARÂMETROS'!$B$15,"Baixo",IF(K118&lt;='01_PARÂMETROS'!$B$16,"Médio",IF(K118&lt;='01_PARÂMETROS'!$B$17,"Alto","Elevado"))))</f>
        <v>Preferencial</v>
      </c>
      <c r="N118" s="48" t="s">
        <v>478</v>
      </c>
      <c r="O118" s="29" t="s">
        <v>3360</v>
      </c>
    </row>
    <row r="119" spans="1:15" ht="13.5" customHeight="1" x14ac:dyDescent="0.25">
      <c r="A119" s="24" t="s">
        <v>600</v>
      </c>
      <c r="B119" s="38" t="s">
        <v>475</v>
      </c>
      <c r="C119" s="25" t="s">
        <v>351</v>
      </c>
      <c r="D119" s="39" t="s">
        <v>585</v>
      </c>
      <c r="E119" s="64" t="s">
        <v>566</v>
      </c>
      <c r="F119" s="41">
        <f>'03_FONTE_FAP'!F116</f>
        <v>32.238499999999995</v>
      </c>
      <c r="G119" s="42">
        <f>'03_FONTE_FAP'!K116</f>
        <v>36.786000000000001</v>
      </c>
      <c r="H119" s="21">
        <f>'03_FONTE_FAP'!M116</f>
        <v>34.512249999999995</v>
      </c>
      <c r="I119" s="43">
        <f>'01_PARÂMETROS'!$B$9</f>
        <v>50</v>
      </c>
      <c r="J119" s="44">
        <f>IFERROR(IF(H119=0,1.15,H119/I119),1.15)</f>
        <v>0.69024499999999989</v>
      </c>
      <c r="K119" s="51">
        <f>MAX('01_PARÂMETROS'!$B$11,MIN('01_PARÂMETROS'!$B$12,J119))</f>
        <v>0.75</v>
      </c>
      <c r="L119" s="52">
        <f t="shared" si="5"/>
        <v>-0.25</v>
      </c>
      <c r="M119" s="53" t="str">
        <f>IF(K119&lt;='01_PARÂMETROS'!$B$14,"Preferencial",IF(K119&lt;='01_PARÂMETROS'!$B$15,"Baixo",IF(K119&lt;='01_PARÂMETROS'!$B$16,"Médio",IF(K119&lt;='01_PARÂMETROS'!$B$17,"Alto","Elevado"))))</f>
        <v>Preferencial</v>
      </c>
      <c r="N119" s="48" t="s">
        <v>478</v>
      </c>
      <c r="O119" s="54"/>
    </row>
    <row r="120" spans="1:15" ht="13.5" customHeight="1" x14ac:dyDescent="0.25">
      <c r="A120" s="13" t="s">
        <v>601</v>
      </c>
      <c r="B120" s="49" t="s">
        <v>475</v>
      </c>
      <c r="C120" s="14" t="s">
        <v>353</v>
      </c>
      <c r="D120" s="50" t="s">
        <v>585</v>
      </c>
      <c r="E120" s="64" t="s">
        <v>566</v>
      </c>
      <c r="F120" s="41">
        <f>'03_FONTE_FAP'!F117</f>
        <v>14.486499999999998</v>
      </c>
      <c r="G120" s="42">
        <f>'03_FONTE_FAP'!K117</f>
        <v>15.6785</v>
      </c>
      <c r="H120" s="21">
        <f>'03_FONTE_FAP'!M117</f>
        <v>15.0825</v>
      </c>
      <c r="I120" s="43">
        <f>'01_PARÂMETROS'!$B$9</f>
        <v>50</v>
      </c>
      <c r="J120" s="44">
        <f>IFERROR(IF(H120=0,1.15,H120/I120),1.15)</f>
        <v>0.30164999999999997</v>
      </c>
      <c r="K120" s="51">
        <f>MAX('01_PARÂMETROS'!$B$11,MIN('01_PARÂMETROS'!$B$12,J120))</f>
        <v>0.75</v>
      </c>
      <c r="L120" s="52">
        <f t="shared" si="5"/>
        <v>-0.25</v>
      </c>
      <c r="M120" s="53" t="str">
        <f>IF(K120&lt;='01_PARÂMETROS'!$B$14,"Preferencial",IF(K120&lt;='01_PARÂMETROS'!$B$15,"Baixo",IF(K120&lt;='01_PARÂMETROS'!$B$16,"Médio",IF(K120&lt;='01_PARÂMETROS'!$B$17,"Alto","Elevado"))))</f>
        <v>Preferencial</v>
      </c>
      <c r="N120" s="48" t="s">
        <v>478</v>
      </c>
      <c r="O120" s="61"/>
    </row>
    <row r="121" spans="1:15" ht="13.5" customHeight="1" x14ac:dyDescent="0.25">
      <c r="A121" s="24" t="s">
        <v>602</v>
      </c>
      <c r="B121" s="38" t="s">
        <v>475</v>
      </c>
      <c r="C121" s="25" t="s">
        <v>603</v>
      </c>
      <c r="D121" s="39" t="s">
        <v>585</v>
      </c>
      <c r="E121" s="64" t="s">
        <v>566</v>
      </c>
      <c r="F121" s="54" t="s">
        <v>485</v>
      </c>
      <c r="G121" s="54" t="s">
        <v>485</v>
      </c>
      <c r="H121" s="54" t="s">
        <v>485</v>
      </c>
      <c r="I121" s="43">
        <f>'01_PARÂMETROS'!$B$9</f>
        <v>50</v>
      </c>
      <c r="J121" s="44">
        <f>1.15</f>
        <v>1.1499999999999999</v>
      </c>
      <c r="K121" s="45">
        <f>MAX('01_PARÂMETROS'!$B$11,MIN('01_PARÂMETROS'!$B$12,J121))</f>
        <v>1.1499999999999999</v>
      </c>
      <c r="L121" s="46">
        <f t="shared" si="5"/>
        <v>0.14999999999999991</v>
      </c>
      <c r="M121" s="47" t="str">
        <f>IF(K121&lt;='01_PARÂMETROS'!$B$14,"Preferencial",IF(K121&lt;='01_PARÂMETROS'!$B$15,"Baixo",IF(K121&lt;='01_PARÂMETROS'!$B$16,"Médio",IF(K121&lt;='01_PARÂMETROS'!$B$17,"Alto","Elevado"))))</f>
        <v>Alto</v>
      </c>
      <c r="N121" s="58" t="s">
        <v>486</v>
      </c>
      <c r="O121" s="54"/>
    </row>
    <row r="122" spans="1:15" ht="13.5" customHeight="1" x14ac:dyDescent="0.25">
      <c r="A122" s="13" t="s">
        <v>604</v>
      </c>
      <c r="B122" s="49" t="s">
        <v>475</v>
      </c>
      <c r="C122" s="14" t="s">
        <v>355</v>
      </c>
      <c r="D122" s="50" t="s">
        <v>585</v>
      </c>
      <c r="E122" s="64" t="s">
        <v>566</v>
      </c>
      <c r="F122" s="41">
        <f>'03_FONTE_FAP'!F118</f>
        <v>21.040500000000002</v>
      </c>
      <c r="G122" s="42">
        <f>'03_FONTE_FAP'!K118</f>
        <v>44.454999999999998</v>
      </c>
      <c r="H122" s="21">
        <f>'03_FONTE_FAP'!M118</f>
        <v>32.747749999999996</v>
      </c>
      <c r="I122" s="43">
        <f>'01_PARÂMETROS'!$B$9</f>
        <v>50</v>
      </c>
      <c r="J122" s="44">
        <f>IFERROR(IF(H122=0,1.15,H122/I122),1.15)</f>
        <v>0.65495499999999995</v>
      </c>
      <c r="K122" s="51">
        <f>MAX('01_PARÂMETROS'!$B$11,MIN('01_PARÂMETROS'!$B$12,J122))</f>
        <v>0.75</v>
      </c>
      <c r="L122" s="52">
        <f t="shared" si="5"/>
        <v>-0.25</v>
      </c>
      <c r="M122" s="53" t="str">
        <f>IF(K122&lt;='01_PARÂMETROS'!$B$14,"Preferencial",IF(K122&lt;='01_PARÂMETROS'!$B$15,"Baixo",IF(K122&lt;='01_PARÂMETROS'!$B$16,"Médio",IF(K122&lt;='01_PARÂMETROS'!$B$17,"Alto","Elevado"))))</f>
        <v>Preferencial</v>
      </c>
      <c r="N122" s="48" t="s">
        <v>478</v>
      </c>
      <c r="O122" s="61"/>
    </row>
    <row r="123" spans="1:15" ht="13.5" customHeight="1" x14ac:dyDescent="0.25">
      <c r="A123" s="24" t="s">
        <v>605</v>
      </c>
      <c r="B123" s="38" t="s">
        <v>475</v>
      </c>
      <c r="C123" s="25" t="s">
        <v>357</v>
      </c>
      <c r="D123" s="39" t="s">
        <v>585</v>
      </c>
      <c r="E123" s="64" t="s">
        <v>566</v>
      </c>
      <c r="F123" s="41">
        <f>'03_FONTE_FAP'!F119</f>
        <v>34.835499999999996</v>
      </c>
      <c r="G123" s="42">
        <f>'03_FONTE_FAP'!K119</f>
        <v>0</v>
      </c>
      <c r="H123" s="21">
        <f>'03_FONTE_FAP'!M119</f>
        <v>34.835499999999996</v>
      </c>
      <c r="I123" s="43">
        <f>'01_PARÂMETROS'!$B$9</f>
        <v>50</v>
      </c>
      <c r="J123" s="44">
        <f>IFERROR(IF(H123=0,1.15,H123/I123),1.15)</f>
        <v>0.69670999999999994</v>
      </c>
      <c r="K123" s="51">
        <f>MAX('01_PARÂMETROS'!$B$11,MIN('01_PARÂMETROS'!$B$12,J123))</f>
        <v>0.75</v>
      </c>
      <c r="L123" s="52">
        <f t="shared" si="5"/>
        <v>-0.25</v>
      </c>
      <c r="M123" s="53" t="str">
        <f>IF(K123&lt;='01_PARÂMETROS'!$B$14,"Preferencial",IF(K123&lt;='01_PARÂMETROS'!$B$15,"Baixo",IF(K123&lt;='01_PARÂMETROS'!$B$16,"Médio",IF(K123&lt;='01_PARÂMETROS'!$B$17,"Alto","Elevado"))))</f>
        <v>Preferencial</v>
      </c>
      <c r="N123" s="48" t="s">
        <v>478</v>
      </c>
      <c r="O123" s="54"/>
    </row>
    <row r="124" spans="1:15" ht="13.5" customHeight="1" x14ac:dyDescent="0.25">
      <c r="A124" s="13" t="s">
        <v>606</v>
      </c>
      <c r="B124" s="49" t="s">
        <v>475</v>
      </c>
      <c r="C124" s="14" t="s">
        <v>359</v>
      </c>
      <c r="D124" s="50" t="s">
        <v>585</v>
      </c>
      <c r="E124" s="64" t="s">
        <v>566</v>
      </c>
      <c r="F124" s="54" t="s">
        <v>485</v>
      </c>
      <c r="G124" s="54" t="s">
        <v>485</v>
      </c>
      <c r="H124" s="54" t="s">
        <v>485</v>
      </c>
      <c r="I124" s="43">
        <f>'01_PARÂMETROS'!$B$9</f>
        <v>50</v>
      </c>
      <c r="J124" s="44">
        <f>1.15</f>
        <v>1.1499999999999999</v>
      </c>
      <c r="K124" s="45">
        <f>MAX('01_PARÂMETROS'!$B$11,MIN('01_PARÂMETROS'!$B$12,J124))</f>
        <v>1.1499999999999999</v>
      </c>
      <c r="L124" s="46">
        <f t="shared" si="5"/>
        <v>0.14999999999999991</v>
      </c>
      <c r="M124" s="47" t="str">
        <f>IF(K124&lt;='01_PARÂMETROS'!$B$14,"Preferencial",IF(K124&lt;='01_PARÂMETROS'!$B$15,"Baixo",IF(K124&lt;='01_PARÂMETROS'!$B$16,"Médio",IF(K124&lt;='01_PARÂMETROS'!$B$17,"Alto","Elevado"))))</f>
        <v>Alto</v>
      </c>
      <c r="N124" s="58" t="s">
        <v>486</v>
      </c>
      <c r="O124" s="61"/>
    </row>
    <row r="125" spans="1:15" ht="13.5" customHeight="1" x14ac:dyDescent="0.25">
      <c r="A125" s="24" t="s">
        <v>607</v>
      </c>
      <c r="B125" s="38" t="s">
        <v>475</v>
      </c>
      <c r="C125" s="25" t="s">
        <v>361</v>
      </c>
      <c r="D125" s="39" t="s">
        <v>585</v>
      </c>
      <c r="E125" s="64" t="s">
        <v>566</v>
      </c>
      <c r="F125" s="54" t="s">
        <v>485</v>
      </c>
      <c r="G125" s="54" t="s">
        <v>485</v>
      </c>
      <c r="H125" s="54" t="s">
        <v>485</v>
      </c>
      <c r="I125" s="43">
        <f>'01_PARÂMETROS'!$B$9</f>
        <v>50</v>
      </c>
      <c r="J125" s="44">
        <f>1.15</f>
        <v>1.1499999999999999</v>
      </c>
      <c r="K125" s="45">
        <f>MAX('01_PARÂMETROS'!$B$11,MIN('01_PARÂMETROS'!$B$12,J125))</f>
        <v>1.1499999999999999</v>
      </c>
      <c r="L125" s="46">
        <f t="shared" si="5"/>
        <v>0.14999999999999991</v>
      </c>
      <c r="M125" s="47" t="str">
        <f>IF(K125&lt;='01_PARÂMETROS'!$B$14,"Preferencial",IF(K125&lt;='01_PARÂMETROS'!$B$15,"Baixo",IF(K125&lt;='01_PARÂMETROS'!$B$16,"Médio",IF(K125&lt;='01_PARÂMETROS'!$B$17,"Alto","Elevado"))))</f>
        <v>Alto</v>
      </c>
      <c r="N125" s="58" t="s">
        <v>486</v>
      </c>
      <c r="O125" s="54"/>
    </row>
    <row r="126" spans="1:15" ht="13.5" customHeight="1" x14ac:dyDescent="0.25">
      <c r="A126" s="13" t="s">
        <v>608</v>
      </c>
      <c r="B126" s="49" t="s">
        <v>475</v>
      </c>
      <c r="C126" s="14" t="s">
        <v>363</v>
      </c>
      <c r="D126" s="50" t="s">
        <v>585</v>
      </c>
      <c r="E126" s="64" t="s">
        <v>566</v>
      </c>
      <c r="F126" s="41">
        <f>'03_FONTE_FAP'!F122</f>
        <v>28.7805</v>
      </c>
      <c r="G126" s="42">
        <f>'03_FONTE_FAP'!K122</f>
        <v>19.477499999999999</v>
      </c>
      <c r="H126" s="21">
        <f>'03_FONTE_FAP'!M122</f>
        <v>24.128999999999998</v>
      </c>
      <c r="I126" s="43">
        <f>'01_PARÂMETROS'!$B$9</f>
        <v>50</v>
      </c>
      <c r="J126" s="44">
        <f>IFERROR(IF(H126=0,1.15,H126/I126),1.15)</f>
        <v>0.48257999999999995</v>
      </c>
      <c r="K126" s="51">
        <f>MAX('01_PARÂMETROS'!$B$11,MIN('01_PARÂMETROS'!$B$12,J126))</f>
        <v>0.75</v>
      </c>
      <c r="L126" s="52">
        <f t="shared" si="5"/>
        <v>-0.25</v>
      </c>
      <c r="M126" s="53" t="str">
        <f>IF(K126&lt;='01_PARÂMETROS'!$B$14,"Preferencial",IF(K126&lt;='01_PARÂMETROS'!$B$15,"Baixo",IF(K126&lt;='01_PARÂMETROS'!$B$16,"Médio",IF(K126&lt;='01_PARÂMETROS'!$B$17,"Alto","Elevado"))))</f>
        <v>Preferencial</v>
      </c>
      <c r="N126" s="48" t="s">
        <v>478</v>
      </c>
      <c r="O126" s="61"/>
    </row>
    <row r="127" spans="1:15" ht="13.5" customHeight="1" x14ac:dyDescent="0.25">
      <c r="A127" s="24" t="s">
        <v>609</v>
      </c>
      <c r="B127" s="38" t="s">
        <v>610</v>
      </c>
      <c r="C127" s="25" t="s">
        <v>365</v>
      </c>
      <c r="D127" s="39" t="s">
        <v>611</v>
      </c>
      <c r="E127" s="64" t="s">
        <v>566</v>
      </c>
      <c r="F127" s="41">
        <f>'03_FONTE_FAP'!F123</f>
        <v>99.715000000000003</v>
      </c>
      <c r="G127" s="42">
        <f>'03_FONTE_FAP'!K123</f>
        <v>99.719499999999996</v>
      </c>
      <c r="H127" s="21">
        <f>'03_FONTE_FAP'!M123</f>
        <v>99.717250000000007</v>
      </c>
      <c r="I127" s="43">
        <f>'01_PARÂMETROS'!$B$9</f>
        <v>50</v>
      </c>
      <c r="J127" s="44">
        <f>IFERROR(IF(H127=0,1.15,H127/I127),1.15)</f>
        <v>1.994345</v>
      </c>
      <c r="K127" s="59">
        <f>MAX('01_PARÂMETROS'!$B$11,MIN('01_PARÂMETROS'!$B$12,J127))</f>
        <v>1.4</v>
      </c>
      <c r="L127" s="60">
        <f t="shared" si="5"/>
        <v>0.39999999999999991</v>
      </c>
      <c r="M127" s="29" t="str">
        <f>IF(K127&lt;='01_PARÂMETROS'!$B$14,"Preferencial",IF(K127&lt;='01_PARÂMETROS'!$B$15,"Baixo",IF(K127&lt;='01_PARÂMETROS'!$B$16,"Médio",IF(K127&lt;='01_PARÂMETROS'!$B$17,"Alto","Elevado"))))</f>
        <v>Elevado</v>
      </c>
      <c r="N127" s="48" t="s">
        <v>478</v>
      </c>
      <c r="O127" s="54"/>
    </row>
    <row r="128" spans="1:15" ht="13.5" customHeight="1" x14ac:dyDescent="0.25">
      <c r="A128" s="13" t="s">
        <v>612</v>
      </c>
      <c r="B128" s="49" t="s">
        <v>610</v>
      </c>
      <c r="C128" s="14" t="s">
        <v>367</v>
      </c>
      <c r="D128" s="50" t="s">
        <v>611</v>
      </c>
      <c r="E128" s="64" t="s">
        <v>566</v>
      </c>
      <c r="F128" s="41">
        <f>'03_FONTE_FAP'!F124</f>
        <v>98.486999999999995</v>
      </c>
      <c r="G128" s="42">
        <f>'03_FONTE_FAP'!K124</f>
        <v>98.586500000000001</v>
      </c>
      <c r="H128" s="21">
        <f>'03_FONTE_FAP'!M124</f>
        <v>98.536749999999998</v>
      </c>
      <c r="I128" s="43">
        <f>'01_PARÂMETROS'!$B$9</f>
        <v>50</v>
      </c>
      <c r="J128" s="44">
        <f>IFERROR(IF(H128=0,1.15,H128/I128),1.15)</f>
        <v>1.9707349999999999</v>
      </c>
      <c r="K128" s="59">
        <f>MAX('01_PARÂMETROS'!$B$11,MIN('01_PARÂMETROS'!$B$12,J128))</f>
        <v>1.4</v>
      </c>
      <c r="L128" s="60">
        <f t="shared" si="5"/>
        <v>0.39999999999999991</v>
      </c>
      <c r="M128" s="29" t="str">
        <f>IF(K128&lt;='01_PARÂMETROS'!$B$14,"Preferencial",IF(K128&lt;='01_PARÂMETROS'!$B$15,"Baixo",IF(K128&lt;='01_PARÂMETROS'!$B$16,"Médio",IF(K128&lt;='01_PARÂMETROS'!$B$17,"Alto","Elevado"))))</f>
        <v>Elevado</v>
      </c>
      <c r="N128" s="48" t="s">
        <v>478</v>
      </c>
      <c r="O128" s="61"/>
    </row>
    <row r="129" spans="1:15" ht="13.5" customHeight="1" x14ac:dyDescent="0.25">
      <c r="A129" s="24" t="s">
        <v>613</v>
      </c>
      <c r="B129" s="38" t="s">
        <v>610</v>
      </c>
      <c r="C129" s="25" t="s">
        <v>369</v>
      </c>
      <c r="D129" s="39" t="s">
        <v>614</v>
      </c>
      <c r="E129" s="64" t="s">
        <v>566</v>
      </c>
      <c r="F129" s="41">
        <f>'03_FONTE_FAP'!F125</f>
        <v>39.135499999999993</v>
      </c>
      <c r="G129" s="42">
        <f>'03_FONTE_FAP'!K125</f>
        <v>36.020499999999998</v>
      </c>
      <c r="H129" s="21">
        <f>'03_FONTE_FAP'!M125</f>
        <v>37.577999999999996</v>
      </c>
      <c r="I129" s="43">
        <f>'01_PARÂMETROS'!$B$9</f>
        <v>50</v>
      </c>
      <c r="J129" s="44">
        <f>IFERROR(IF(H129=0,1.15,H129/I129),1.15)</f>
        <v>0.75155999999999989</v>
      </c>
      <c r="K129" s="51">
        <f>MAX('01_PARÂMETROS'!$B$11,MIN('01_PARÂMETROS'!$B$12,J129))</f>
        <v>0.75155999999999989</v>
      </c>
      <c r="L129" s="52">
        <f t="shared" si="5"/>
        <v>-0.24844000000000011</v>
      </c>
      <c r="M129" s="53" t="str">
        <f>IF(K129&lt;='01_PARÂMETROS'!$B$14,"Preferencial",IF(K129&lt;='01_PARÂMETROS'!$B$15,"Baixo",IF(K129&lt;='01_PARÂMETROS'!$B$16,"Médio",IF(K129&lt;='01_PARÂMETROS'!$B$17,"Alto","Elevado"))))</f>
        <v>Preferencial</v>
      </c>
      <c r="N129" s="48" t="s">
        <v>478</v>
      </c>
      <c r="O129" s="54"/>
    </row>
    <row r="130" spans="1:15" ht="13.5" customHeight="1" x14ac:dyDescent="0.25">
      <c r="A130" s="13" t="s">
        <v>615</v>
      </c>
      <c r="B130" s="49" t="s">
        <v>610</v>
      </c>
      <c r="C130" s="14" t="s">
        <v>371</v>
      </c>
      <c r="D130" s="50" t="s">
        <v>614</v>
      </c>
      <c r="E130" s="64" t="s">
        <v>566</v>
      </c>
      <c r="F130" s="41">
        <f>'03_FONTE_FAP'!F126</f>
        <v>0</v>
      </c>
      <c r="G130" s="42">
        <f>'03_FONTE_FAP'!K126</f>
        <v>15.109499999999999</v>
      </c>
      <c r="H130" s="21">
        <f>'03_FONTE_FAP'!M126</f>
        <v>15.109499999999999</v>
      </c>
      <c r="I130" s="43">
        <f>'01_PARÂMETROS'!$B$9</f>
        <v>50</v>
      </c>
      <c r="J130" s="44">
        <f>IFERROR(IF(H130=0,1.15,H130/I130),1.15)</f>
        <v>0.30218999999999996</v>
      </c>
      <c r="K130" s="51">
        <f>MAX('01_PARÂMETROS'!$B$11,MIN('01_PARÂMETROS'!$B$12,J130))</f>
        <v>0.75</v>
      </c>
      <c r="L130" s="52">
        <f t="shared" si="5"/>
        <v>-0.25</v>
      </c>
      <c r="M130" s="53" t="str">
        <f>IF(K130&lt;='01_PARÂMETROS'!$B$14,"Preferencial",IF(K130&lt;='01_PARÂMETROS'!$B$15,"Baixo",IF(K130&lt;='01_PARÂMETROS'!$B$16,"Médio",IF(K130&lt;='01_PARÂMETROS'!$B$17,"Alto","Elevado"))))</f>
        <v>Preferencial</v>
      </c>
      <c r="N130" s="48" t="s">
        <v>478</v>
      </c>
      <c r="O130" s="61"/>
    </row>
    <row r="131" spans="1:15" ht="13.5" customHeight="1" x14ac:dyDescent="0.25">
      <c r="A131" s="24" t="s">
        <v>616</v>
      </c>
      <c r="B131" s="38" t="s">
        <v>610</v>
      </c>
      <c r="C131" s="25" t="s">
        <v>373</v>
      </c>
      <c r="D131" s="39" t="s">
        <v>614</v>
      </c>
      <c r="E131" s="64" t="s">
        <v>566</v>
      </c>
      <c r="F131" s="54" t="s">
        <v>485</v>
      </c>
      <c r="G131" s="54" t="s">
        <v>485</v>
      </c>
      <c r="H131" s="54" t="s">
        <v>485</v>
      </c>
      <c r="I131" s="43">
        <f>'01_PARÂMETROS'!$B$9</f>
        <v>50</v>
      </c>
      <c r="J131" s="44">
        <f>1.15</f>
        <v>1.1499999999999999</v>
      </c>
      <c r="K131" s="45">
        <f>MAX('01_PARÂMETROS'!$B$11,MIN('01_PARÂMETROS'!$B$12,J131))</f>
        <v>1.1499999999999999</v>
      </c>
      <c r="L131" s="46">
        <f t="shared" si="5"/>
        <v>0.14999999999999991</v>
      </c>
      <c r="M131" s="47" t="str">
        <f>IF(K131&lt;='01_PARÂMETROS'!$B$14,"Preferencial",IF(K131&lt;='01_PARÂMETROS'!$B$15,"Baixo",IF(K131&lt;='01_PARÂMETROS'!$B$16,"Médio",IF(K131&lt;='01_PARÂMETROS'!$B$17,"Alto","Elevado"))))</f>
        <v>Alto</v>
      </c>
      <c r="N131" s="58" t="s">
        <v>486</v>
      </c>
      <c r="O131" s="54"/>
    </row>
    <row r="132" spans="1:15" ht="13.5" customHeight="1" x14ac:dyDescent="0.25">
      <c r="A132" s="13" t="s">
        <v>617</v>
      </c>
      <c r="B132" s="49" t="s">
        <v>610</v>
      </c>
      <c r="C132" s="14" t="s">
        <v>375</v>
      </c>
      <c r="D132" s="50" t="s">
        <v>618</v>
      </c>
      <c r="E132" s="64" t="s">
        <v>566</v>
      </c>
      <c r="F132" s="41">
        <f>'03_FONTE_FAP'!F128</f>
        <v>29.862499999999997</v>
      </c>
      <c r="G132" s="42">
        <f>'03_FONTE_FAP'!K128</f>
        <v>29.991999999999997</v>
      </c>
      <c r="H132" s="21">
        <f>'03_FONTE_FAP'!M128</f>
        <v>29.927249999999997</v>
      </c>
      <c r="I132" s="43">
        <f>'01_PARÂMETROS'!$B$9</f>
        <v>50</v>
      </c>
      <c r="J132" s="44">
        <f t="shared" ref="J132:J141" si="8">IFERROR(IF(H132=0,1.15,H132/I132),1.15)</f>
        <v>0.59854499999999999</v>
      </c>
      <c r="K132" s="51">
        <f>MAX('01_PARÂMETROS'!$B$11,MIN('01_PARÂMETROS'!$B$12,J132))</f>
        <v>0.75</v>
      </c>
      <c r="L132" s="52">
        <f t="shared" si="5"/>
        <v>-0.25</v>
      </c>
      <c r="M132" s="53" t="str">
        <f>IF(K132&lt;='01_PARÂMETROS'!$B$14,"Preferencial",IF(K132&lt;='01_PARÂMETROS'!$B$15,"Baixo",IF(K132&lt;='01_PARÂMETROS'!$B$16,"Médio",IF(K132&lt;='01_PARÂMETROS'!$B$17,"Alto","Elevado"))))</f>
        <v>Preferencial</v>
      </c>
      <c r="N132" s="48" t="s">
        <v>478</v>
      </c>
      <c r="O132" s="61"/>
    </row>
    <row r="133" spans="1:15" ht="13.5" customHeight="1" x14ac:dyDescent="0.25">
      <c r="A133" s="24" t="s">
        <v>619</v>
      </c>
      <c r="B133" s="38" t="s">
        <v>610</v>
      </c>
      <c r="C133" s="25" t="s">
        <v>377</v>
      </c>
      <c r="D133" s="39" t="s">
        <v>618</v>
      </c>
      <c r="E133" s="64" t="s">
        <v>566</v>
      </c>
      <c r="F133" s="41">
        <f>'03_FONTE_FAP'!F129</f>
        <v>38.243499999999997</v>
      </c>
      <c r="G133" s="42">
        <f>'03_FONTE_FAP'!K129</f>
        <v>28.881</v>
      </c>
      <c r="H133" s="21">
        <f>'03_FONTE_FAP'!M129</f>
        <v>33.562249999999999</v>
      </c>
      <c r="I133" s="43">
        <f>'01_PARÂMETROS'!$B$9</f>
        <v>50</v>
      </c>
      <c r="J133" s="44">
        <f t="shared" si="8"/>
        <v>0.67124499999999998</v>
      </c>
      <c r="K133" s="51">
        <f>MAX('01_PARÂMETROS'!$B$11,MIN('01_PARÂMETROS'!$B$12,J133))</f>
        <v>0.75</v>
      </c>
      <c r="L133" s="52">
        <f t="shared" ref="L133:L196" si="9">(K133-1)</f>
        <v>-0.25</v>
      </c>
      <c r="M133" s="53" t="str">
        <f>IF(K133&lt;='01_PARÂMETROS'!$B$14,"Preferencial",IF(K133&lt;='01_PARÂMETROS'!$B$15,"Baixo",IF(K133&lt;='01_PARÂMETROS'!$B$16,"Médio",IF(K133&lt;='01_PARÂMETROS'!$B$17,"Alto","Elevado"))))</f>
        <v>Preferencial</v>
      </c>
      <c r="N133" s="48" t="s">
        <v>478</v>
      </c>
      <c r="O133" s="54"/>
    </row>
    <row r="134" spans="1:15" ht="13.5" customHeight="1" x14ac:dyDescent="0.25">
      <c r="A134" s="13" t="s">
        <v>620</v>
      </c>
      <c r="B134" s="49" t="s">
        <v>610</v>
      </c>
      <c r="C134" s="14" t="s">
        <v>379</v>
      </c>
      <c r="D134" s="50" t="s">
        <v>618</v>
      </c>
      <c r="E134" s="64" t="s">
        <v>566</v>
      </c>
      <c r="F134" s="41">
        <f>'03_FONTE_FAP'!F130</f>
        <v>11.362</v>
      </c>
      <c r="G134" s="42">
        <f>'03_FONTE_FAP'!K130</f>
        <v>6.3759999999999994</v>
      </c>
      <c r="H134" s="21">
        <f>'03_FONTE_FAP'!M130</f>
        <v>8.8689999999999998</v>
      </c>
      <c r="I134" s="43">
        <f>'01_PARÂMETROS'!$B$9</f>
        <v>50</v>
      </c>
      <c r="J134" s="44">
        <f t="shared" si="8"/>
        <v>0.17737999999999998</v>
      </c>
      <c r="K134" s="51">
        <f>MAX('01_PARÂMETROS'!$B$11,MIN('01_PARÂMETROS'!$B$12,J134))</f>
        <v>0.75</v>
      </c>
      <c r="L134" s="52">
        <f t="shared" si="9"/>
        <v>-0.25</v>
      </c>
      <c r="M134" s="53" t="str">
        <f>IF(K134&lt;='01_PARÂMETROS'!$B$14,"Preferencial",IF(K134&lt;='01_PARÂMETROS'!$B$15,"Baixo",IF(K134&lt;='01_PARÂMETROS'!$B$16,"Médio",IF(K134&lt;='01_PARÂMETROS'!$B$17,"Alto","Elevado"))))</f>
        <v>Preferencial</v>
      </c>
      <c r="N134" s="48" t="s">
        <v>478</v>
      </c>
      <c r="O134" s="29" t="s">
        <v>3360</v>
      </c>
    </row>
    <row r="135" spans="1:15" ht="13.5" customHeight="1" x14ac:dyDescent="0.25">
      <c r="A135" s="24" t="s">
        <v>621</v>
      </c>
      <c r="B135" s="38" t="s">
        <v>610</v>
      </c>
      <c r="C135" s="25" t="s">
        <v>381</v>
      </c>
      <c r="D135" s="39" t="s">
        <v>618</v>
      </c>
      <c r="E135" s="64" t="s">
        <v>566</v>
      </c>
      <c r="F135" s="41">
        <f>'03_FONTE_FAP'!F131</f>
        <v>84.951000000000008</v>
      </c>
      <c r="G135" s="42">
        <f>'03_FONTE_FAP'!K131</f>
        <v>73.034499999999994</v>
      </c>
      <c r="H135" s="21">
        <f>'03_FONTE_FAP'!M131</f>
        <v>78.992750000000001</v>
      </c>
      <c r="I135" s="43">
        <f>'01_PARÂMETROS'!$B$9</f>
        <v>50</v>
      </c>
      <c r="J135" s="44">
        <f t="shared" si="8"/>
        <v>1.579855</v>
      </c>
      <c r="K135" s="59">
        <f>MAX('01_PARÂMETROS'!$B$11,MIN('01_PARÂMETROS'!$B$12,J135))</f>
        <v>1.4</v>
      </c>
      <c r="L135" s="60">
        <f t="shared" si="9"/>
        <v>0.39999999999999991</v>
      </c>
      <c r="M135" s="29" t="str">
        <f>IF(K135&lt;='01_PARÂMETROS'!$B$14,"Preferencial",IF(K135&lt;='01_PARÂMETROS'!$B$15,"Baixo",IF(K135&lt;='01_PARÂMETROS'!$B$16,"Médio",IF(K135&lt;='01_PARÂMETROS'!$B$17,"Alto","Elevado"))))</f>
        <v>Elevado</v>
      </c>
      <c r="N135" s="48" t="s">
        <v>478</v>
      </c>
      <c r="O135" s="29" t="s">
        <v>3360</v>
      </c>
    </row>
    <row r="136" spans="1:15" ht="13.5" customHeight="1" x14ac:dyDescent="0.25">
      <c r="A136" s="13" t="s">
        <v>622</v>
      </c>
      <c r="B136" s="49" t="s">
        <v>610</v>
      </c>
      <c r="C136" s="14" t="s">
        <v>383</v>
      </c>
      <c r="D136" s="50" t="s">
        <v>618</v>
      </c>
      <c r="E136" s="64" t="s">
        <v>566</v>
      </c>
      <c r="F136" s="41">
        <f>'03_FONTE_FAP'!F132</f>
        <v>35.164500000000004</v>
      </c>
      <c r="G136" s="42">
        <f>'03_FONTE_FAP'!K132</f>
        <v>60.146000000000001</v>
      </c>
      <c r="H136" s="21">
        <f>'03_FONTE_FAP'!M132</f>
        <v>47.655250000000002</v>
      </c>
      <c r="I136" s="43">
        <f>'01_PARÂMETROS'!$B$9</f>
        <v>50</v>
      </c>
      <c r="J136" s="44">
        <f t="shared" si="8"/>
        <v>0.95310500000000009</v>
      </c>
      <c r="K136" s="55">
        <f>MAX('01_PARÂMETROS'!$B$11,MIN('01_PARÂMETROS'!$B$12,J136))</f>
        <v>0.95310500000000009</v>
      </c>
      <c r="L136" s="56">
        <f t="shared" si="9"/>
        <v>-4.6894999999999909E-2</v>
      </c>
      <c r="M136" s="57" t="str">
        <f>IF(K136&lt;='01_PARÂMETROS'!$B$14,"Preferencial",IF(K136&lt;='01_PARÂMETROS'!$B$15,"Baixo",IF(K136&lt;='01_PARÂMETROS'!$B$16,"Médio",IF(K136&lt;='01_PARÂMETROS'!$B$17,"Alto","Elevado"))))</f>
        <v>Médio</v>
      </c>
      <c r="N136" s="48" t="s">
        <v>478</v>
      </c>
      <c r="O136" s="61"/>
    </row>
    <row r="137" spans="1:15" ht="13.5" customHeight="1" x14ac:dyDescent="0.25">
      <c r="A137" s="24" t="s">
        <v>623</v>
      </c>
      <c r="B137" s="38" t="s">
        <v>610</v>
      </c>
      <c r="C137" s="25" t="s">
        <v>385</v>
      </c>
      <c r="D137" s="39" t="s">
        <v>618</v>
      </c>
      <c r="E137" s="64" t="s">
        <v>566</v>
      </c>
      <c r="F137" s="41">
        <f>'03_FONTE_FAP'!F133</f>
        <v>36.692999999999998</v>
      </c>
      <c r="G137" s="42">
        <f>'03_FONTE_FAP'!K133</f>
        <v>41.044499999999999</v>
      </c>
      <c r="H137" s="21">
        <f>'03_FONTE_FAP'!M133</f>
        <v>38.868749999999999</v>
      </c>
      <c r="I137" s="43">
        <f>'01_PARÂMETROS'!$B$9</f>
        <v>50</v>
      </c>
      <c r="J137" s="44">
        <f t="shared" si="8"/>
        <v>0.77737499999999993</v>
      </c>
      <c r="K137" s="51">
        <f>MAX('01_PARÂMETROS'!$B$11,MIN('01_PARÂMETROS'!$B$12,J137))</f>
        <v>0.77737499999999993</v>
      </c>
      <c r="L137" s="52">
        <f t="shared" si="9"/>
        <v>-0.22262500000000007</v>
      </c>
      <c r="M137" s="53" t="str">
        <f>IF(K137&lt;='01_PARÂMETROS'!$B$14,"Preferencial",IF(K137&lt;='01_PARÂMETROS'!$B$15,"Baixo",IF(K137&lt;='01_PARÂMETROS'!$B$16,"Médio",IF(K137&lt;='01_PARÂMETROS'!$B$17,"Alto","Elevado"))))</f>
        <v>Preferencial</v>
      </c>
      <c r="N137" s="48" t="s">
        <v>478</v>
      </c>
      <c r="O137" s="54"/>
    </row>
    <row r="138" spans="1:15" ht="13.5" customHeight="1" x14ac:dyDescent="0.25">
      <c r="A138" s="13" t="s">
        <v>624</v>
      </c>
      <c r="B138" s="49" t="s">
        <v>610</v>
      </c>
      <c r="C138" s="14" t="s">
        <v>387</v>
      </c>
      <c r="D138" s="50" t="s">
        <v>618</v>
      </c>
      <c r="E138" s="64" t="s">
        <v>566</v>
      </c>
      <c r="F138" s="41">
        <f>'03_FONTE_FAP'!F134</f>
        <v>75.688999999999993</v>
      </c>
      <c r="G138" s="42">
        <f>'03_FONTE_FAP'!K134</f>
        <v>60.121499999999997</v>
      </c>
      <c r="H138" s="21">
        <f>'03_FONTE_FAP'!M134</f>
        <v>67.905249999999995</v>
      </c>
      <c r="I138" s="43">
        <f>'01_PARÂMETROS'!$B$9</f>
        <v>50</v>
      </c>
      <c r="J138" s="44">
        <f t="shared" si="8"/>
        <v>1.3581049999999999</v>
      </c>
      <c r="K138" s="59">
        <f>MAX('01_PARÂMETROS'!$B$11,MIN('01_PARÂMETROS'!$B$12,J138))</f>
        <v>1.3581049999999999</v>
      </c>
      <c r="L138" s="60">
        <f t="shared" si="9"/>
        <v>0.3581049999999999</v>
      </c>
      <c r="M138" s="29" t="str">
        <f>IF(K138&lt;='01_PARÂMETROS'!$B$14,"Preferencial",IF(K138&lt;='01_PARÂMETROS'!$B$15,"Baixo",IF(K138&lt;='01_PARÂMETROS'!$B$16,"Médio",IF(K138&lt;='01_PARÂMETROS'!$B$17,"Alto","Elevado"))))</f>
        <v>Elevado</v>
      </c>
      <c r="N138" s="48" t="s">
        <v>478</v>
      </c>
      <c r="O138" s="61"/>
    </row>
    <row r="139" spans="1:15" ht="13.5" customHeight="1" x14ac:dyDescent="0.25">
      <c r="A139" s="24" t="s">
        <v>625</v>
      </c>
      <c r="B139" s="38" t="s">
        <v>610</v>
      </c>
      <c r="C139" s="25" t="s">
        <v>389</v>
      </c>
      <c r="D139" s="39" t="s">
        <v>618</v>
      </c>
      <c r="E139" s="64" t="s">
        <v>566</v>
      </c>
      <c r="F139" s="41">
        <f>'03_FONTE_FAP'!F135</f>
        <v>89.535499999999999</v>
      </c>
      <c r="G139" s="42">
        <f>'03_FONTE_FAP'!K135</f>
        <v>89.986500000000007</v>
      </c>
      <c r="H139" s="21">
        <f>'03_FONTE_FAP'!M135</f>
        <v>89.760999999999996</v>
      </c>
      <c r="I139" s="43">
        <f>'01_PARÂMETROS'!$B$9</f>
        <v>50</v>
      </c>
      <c r="J139" s="44">
        <f t="shared" si="8"/>
        <v>1.7952199999999998</v>
      </c>
      <c r="K139" s="59">
        <f>MAX('01_PARÂMETROS'!$B$11,MIN('01_PARÂMETROS'!$B$12,J139))</f>
        <v>1.4</v>
      </c>
      <c r="L139" s="60">
        <f t="shared" si="9"/>
        <v>0.39999999999999991</v>
      </c>
      <c r="M139" s="29" t="str">
        <f>IF(K139&lt;='01_PARÂMETROS'!$B$14,"Preferencial",IF(K139&lt;='01_PARÂMETROS'!$B$15,"Baixo",IF(K139&lt;='01_PARÂMETROS'!$B$16,"Médio",IF(K139&lt;='01_PARÂMETROS'!$B$17,"Alto","Elevado"))))</f>
        <v>Elevado</v>
      </c>
      <c r="N139" s="48" t="s">
        <v>478</v>
      </c>
      <c r="O139" s="54"/>
    </row>
    <row r="140" spans="1:15" ht="13.5" customHeight="1" x14ac:dyDescent="0.25">
      <c r="A140" s="13" t="s">
        <v>626</v>
      </c>
      <c r="B140" s="49" t="s">
        <v>610</v>
      </c>
      <c r="C140" s="14" t="s">
        <v>391</v>
      </c>
      <c r="D140" s="50" t="s">
        <v>618</v>
      </c>
      <c r="E140" s="64" t="s">
        <v>566</v>
      </c>
      <c r="F140" s="41">
        <f>'03_FONTE_FAP'!F136</f>
        <v>45.501999999999995</v>
      </c>
      <c r="G140" s="42">
        <f>'03_FONTE_FAP'!K136</f>
        <v>38.082999999999998</v>
      </c>
      <c r="H140" s="21">
        <f>'03_FONTE_FAP'!M136</f>
        <v>41.792499999999997</v>
      </c>
      <c r="I140" s="43">
        <f>'01_PARÂMETROS'!$B$9</f>
        <v>50</v>
      </c>
      <c r="J140" s="44">
        <f t="shared" si="8"/>
        <v>0.83584999999999998</v>
      </c>
      <c r="K140" s="51">
        <f>MAX('01_PARÂMETROS'!$B$11,MIN('01_PARÂMETROS'!$B$12,J140))</f>
        <v>0.83584999999999998</v>
      </c>
      <c r="L140" s="52">
        <f t="shared" si="9"/>
        <v>-0.16415000000000002</v>
      </c>
      <c r="M140" s="53" t="str">
        <f>IF(K140&lt;='01_PARÂMETROS'!$B$14,"Preferencial",IF(K140&lt;='01_PARÂMETROS'!$B$15,"Baixo",IF(K140&lt;='01_PARÂMETROS'!$B$16,"Médio",IF(K140&lt;='01_PARÂMETROS'!$B$17,"Alto","Elevado"))))</f>
        <v>Preferencial</v>
      </c>
      <c r="N140" s="48" t="s">
        <v>478</v>
      </c>
      <c r="O140" s="61"/>
    </row>
    <row r="141" spans="1:15" ht="13.5" customHeight="1" x14ac:dyDescent="0.25">
      <c r="A141" s="24" t="s">
        <v>627</v>
      </c>
      <c r="B141" s="38" t="s">
        <v>610</v>
      </c>
      <c r="C141" s="25" t="s">
        <v>393</v>
      </c>
      <c r="D141" s="39" t="s">
        <v>618</v>
      </c>
      <c r="E141" s="64" t="s">
        <v>566</v>
      </c>
      <c r="F141" s="41">
        <f>'03_FONTE_FAP'!F137</f>
        <v>30.9345</v>
      </c>
      <c r="G141" s="42">
        <f>'03_FONTE_FAP'!K137</f>
        <v>12.827499999999999</v>
      </c>
      <c r="H141" s="21">
        <f>'03_FONTE_FAP'!M137</f>
        <v>21.881</v>
      </c>
      <c r="I141" s="43">
        <f>'01_PARÂMETROS'!$B$9</f>
        <v>50</v>
      </c>
      <c r="J141" s="44">
        <f t="shared" si="8"/>
        <v>0.43762000000000001</v>
      </c>
      <c r="K141" s="51">
        <f>MAX('01_PARÂMETROS'!$B$11,MIN('01_PARÂMETROS'!$B$12,J141))</f>
        <v>0.75</v>
      </c>
      <c r="L141" s="52">
        <f t="shared" si="9"/>
        <v>-0.25</v>
      </c>
      <c r="M141" s="53" t="str">
        <f>IF(K141&lt;='01_PARÂMETROS'!$B$14,"Preferencial",IF(K141&lt;='01_PARÂMETROS'!$B$15,"Baixo",IF(K141&lt;='01_PARÂMETROS'!$B$16,"Médio",IF(K141&lt;='01_PARÂMETROS'!$B$17,"Alto","Elevado"))))</f>
        <v>Preferencial</v>
      </c>
      <c r="N141" s="48" t="s">
        <v>478</v>
      </c>
      <c r="O141" s="54"/>
    </row>
    <row r="142" spans="1:15" ht="13.5" customHeight="1" x14ac:dyDescent="0.25">
      <c r="A142" s="13" t="s">
        <v>628</v>
      </c>
      <c r="B142" s="49" t="s">
        <v>610</v>
      </c>
      <c r="C142" s="14" t="s">
        <v>395</v>
      </c>
      <c r="D142" s="50" t="s">
        <v>618</v>
      </c>
      <c r="E142" s="64" t="s">
        <v>566</v>
      </c>
      <c r="F142" s="54" t="s">
        <v>485</v>
      </c>
      <c r="G142" s="54" t="s">
        <v>485</v>
      </c>
      <c r="H142" s="54" t="s">
        <v>485</v>
      </c>
      <c r="I142" s="43">
        <f>'01_PARÂMETROS'!$B$9</f>
        <v>50</v>
      </c>
      <c r="J142" s="44">
        <f>1.15</f>
        <v>1.1499999999999999</v>
      </c>
      <c r="K142" s="45">
        <f>MAX('01_PARÂMETROS'!$B$11,MIN('01_PARÂMETROS'!$B$12,J142))</f>
        <v>1.1499999999999999</v>
      </c>
      <c r="L142" s="46">
        <f t="shared" si="9"/>
        <v>0.14999999999999991</v>
      </c>
      <c r="M142" s="47" t="str">
        <f>IF(K142&lt;='01_PARÂMETROS'!$B$14,"Preferencial",IF(K142&lt;='01_PARÂMETROS'!$B$15,"Baixo",IF(K142&lt;='01_PARÂMETROS'!$B$16,"Médio",IF(K142&lt;='01_PARÂMETROS'!$B$17,"Alto","Elevado"))))</f>
        <v>Alto</v>
      </c>
      <c r="N142" s="58" t="s">
        <v>486</v>
      </c>
      <c r="O142" s="61"/>
    </row>
    <row r="143" spans="1:15" ht="13.5" customHeight="1" x14ac:dyDescent="0.25">
      <c r="A143" s="24" t="s">
        <v>629</v>
      </c>
      <c r="B143" s="38" t="s">
        <v>610</v>
      </c>
      <c r="C143" s="25" t="s">
        <v>398</v>
      </c>
      <c r="D143" s="39" t="s">
        <v>618</v>
      </c>
      <c r="E143" s="64" t="s">
        <v>566</v>
      </c>
      <c r="F143" s="41">
        <f>'03_FONTE_FAP'!F139</f>
        <v>10.076499999999999</v>
      </c>
      <c r="G143" s="42">
        <f>'03_FONTE_FAP'!K139</f>
        <v>0</v>
      </c>
      <c r="H143" s="21">
        <f>'03_FONTE_FAP'!M139</f>
        <v>10.076499999999999</v>
      </c>
      <c r="I143" s="43">
        <f>'01_PARÂMETROS'!$B$9</f>
        <v>50</v>
      </c>
      <c r="J143" s="44">
        <f t="shared" ref="J143:J171" si="10">IFERROR(IF(H143=0,1.15,H143/I143),1.15)</f>
        <v>0.20152999999999999</v>
      </c>
      <c r="K143" s="51">
        <f>MAX('01_PARÂMETROS'!$B$11,MIN('01_PARÂMETROS'!$B$12,J143))</f>
        <v>0.75</v>
      </c>
      <c r="L143" s="52">
        <f t="shared" si="9"/>
        <v>-0.25</v>
      </c>
      <c r="M143" s="53" t="str">
        <f>IF(K143&lt;='01_PARÂMETROS'!$B$14,"Preferencial",IF(K143&lt;='01_PARÂMETROS'!$B$15,"Baixo",IF(K143&lt;='01_PARÂMETROS'!$B$16,"Médio",IF(K143&lt;='01_PARÂMETROS'!$B$17,"Alto","Elevado"))))</f>
        <v>Preferencial</v>
      </c>
      <c r="N143" s="48" t="s">
        <v>478</v>
      </c>
      <c r="O143" s="29" t="s">
        <v>3360</v>
      </c>
    </row>
    <row r="144" spans="1:15" ht="13.5" customHeight="1" x14ac:dyDescent="0.25">
      <c r="A144" s="13" t="s">
        <v>630</v>
      </c>
      <c r="B144" s="49" t="s">
        <v>610</v>
      </c>
      <c r="C144" s="14" t="s">
        <v>400</v>
      </c>
      <c r="D144" s="50" t="s">
        <v>618</v>
      </c>
      <c r="E144" s="64" t="s">
        <v>566</v>
      </c>
      <c r="F144" s="41">
        <f>'03_FONTE_FAP'!F140</f>
        <v>2.2854999999999999</v>
      </c>
      <c r="G144" s="42">
        <f>'03_FONTE_FAP'!K140</f>
        <v>14.288500000000001</v>
      </c>
      <c r="H144" s="21">
        <f>'03_FONTE_FAP'!M140</f>
        <v>8.2870000000000008</v>
      </c>
      <c r="I144" s="43">
        <f>'01_PARÂMETROS'!$B$9</f>
        <v>50</v>
      </c>
      <c r="J144" s="44">
        <f t="shared" si="10"/>
        <v>0.16574000000000003</v>
      </c>
      <c r="K144" s="51">
        <f>MAX('01_PARÂMETROS'!$B$11,MIN('01_PARÂMETROS'!$B$12,J144))</f>
        <v>0.75</v>
      </c>
      <c r="L144" s="52">
        <f t="shared" si="9"/>
        <v>-0.25</v>
      </c>
      <c r="M144" s="53" t="str">
        <f>IF(K144&lt;='01_PARÂMETROS'!$B$14,"Preferencial",IF(K144&lt;='01_PARÂMETROS'!$B$15,"Baixo",IF(K144&lt;='01_PARÂMETROS'!$B$16,"Médio",IF(K144&lt;='01_PARÂMETROS'!$B$17,"Alto","Elevado"))))</f>
        <v>Preferencial</v>
      </c>
      <c r="N144" s="48" t="s">
        <v>478</v>
      </c>
      <c r="O144" s="29" t="s">
        <v>3360</v>
      </c>
    </row>
    <row r="145" spans="1:15" ht="13.5" customHeight="1" x14ac:dyDescent="0.25">
      <c r="A145" s="24" t="s">
        <v>631</v>
      </c>
      <c r="B145" s="38" t="s">
        <v>610</v>
      </c>
      <c r="C145" s="25" t="s">
        <v>402</v>
      </c>
      <c r="D145" s="39" t="s">
        <v>618</v>
      </c>
      <c r="E145" s="64" t="s">
        <v>566</v>
      </c>
      <c r="F145" s="41">
        <f>'03_FONTE_FAP'!F141</f>
        <v>36.915999999999997</v>
      </c>
      <c r="G145" s="42">
        <f>'03_FONTE_FAP'!K141</f>
        <v>26.377500000000001</v>
      </c>
      <c r="H145" s="21">
        <f>'03_FONTE_FAP'!M141</f>
        <v>31.646749999999997</v>
      </c>
      <c r="I145" s="43">
        <f>'01_PARÂMETROS'!$B$9</f>
        <v>50</v>
      </c>
      <c r="J145" s="44">
        <f t="shared" si="10"/>
        <v>0.63293499999999991</v>
      </c>
      <c r="K145" s="51">
        <f>MAX('01_PARÂMETROS'!$B$11,MIN('01_PARÂMETROS'!$B$12,J145))</f>
        <v>0.75</v>
      </c>
      <c r="L145" s="52">
        <f t="shared" si="9"/>
        <v>-0.25</v>
      </c>
      <c r="M145" s="53" t="str">
        <f>IF(K145&lt;='01_PARÂMETROS'!$B$14,"Preferencial",IF(K145&lt;='01_PARÂMETROS'!$B$15,"Baixo",IF(K145&lt;='01_PARÂMETROS'!$B$16,"Médio",IF(K145&lt;='01_PARÂMETROS'!$B$17,"Alto","Elevado"))))</f>
        <v>Preferencial</v>
      </c>
      <c r="N145" s="48" t="s">
        <v>478</v>
      </c>
      <c r="O145" s="29" t="s">
        <v>3360</v>
      </c>
    </row>
    <row r="146" spans="1:15" ht="13.5" customHeight="1" x14ac:dyDescent="0.25">
      <c r="A146" s="13" t="s">
        <v>632</v>
      </c>
      <c r="B146" s="49" t="s">
        <v>610</v>
      </c>
      <c r="C146" s="14" t="s">
        <v>404</v>
      </c>
      <c r="D146" s="50" t="s">
        <v>618</v>
      </c>
      <c r="E146" s="64" t="s">
        <v>566</v>
      </c>
      <c r="F146" s="41">
        <f>'03_FONTE_FAP'!F142</f>
        <v>46.502000000000002</v>
      </c>
      <c r="G146" s="42">
        <f>'03_FONTE_FAP'!K142</f>
        <v>40.338499999999996</v>
      </c>
      <c r="H146" s="21">
        <f>'03_FONTE_FAP'!M142</f>
        <v>43.420249999999996</v>
      </c>
      <c r="I146" s="43">
        <f>'01_PARÂMETROS'!$B$9</f>
        <v>50</v>
      </c>
      <c r="J146" s="44">
        <f t="shared" si="10"/>
        <v>0.86840499999999987</v>
      </c>
      <c r="K146" s="51">
        <f>MAX('01_PARÂMETROS'!$B$11,MIN('01_PARÂMETROS'!$B$12,J146))</f>
        <v>0.86840499999999987</v>
      </c>
      <c r="L146" s="52">
        <f t="shared" si="9"/>
        <v>-0.13159500000000013</v>
      </c>
      <c r="M146" s="53" t="str">
        <f>IF(K146&lt;='01_PARÂMETROS'!$B$14,"Preferencial",IF(K146&lt;='01_PARÂMETROS'!$B$15,"Baixo",IF(K146&lt;='01_PARÂMETROS'!$B$16,"Médio",IF(K146&lt;='01_PARÂMETROS'!$B$17,"Alto","Elevado"))))</f>
        <v>Preferencial</v>
      </c>
      <c r="N146" s="48" t="s">
        <v>478</v>
      </c>
      <c r="O146" s="29" t="s">
        <v>3360</v>
      </c>
    </row>
    <row r="147" spans="1:15" ht="13.5" customHeight="1" x14ac:dyDescent="0.25">
      <c r="A147" s="24" t="s">
        <v>633</v>
      </c>
      <c r="B147" s="38" t="s">
        <v>610</v>
      </c>
      <c r="C147" s="25" t="s">
        <v>406</v>
      </c>
      <c r="D147" s="39" t="s">
        <v>618</v>
      </c>
      <c r="E147" s="64" t="s">
        <v>566</v>
      </c>
      <c r="F147" s="41">
        <f>'03_FONTE_FAP'!F143</f>
        <v>62.278499999999994</v>
      </c>
      <c r="G147" s="42">
        <f>'03_FONTE_FAP'!K143</f>
        <v>48.507999999999996</v>
      </c>
      <c r="H147" s="21">
        <f>'03_FONTE_FAP'!M143</f>
        <v>55.393249999999995</v>
      </c>
      <c r="I147" s="43">
        <f>'01_PARÂMETROS'!$B$9</f>
        <v>50</v>
      </c>
      <c r="J147" s="44">
        <f t="shared" si="10"/>
        <v>1.1078649999999999</v>
      </c>
      <c r="K147" s="45">
        <f>MAX('01_PARÂMETROS'!$B$11,MIN('01_PARÂMETROS'!$B$12,J147))</f>
        <v>1.1078649999999999</v>
      </c>
      <c r="L147" s="46">
        <f t="shared" si="9"/>
        <v>0.10786499999999988</v>
      </c>
      <c r="M147" s="47" t="str">
        <f>IF(K147&lt;='01_PARÂMETROS'!$B$14,"Preferencial",IF(K147&lt;='01_PARÂMETROS'!$B$15,"Baixo",IF(K147&lt;='01_PARÂMETROS'!$B$16,"Médio",IF(K147&lt;='01_PARÂMETROS'!$B$17,"Alto","Elevado"))))</f>
        <v>Alto</v>
      </c>
      <c r="N147" s="48" t="s">
        <v>478</v>
      </c>
      <c r="O147" s="29" t="s">
        <v>3360</v>
      </c>
    </row>
    <row r="148" spans="1:15" ht="13.5" customHeight="1" x14ac:dyDescent="0.25">
      <c r="A148" s="13" t="s">
        <v>634</v>
      </c>
      <c r="B148" s="49" t="s">
        <v>610</v>
      </c>
      <c r="C148" s="14" t="s">
        <v>408</v>
      </c>
      <c r="D148" s="50" t="s">
        <v>618</v>
      </c>
      <c r="E148" s="64" t="s">
        <v>566</v>
      </c>
      <c r="F148" s="41">
        <f>'03_FONTE_FAP'!F144</f>
        <v>95.399499999999989</v>
      </c>
      <c r="G148" s="42">
        <f>'03_FONTE_FAP'!K144</f>
        <v>95.382999999999996</v>
      </c>
      <c r="H148" s="21">
        <f>'03_FONTE_FAP'!M144</f>
        <v>95.391249999999985</v>
      </c>
      <c r="I148" s="43">
        <f>'01_PARÂMETROS'!$B$9</f>
        <v>50</v>
      </c>
      <c r="J148" s="44">
        <f t="shared" si="10"/>
        <v>1.9078249999999997</v>
      </c>
      <c r="K148" s="59">
        <f>MAX('01_PARÂMETROS'!$B$11,MIN('01_PARÂMETROS'!$B$12,J148))</f>
        <v>1.4</v>
      </c>
      <c r="L148" s="60">
        <f t="shared" si="9"/>
        <v>0.39999999999999991</v>
      </c>
      <c r="M148" s="29" t="str">
        <f>IF(K148&lt;='01_PARÂMETROS'!$B$14,"Preferencial",IF(K148&lt;='01_PARÂMETROS'!$B$15,"Baixo",IF(K148&lt;='01_PARÂMETROS'!$B$16,"Médio",IF(K148&lt;='01_PARÂMETROS'!$B$17,"Alto","Elevado"))))</f>
        <v>Elevado</v>
      </c>
      <c r="N148" s="48" t="s">
        <v>478</v>
      </c>
      <c r="O148" s="29" t="s">
        <v>3360</v>
      </c>
    </row>
    <row r="149" spans="1:15" ht="13.5" customHeight="1" x14ac:dyDescent="0.25">
      <c r="A149" s="24" t="s">
        <v>635</v>
      </c>
      <c r="B149" s="38" t="s">
        <v>610</v>
      </c>
      <c r="C149" s="25" t="s">
        <v>410</v>
      </c>
      <c r="D149" s="39" t="s">
        <v>618</v>
      </c>
      <c r="E149" s="64" t="s">
        <v>566</v>
      </c>
      <c r="F149" s="41">
        <f>'03_FONTE_FAP'!F145</f>
        <v>94.475999999999999</v>
      </c>
      <c r="G149" s="42">
        <f>'03_FONTE_FAP'!K145</f>
        <v>92.488499999999988</v>
      </c>
      <c r="H149" s="21">
        <f>'03_FONTE_FAP'!M145</f>
        <v>93.482249999999993</v>
      </c>
      <c r="I149" s="43">
        <f>'01_PARÂMETROS'!$B$9</f>
        <v>50</v>
      </c>
      <c r="J149" s="44">
        <f t="shared" si="10"/>
        <v>1.8696449999999998</v>
      </c>
      <c r="K149" s="59">
        <f>MAX('01_PARÂMETROS'!$B$11,MIN('01_PARÂMETROS'!$B$12,J149))</f>
        <v>1.4</v>
      </c>
      <c r="L149" s="60">
        <f t="shared" si="9"/>
        <v>0.39999999999999991</v>
      </c>
      <c r="M149" s="29" t="str">
        <f>IF(K149&lt;='01_PARÂMETROS'!$B$14,"Preferencial",IF(K149&lt;='01_PARÂMETROS'!$B$15,"Baixo",IF(K149&lt;='01_PARÂMETROS'!$B$16,"Médio",IF(K149&lt;='01_PARÂMETROS'!$B$17,"Alto","Elevado"))))</f>
        <v>Elevado</v>
      </c>
      <c r="N149" s="48" t="s">
        <v>478</v>
      </c>
      <c r="O149" s="29" t="s">
        <v>3360</v>
      </c>
    </row>
    <row r="150" spans="1:15" ht="13.5" customHeight="1" x14ac:dyDescent="0.25">
      <c r="A150" s="13" t="s">
        <v>636</v>
      </c>
      <c r="B150" s="49" t="s">
        <v>610</v>
      </c>
      <c r="C150" s="14" t="s">
        <v>412</v>
      </c>
      <c r="D150" s="50" t="s">
        <v>618</v>
      </c>
      <c r="E150" s="64" t="s">
        <v>566</v>
      </c>
      <c r="F150" s="41">
        <f>'03_FONTE_FAP'!F146</f>
        <v>92.66</v>
      </c>
      <c r="G150" s="42">
        <f>'03_FONTE_FAP'!K146</f>
        <v>89.42649999999999</v>
      </c>
      <c r="H150" s="21">
        <f>'03_FONTE_FAP'!M146</f>
        <v>91.04325</v>
      </c>
      <c r="I150" s="43">
        <f>'01_PARÂMETROS'!$B$9</f>
        <v>50</v>
      </c>
      <c r="J150" s="44">
        <f t="shared" si="10"/>
        <v>1.820865</v>
      </c>
      <c r="K150" s="59">
        <f>MAX('01_PARÂMETROS'!$B$11,MIN('01_PARÂMETROS'!$B$12,J150))</f>
        <v>1.4</v>
      </c>
      <c r="L150" s="60">
        <f t="shared" si="9"/>
        <v>0.39999999999999991</v>
      </c>
      <c r="M150" s="29" t="str">
        <f>IF(K150&lt;='01_PARÂMETROS'!$B$14,"Preferencial",IF(K150&lt;='01_PARÂMETROS'!$B$15,"Baixo",IF(K150&lt;='01_PARÂMETROS'!$B$16,"Médio",IF(K150&lt;='01_PARÂMETROS'!$B$17,"Alto","Elevado"))))</f>
        <v>Elevado</v>
      </c>
      <c r="N150" s="48" t="s">
        <v>478</v>
      </c>
      <c r="O150" s="29" t="s">
        <v>3360</v>
      </c>
    </row>
    <row r="151" spans="1:15" ht="13.5" customHeight="1" x14ac:dyDescent="0.25">
      <c r="A151" s="24" t="s">
        <v>637</v>
      </c>
      <c r="B151" s="38" t="s">
        <v>610</v>
      </c>
      <c r="C151" s="25" t="s">
        <v>414</v>
      </c>
      <c r="D151" s="39" t="s">
        <v>618</v>
      </c>
      <c r="E151" s="64" t="s">
        <v>566</v>
      </c>
      <c r="F151" s="41">
        <f>'03_FONTE_FAP'!F147</f>
        <v>77.057999999999993</v>
      </c>
      <c r="G151" s="42">
        <f>'03_FONTE_FAP'!K147</f>
        <v>80.282499999999999</v>
      </c>
      <c r="H151" s="21">
        <f>'03_FONTE_FAP'!M147</f>
        <v>78.670249999999996</v>
      </c>
      <c r="I151" s="43">
        <f>'01_PARÂMETROS'!$B$9</f>
        <v>50</v>
      </c>
      <c r="J151" s="44">
        <f t="shared" si="10"/>
        <v>1.5734049999999999</v>
      </c>
      <c r="K151" s="59">
        <f>MAX('01_PARÂMETROS'!$B$11,MIN('01_PARÂMETROS'!$B$12,J151))</f>
        <v>1.4</v>
      </c>
      <c r="L151" s="60">
        <f t="shared" si="9"/>
        <v>0.39999999999999991</v>
      </c>
      <c r="M151" s="29" t="str">
        <f>IF(K151&lt;='01_PARÂMETROS'!$B$14,"Preferencial",IF(K151&lt;='01_PARÂMETROS'!$B$15,"Baixo",IF(K151&lt;='01_PARÂMETROS'!$B$16,"Médio",IF(K151&lt;='01_PARÂMETROS'!$B$17,"Alto","Elevado"))))</f>
        <v>Elevado</v>
      </c>
      <c r="N151" s="48" t="s">
        <v>478</v>
      </c>
      <c r="O151" s="29" t="s">
        <v>3360</v>
      </c>
    </row>
    <row r="152" spans="1:15" ht="13.5" customHeight="1" x14ac:dyDescent="0.25">
      <c r="A152" s="13" t="s">
        <v>638</v>
      </c>
      <c r="B152" s="49" t="s">
        <v>610</v>
      </c>
      <c r="C152" s="14" t="s">
        <v>416</v>
      </c>
      <c r="D152" s="50" t="s">
        <v>618</v>
      </c>
      <c r="E152" s="64" t="s">
        <v>566</v>
      </c>
      <c r="F152" s="41">
        <f>'03_FONTE_FAP'!F148</f>
        <v>76.373499999999993</v>
      </c>
      <c r="G152" s="42">
        <f>'03_FONTE_FAP'!K148</f>
        <v>72.849500000000006</v>
      </c>
      <c r="H152" s="21">
        <f>'03_FONTE_FAP'!M148</f>
        <v>74.611500000000007</v>
      </c>
      <c r="I152" s="43">
        <f>'01_PARÂMETROS'!$B$9</f>
        <v>50</v>
      </c>
      <c r="J152" s="44">
        <f t="shared" si="10"/>
        <v>1.4922300000000002</v>
      </c>
      <c r="K152" s="59">
        <f>MAX('01_PARÂMETROS'!$B$11,MIN('01_PARÂMETROS'!$B$12,J152))</f>
        <v>1.4</v>
      </c>
      <c r="L152" s="60">
        <f t="shared" si="9"/>
        <v>0.39999999999999991</v>
      </c>
      <c r="M152" s="29" t="str">
        <f>IF(K152&lt;='01_PARÂMETROS'!$B$14,"Preferencial",IF(K152&lt;='01_PARÂMETROS'!$B$15,"Baixo",IF(K152&lt;='01_PARÂMETROS'!$B$16,"Médio",IF(K152&lt;='01_PARÂMETROS'!$B$17,"Alto","Elevado"))))</f>
        <v>Elevado</v>
      </c>
      <c r="N152" s="48" t="s">
        <v>478</v>
      </c>
      <c r="O152" s="29" t="s">
        <v>3360</v>
      </c>
    </row>
    <row r="153" spans="1:15" ht="13.5" customHeight="1" x14ac:dyDescent="0.25">
      <c r="A153" s="24" t="s">
        <v>639</v>
      </c>
      <c r="B153" s="38" t="s">
        <v>610</v>
      </c>
      <c r="C153" s="25" t="s">
        <v>418</v>
      </c>
      <c r="D153" s="39" t="s">
        <v>618</v>
      </c>
      <c r="E153" s="64" t="s">
        <v>566</v>
      </c>
      <c r="F153" s="41">
        <f>'03_FONTE_FAP'!F149</f>
        <v>79.31450000000001</v>
      </c>
      <c r="G153" s="42">
        <f>'03_FONTE_FAP'!K149</f>
        <v>78.265500000000003</v>
      </c>
      <c r="H153" s="21">
        <f>'03_FONTE_FAP'!M149</f>
        <v>78.790000000000006</v>
      </c>
      <c r="I153" s="43">
        <f>'01_PARÂMETROS'!$B$9</f>
        <v>50</v>
      </c>
      <c r="J153" s="44">
        <f t="shared" si="10"/>
        <v>1.5758000000000001</v>
      </c>
      <c r="K153" s="59">
        <f>MAX('01_PARÂMETROS'!$B$11,MIN('01_PARÂMETROS'!$B$12,J153))</f>
        <v>1.4</v>
      </c>
      <c r="L153" s="60">
        <f t="shared" si="9"/>
        <v>0.39999999999999991</v>
      </c>
      <c r="M153" s="29" t="str">
        <f>IF(K153&lt;='01_PARÂMETROS'!$B$14,"Preferencial",IF(K153&lt;='01_PARÂMETROS'!$B$15,"Baixo",IF(K153&lt;='01_PARÂMETROS'!$B$16,"Médio",IF(K153&lt;='01_PARÂMETROS'!$B$17,"Alto","Elevado"))))</f>
        <v>Elevado</v>
      </c>
      <c r="N153" s="48" t="s">
        <v>478</v>
      </c>
      <c r="O153" s="29" t="s">
        <v>3360</v>
      </c>
    </row>
    <row r="154" spans="1:15" ht="13.5" customHeight="1" x14ac:dyDescent="0.25">
      <c r="A154" s="13" t="s">
        <v>640</v>
      </c>
      <c r="B154" s="49" t="s">
        <v>610</v>
      </c>
      <c r="C154" s="14" t="s">
        <v>420</v>
      </c>
      <c r="D154" s="50" t="s">
        <v>618</v>
      </c>
      <c r="E154" s="64" t="s">
        <v>566</v>
      </c>
      <c r="F154" s="41">
        <f>'03_FONTE_FAP'!F150</f>
        <v>72.250499999999988</v>
      </c>
      <c r="G154" s="42">
        <f>'03_FONTE_FAP'!K150</f>
        <v>72.869500000000002</v>
      </c>
      <c r="H154" s="21">
        <f>'03_FONTE_FAP'!M150</f>
        <v>72.56</v>
      </c>
      <c r="I154" s="43">
        <f>'01_PARÂMETROS'!$B$9</f>
        <v>50</v>
      </c>
      <c r="J154" s="44">
        <f t="shared" si="10"/>
        <v>1.4512</v>
      </c>
      <c r="K154" s="59">
        <f>MAX('01_PARÂMETROS'!$B$11,MIN('01_PARÂMETROS'!$B$12,J154))</f>
        <v>1.4</v>
      </c>
      <c r="L154" s="60">
        <f t="shared" si="9"/>
        <v>0.39999999999999991</v>
      </c>
      <c r="M154" s="29" t="str">
        <f>IF(K154&lt;='01_PARÂMETROS'!$B$14,"Preferencial",IF(K154&lt;='01_PARÂMETROS'!$B$15,"Baixo",IF(K154&lt;='01_PARÂMETROS'!$B$16,"Médio",IF(K154&lt;='01_PARÂMETROS'!$B$17,"Alto","Elevado"))))</f>
        <v>Elevado</v>
      </c>
      <c r="N154" s="48" t="s">
        <v>478</v>
      </c>
      <c r="O154" s="29" t="s">
        <v>3360</v>
      </c>
    </row>
    <row r="155" spans="1:15" ht="13.5" customHeight="1" x14ac:dyDescent="0.25">
      <c r="A155" s="24" t="s">
        <v>641</v>
      </c>
      <c r="B155" s="38" t="s">
        <v>610</v>
      </c>
      <c r="C155" s="25" t="s">
        <v>422</v>
      </c>
      <c r="D155" s="39" t="s">
        <v>618</v>
      </c>
      <c r="E155" s="64" t="s">
        <v>566</v>
      </c>
      <c r="F155" s="41">
        <f>'03_FONTE_FAP'!F151</f>
        <v>28.861000000000004</v>
      </c>
      <c r="G155" s="42">
        <f>'03_FONTE_FAP'!K151</f>
        <v>42.283499999999997</v>
      </c>
      <c r="H155" s="21">
        <f>'03_FONTE_FAP'!M151</f>
        <v>35.572249999999997</v>
      </c>
      <c r="I155" s="43">
        <f>'01_PARÂMETROS'!$B$9</f>
        <v>50</v>
      </c>
      <c r="J155" s="44">
        <f t="shared" si="10"/>
        <v>0.71144499999999988</v>
      </c>
      <c r="K155" s="51">
        <f>MAX('01_PARÂMETROS'!$B$11,MIN('01_PARÂMETROS'!$B$12,J155))</f>
        <v>0.75</v>
      </c>
      <c r="L155" s="52">
        <f t="shared" si="9"/>
        <v>-0.25</v>
      </c>
      <c r="M155" s="53" t="str">
        <f>IF(K155&lt;='01_PARÂMETROS'!$B$14,"Preferencial",IF(K155&lt;='01_PARÂMETROS'!$B$15,"Baixo",IF(K155&lt;='01_PARÂMETROS'!$B$16,"Médio",IF(K155&lt;='01_PARÂMETROS'!$B$17,"Alto","Elevado"))))</f>
        <v>Preferencial</v>
      </c>
      <c r="N155" s="48" t="s">
        <v>478</v>
      </c>
      <c r="O155" s="29" t="s">
        <v>3360</v>
      </c>
    </row>
    <row r="156" spans="1:15" ht="13.5" customHeight="1" x14ac:dyDescent="0.25">
      <c r="A156" s="13" t="s">
        <v>642</v>
      </c>
      <c r="B156" s="49" t="s">
        <v>610</v>
      </c>
      <c r="C156" s="14" t="s">
        <v>424</v>
      </c>
      <c r="D156" s="50" t="s">
        <v>618</v>
      </c>
      <c r="E156" s="64" t="s">
        <v>566</v>
      </c>
      <c r="F156" s="41">
        <f>'03_FONTE_FAP'!F152</f>
        <v>97.827499999999986</v>
      </c>
      <c r="G156" s="42">
        <f>'03_FONTE_FAP'!K152</f>
        <v>98.020499999999998</v>
      </c>
      <c r="H156" s="21">
        <f>'03_FONTE_FAP'!M152</f>
        <v>97.923999999999992</v>
      </c>
      <c r="I156" s="43">
        <f>'01_PARÂMETROS'!$B$9</f>
        <v>50</v>
      </c>
      <c r="J156" s="44">
        <f t="shared" si="10"/>
        <v>1.9584799999999998</v>
      </c>
      <c r="K156" s="59">
        <f>MAX('01_PARÂMETROS'!$B$11,MIN('01_PARÂMETROS'!$B$12,J156))</f>
        <v>1.4</v>
      </c>
      <c r="L156" s="60">
        <f t="shared" si="9"/>
        <v>0.39999999999999991</v>
      </c>
      <c r="M156" s="29" t="str">
        <f>IF(K156&lt;='01_PARÂMETROS'!$B$14,"Preferencial",IF(K156&lt;='01_PARÂMETROS'!$B$15,"Baixo",IF(K156&lt;='01_PARÂMETROS'!$B$16,"Médio",IF(K156&lt;='01_PARÂMETROS'!$B$17,"Alto","Elevado"))))</f>
        <v>Elevado</v>
      </c>
      <c r="N156" s="48" t="s">
        <v>478</v>
      </c>
      <c r="O156" s="29" t="s">
        <v>3360</v>
      </c>
    </row>
    <row r="157" spans="1:15" ht="13.5" customHeight="1" x14ac:dyDescent="0.25">
      <c r="A157" s="24" t="s">
        <v>643</v>
      </c>
      <c r="B157" s="38" t="s">
        <v>610</v>
      </c>
      <c r="C157" s="25" t="s">
        <v>426</v>
      </c>
      <c r="D157" s="39" t="s">
        <v>618</v>
      </c>
      <c r="E157" s="64" t="s">
        <v>566</v>
      </c>
      <c r="F157" s="41">
        <f>'03_FONTE_FAP'!F153</f>
        <v>14.34</v>
      </c>
      <c r="G157" s="42">
        <f>'03_FONTE_FAP'!K153</f>
        <v>6.3699999999999992</v>
      </c>
      <c r="H157" s="21">
        <f>'03_FONTE_FAP'!M153</f>
        <v>10.355</v>
      </c>
      <c r="I157" s="43">
        <f>'01_PARÂMETROS'!$B$9</f>
        <v>50</v>
      </c>
      <c r="J157" s="44">
        <f t="shared" si="10"/>
        <v>0.20710000000000001</v>
      </c>
      <c r="K157" s="51">
        <f>MAX('01_PARÂMETROS'!$B$11,MIN('01_PARÂMETROS'!$B$12,J157))</f>
        <v>0.75</v>
      </c>
      <c r="L157" s="52">
        <f t="shared" si="9"/>
        <v>-0.25</v>
      </c>
      <c r="M157" s="53" t="str">
        <f>IF(K157&lt;='01_PARÂMETROS'!$B$14,"Preferencial",IF(K157&lt;='01_PARÂMETROS'!$B$15,"Baixo",IF(K157&lt;='01_PARÂMETROS'!$B$16,"Médio",IF(K157&lt;='01_PARÂMETROS'!$B$17,"Alto","Elevado"))))</f>
        <v>Preferencial</v>
      </c>
      <c r="N157" s="48" t="s">
        <v>478</v>
      </c>
      <c r="O157" s="29" t="s">
        <v>3360</v>
      </c>
    </row>
    <row r="158" spans="1:15" ht="13.5" customHeight="1" x14ac:dyDescent="0.25">
      <c r="A158" s="13" t="s">
        <v>644</v>
      </c>
      <c r="B158" s="49" t="s">
        <v>610</v>
      </c>
      <c r="C158" s="14" t="s">
        <v>428</v>
      </c>
      <c r="D158" s="50" t="s">
        <v>618</v>
      </c>
      <c r="E158" s="64" t="s">
        <v>566</v>
      </c>
      <c r="F158" s="41">
        <f>'03_FONTE_FAP'!F154</f>
        <v>87.377500000000012</v>
      </c>
      <c r="G158" s="42">
        <f>'03_FONTE_FAP'!K154</f>
        <v>88.606499999999997</v>
      </c>
      <c r="H158" s="21">
        <f>'03_FONTE_FAP'!M154</f>
        <v>87.992000000000004</v>
      </c>
      <c r="I158" s="43">
        <f>'01_PARÂMETROS'!$B$9</f>
        <v>50</v>
      </c>
      <c r="J158" s="44">
        <f t="shared" si="10"/>
        <v>1.7598400000000001</v>
      </c>
      <c r="K158" s="59">
        <f>MAX('01_PARÂMETROS'!$B$11,MIN('01_PARÂMETROS'!$B$12,J158))</f>
        <v>1.4</v>
      </c>
      <c r="L158" s="60">
        <f t="shared" si="9"/>
        <v>0.39999999999999991</v>
      </c>
      <c r="M158" s="29" t="str">
        <f>IF(K158&lt;='01_PARÂMETROS'!$B$14,"Preferencial",IF(K158&lt;='01_PARÂMETROS'!$B$15,"Baixo",IF(K158&lt;='01_PARÂMETROS'!$B$16,"Médio",IF(K158&lt;='01_PARÂMETROS'!$B$17,"Alto","Elevado"))))</f>
        <v>Elevado</v>
      </c>
      <c r="N158" s="48" t="s">
        <v>478</v>
      </c>
      <c r="O158" s="29" t="s">
        <v>3360</v>
      </c>
    </row>
    <row r="159" spans="1:15" ht="13.5" customHeight="1" x14ac:dyDescent="0.25">
      <c r="A159" s="24" t="s">
        <v>645</v>
      </c>
      <c r="B159" s="38" t="s">
        <v>610</v>
      </c>
      <c r="C159" s="25" t="s">
        <v>430</v>
      </c>
      <c r="D159" s="39" t="s">
        <v>618</v>
      </c>
      <c r="E159" s="64" t="s">
        <v>566</v>
      </c>
      <c r="F159" s="41">
        <f>'03_FONTE_FAP'!F155</f>
        <v>62.550000000000004</v>
      </c>
      <c r="G159" s="42">
        <f>'03_FONTE_FAP'!K155</f>
        <v>79.655999999999992</v>
      </c>
      <c r="H159" s="21">
        <f>'03_FONTE_FAP'!M155</f>
        <v>71.102999999999994</v>
      </c>
      <c r="I159" s="43">
        <f>'01_PARÂMETROS'!$B$9</f>
        <v>50</v>
      </c>
      <c r="J159" s="44">
        <f t="shared" si="10"/>
        <v>1.4220599999999999</v>
      </c>
      <c r="K159" s="59">
        <f>MAX('01_PARÂMETROS'!$B$11,MIN('01_PARÂMETROS'!$B$12,J159))</f>
        <v>1.4</v>
      </c>
      <c r="L159" s="60">
        <f t="shared" si="9"/>
        <v>0.39999999999999991</v>
      </c>
      <c r="M159" s="29" t="str">
        <f>IF(K159&lt;='01_PARÂMETROS'!$B$14,"Preferencial",IF(K159&lt;='01_PARÂMETROS'!$B$15,"Baixo",IF(K159&lt;='01_PARÂMETROS'!$B$16,"Médio",IF(K159&lt;='01_PARÂMETROS'!$B$17,"Alto","Elevado"))))</f>
        <v>Elevado</v>
      </c>
      <c r="N159" s="48" t="s">
        <v>478</v>
      </c>
      <c r="O159" s="54"/>
    </row>
    <row r="160" spans="1:15" ht="13.5" customHeight="1" x14ac:dyDescent="0.25">
      <c r="A160" s="13" t="s">
        <v>646</v>
      </c>
      <c r="B160" s="49" t="s">
        <v>610</v>
      </c>
      <c r="C160" s="14" t="s">
        <v>432</v>
      </c>
      <c r="D160" s="50" t="s">
        <v>618</v>
      </c>
      <c r="E160" s="64" t="s">
        <v>566</v>
      </c>
      <c r="F160" s="41">
        <f>'03_FONTE_FAP'!F156</f>
        <v>62.081000000000003</v>
      </c>
      <c r="G160" s="42">
        <f>'03_FONTE_FAP'!K156</f>
        <v>51.374499999999998</v>
      </c>
      <c r="H160" s="21">
        <f>'03_FONTE_FAP'!M156</f>
        <v>56.72775</v>
      </c>
      <c r="I160" s="43">
        <f>'01_PARÂMETROS'!$B$9</f>
        <v>50</v>
      </c>
      <c r="J160" s="44">
        <f t="shared" si="10"/>
        <v>1.134555</v>
      </c>
      <c r="K160" s="45">
        <f>MAX('01_PARÂMETROS'!$B$11,MIN('01_PARÂMETROS'!$B$12,J160))</f>
        <v>1.134555</v>
      </c>
      <c r="L160" s="46">
        <f t="shared" si="9"/>
        <v>0.13455499999999998</v>
      </c>
      <c r="M160" s="47" t="str">
        <f>IF(K160&lt;='01_PARÂMETROS'!$B$14,"Preferencial",IF(K160&lt;='01_PARÂMETROS'!$B$15,"Baixo",IF(K160&lt;='01_PARÂMETROS'!$B$16,"Médio",IF(K160&lt;='01_PARÂMETROS'!$B$17,"Alto","Elevado"))))</f>
        <v>Alto</v>
      </c>
      <c r="N160" s="48" t="s">
        <v>478</v>
      </c>
      <c r="O160" s="29" t="s">
        <v>3360</v>
      </c>
    </row>
    <row r="161" spans="1:15" ht="13.5" customHeight="1" x14ac:dyDescent="0.25">
      <c r="A161" s="24" t="s">
        <v>647</v>
      </c>
      <c r="B161" s="38" t="s">
        <v>610</v>
      </c>
      <c r="C161" s="25" t="s">
        <v>434</v>
      </c>
      <c r="D161" s="39" t="s">
        <v>618</v>
      </c>
      <c r="E161" s="64" t="s">
        <v>566</v>
      </c>
      <c r="F161" s="41">
        <f>'03_FONTE_FAP'!F157</f>
        <v>25.605999999999998</v>
      </c>
      <c r="G161" s="42">
        <f>'03_FONTE_FAP'!K157</f>
        <v>26.883499999999998</v>
      </c>
      <c r="H161" s="21">
        <f>'03_FONTE_FAP'!M157</f>
        <v>26.244749999999996</v>
      </c>
      <c r="I161" s="43">
        <f>'01_PARÂMETROS'!$B$9</f>
        <v>50</v>
      </c>
      <c r="J161" s="44">
        <f t="shared" si="10"/>
        <v>0.52489499999999989</v>
      </c>
      <c r="K161" s="51">
        <f>MAX('01_PARÂMETROS'!$B$11,MIN('01_PARÂMETROS'!$B$12,J161))</f>
        <v>0.75</v>
      </c>
      <c r="L161" s="52">
        <f t="shared" si="9"/>
        <v>-0.25</v>
      </c>
      <c r="M161" s="53" t="str">
        <f>IF(K161&lt;='01_PARÂMETROS'!$B$14,"Preferencial",IF(K161&lt;='01_PARÂMETROS'!$B$15,"Baixo",IF(K161&lt;='01_PARÂMETROS'!$B$16,"Médio",IF(K161&lt;='01_PARÂMETROS'!$B$17,"Alto","Elevado"))))</f>
        <v>Preferencial</v>
      </c>
      <c r="N161" s="48" t="s">
        <v>478</v>
      </c>
      <c r="O161" s="29" t="s">
        <v>3360</v>
      </c>
    </row>
    <row r="162" spans="1:15" ht="13.5" customHeight="1" x14ac:dyDescent="0.25">
      <c r="A162" s="13" t="s">
        <v>648</v>
      </c>
      <c r="B162" s="49" t="s">
        <v>610</v>
      </c>
      <c r="C162" s="14" t="s">
        <v>436</v>
      </c>
      <c r="D162" s="50" t="s">
        <v>618</v>
      </c>
      <c r="E162" s="64" t="s">
        <v>566</v>
      </c>
      <c r="F162" s="41">
        <f>'03_FONTE_FAP'!F158</f>
        <v>63.921999999999997</v>
      </c>
      <c r="G162" s="42">
        <f>'03_FONTE_FAP'!K158</f>
        <v>54.091499999999996</v>
      </c>
      <c r="H162" s="21">
        <f>'03_FONTE_FAP'!M158</f>
        <v>59.006749999999997</v>
      </c>
      <c r="I162" s="43">
        <f>'01_PARÂMETROS'!$B$9</f>
        <v>50</v>
      </c>
      <c r="J162" s="44">
        <f t="shared" si="10"/>
        <v>1.1801349999999999</v>
      </c>
      <c r="K162" s="45">
        <f>MAX('01_PARÂMETROS'!$B$11,MIN('01_PARÂMETROS'!$B$12,J162))</f>
        <v>1.1801349999999999</v>
      </c>
      <c r="L162" s="46">
        <f t="shared" si="9"/>
        <v>0.18013499999999993</v>
      </c>
      <c r="M162" s="47" t="str">
        <f>IF(K162&lt;='01_PARÂMETROS'!$B$14,"Preferencial",IF(K162&lt;='01_PARÂMETROS'!$B$15,"Baixo",IF(K162&lt;='01_PARÂMETROS'!$B$16,"Médio",IF(K162&lt;='01_PARÂMETROS'!$B$17,"Alto","Elevado"))))</f>
        <v>Alto</v>
      </c>
      <c r="N162" s="48" t="s">
        <v>478</v>
      </c>
      <c r="O162" s="29" t="s">
        <v>3360</v>
      </c>
    </row>
    <row r="163" spans="1:15" ht="13.5" customHeight="1" x14ac:dyDescent="0.25">
      <c r="A163" s="24" t="s">
        <v>649</v>
      </c>
      <c r="B163" s="38" t="s">
        <v>610</v>
      </c>
      <c r="C163" s="25" t="s">
        <v>438</v>
      </c>
      <c r="D163" s="39" t="s">
        <v>618</v>
      </c>
      <c r="E163" s="64" t="s">
        <v>566</v>
      </c>
      <c r="F163" s="41">
        <f>'03_FONTE_FAP'!F159</f>
        <v>59.049500000000002</v>
      </c>
      <c r="G163" s="42">
        <f>'03_FONTE_FAP'!K159</f>
        <v>62.94</v>
      </c>
      <c r="H163" s="21">
        <f>'03_FONTE_FAP'!M159</f>
        <v>60.994749999999996</v>
      </c>
      <c r="I163" s="43">
        <f>'01_PARÂMETROS'!$B$9</f>
        <v>50</v>
      </c>
      <c r="J163" s="44">
        <f t="shared" si="10"/>
        <v>1.219895</v>
      </c>
      <c r="K163" s="45">
        <f>MAX('01_PARÂMETROS'!$B$11,MIN('01_PARÂMETROS'!$B$12,J163))</f>
        <v>1.219895</v>
      </c>
      <c r="L163" s="46">
        <f t="shared" si="9"/>
        <v>0.21989499999999995</v>
      </c>
      <c r="M163" s="47" t="str">
        <f>IF(K163&lt;='01_PARÂMETROS'!$B$14,"Preferencial",IF(K163&lt;='01_PARÂMETROS'!$B$15,"Baixo",IF(K163&lt;='01_PARÂMETROS'!$B$16,"Médio",IF(K163&lt;='01_PARÂMETROS'!$B$17,"Alto","Elevado"))))</f>
        <v>Alto</v>
      </c>
      <c r="N163" s="48" t="s">
        <v>478</v>
      </c>
      <c r="O163" s="54"/>
    </row>
    <row r="164" spans="1:15" ht="13.5" customHeight="1" x14ac:dyDescent="0.25">
      <c r="A164" s="13" t="s">
        <v>650</v>
      </c>
      <c r="B164" s="49" t="s">
        <v>610</v>
      </c>
      <c r="C164" s="14" t="s">
        <v>440</v>
      </c>
      <c r="D164" s="50" t="s">
        <v>618</v>
      </c>
      <c r="E164" s="64" t="s">
        <v>566</v>
      </c>
      <c r="F164" s="41">
        <f>'03_FONTE_FAP'!F160</f>
        <v>18.098000000000003</v>
      </c>
      <c r="G164" s="42">
        <f>'03_FONTE_FAP'!K160</f>
        <v>40.217999999999996</v>
      </c>
      <c r="H164" s="21">
        <f>'03_FONTE_FAP'!M160</f>
        <v>29.158000000000001</v>
      </c>
      <c r="I164" s="43">
        <f>'01_PARÂMETROS'!$B$9</f>
        <v>50</v>
      </c>
      <c r="J164" s="44">
        <f t="shared" si="10"/>
        <v>0.58316000000000001</v>
      </c>
      <c r="K164" s="51">
        <f>MAX('01_PARÂMETROS'!$B$11,MIN('01_PARÂMETROS'!$B$12,J164))</f>
        <v>0.75</v>
      </c>
      <c r="L164" s="52">
        <f t="shared" si="9"/>
        <v>-0.25</v>
      </c>
      <c r="M164" s="53" t="str">
        <f>IF(K164&lt;='01_PARÂMETROS'!$B$14,"Preferencial",IF(K164&lt;='01_PARÂMETROS'!$B$15,"Baixo",IF(K164&lt;='01_PARÂMETROS'!$B$16,"Médio",IF(K164&lt;='01_PARÂMETROS'!$B$17,"Alto","Elevado"))))</f>
        <v>Preferencial</v>
      </c>
      <c r="N164" s="48" t="s">
        <v>478</v>
      </c>
      <c r="O164" s="29" t="s">
        <v>3360</v>
      </c>
    </row>
    <row r="165" spans="1:15" ht="13.5" customHeight="1" x14ac:dyDescent="0.25">
      <c r="A165" s="24" t="s">
        <v>651</v>
      </c>
      <c r="B165" s="38" t="s">
        <v>610</v>
      </c>
      <c r="C165" s="25" t="s">
        <v>442</v>
      </c>
      <c r="D165" s="39" t="s">
        <v>618</v>
      </c>
      <c r="E165" s="64" t="s">
        <v>566</v>
      </c>
      <c r="F165" s="41">
        <f>'03_FONTE_FAP'!F161</f>
        <v>90.289999999999992</v>
      </c>
      <c r="G165" s="42">
        <f>'03_FONTE_FAP'!K161</f>
        <v>89.884999999999991</v>
      </c>
      <c r="H165" s="21">
        <f>'03_FONTE_FAP'!M161</f>
        <v>90.087499999999991</v>
      </c>
      <c r="I165" s="43">
        <f>'01_PARÂMETROS'!$B$9</f>
        <v>50</v>
      </c>
      <c r="J165" s="44">
        <f t="shared" si="10"/>
        <v>1.8017499999999997</v>
      </c>
      <c r="K165" s="59">
        <f>MAX('01_PARÂMETROS'!$B$11,MIN('01_PARÂMETROS'!$B$12,J165))</f>
        <v>1.4</v>
      </c>
      <c r="L165" s="60">
        <f t="shared" si="9"/>
        <v>0.39999999999999991</v>
      </c>
      <c r="M165" s="29" t="str">
        <f>IF(K165&lt;='01_PARÂMETROS'!$B$14,"Preferencial",IF(K165&lt;='01_PARÂMETROS'!$B$15,"Baixo",IF(K165&lt;='01_PARÂMETROS'!$B$16,"Médio",IF(K165&lt;='01_PARÂMETROS'!$B$17,"Alto","Elevado"))))</f>
        <v>Elevado</v>
      </c>
      <c r="N165" s="48" t="s">
        <v>478</v>
      </c>
      <c r="O165" s="29" t="s">
        <v>3360</v>
      </c>
    </row>
    <row r="166" spans="1:15" ht="13.5" customHeight="1" x14ac:dyDescent="0.25">
      <c r="A166" s="13" t="s">
        <v>652</v>
      </c>
      <c r="B166" s="49" t="s">
        <v>610</v>
      </c>
      <c r="C166" s="14" t="s">
        <v>444</v>
      </c>
      <c r="D166" s="50" t="s">
        <v>618</v>
      </c>
      <c r="E166" s="64" t="s">
        <v>566</v>
      </c>
      <c r="F166" s="41">
        <f>'03_FONTE_FAP'!F162</f>
        <v>24.035499999999999</v>
      </c>
      <c r="G166" s="42">
        <f>'03_FONTE_FAP'!K162</f>
        <v>66.732499999999987</v>
      </c>
      <c r="H166" s="21">
        <f>'03_FONTE_FAP'!M162</f>
        <v>45.383999999999993</v>
      </c>
      <c r="I166" s="43">
        <f>'01_PARÂMETROS'!$B$9</f>
        <v>50</v>
      </c>
      <c r="J166" s="44">
        <f t="shared" si="10"/>
        <v>0.90767999999999982</v>
      </c>
      <c r="K166" s="62">
        <f>MAX('01_PARÂMETROS'!$B$11,MIN('01_PARÂMETROS'!$B$12,J166))</f>
        <v>0.90767999999999982</v>
      </c>
      <c r="L166" s="63">
        <f t="shared" si="9"/>
        <v>-9.232000000000018E-2</v>
      </c>
      <c r="M166" s="17" t="str">
        <f>IF(K166&lt;='01_PARÂMETROS'!$B$14,"Preferencial",IF(K166&lt;='01_PARÂMETROS'!$B$15,"Baixo",IF(K166&lt;='01_PARÂMETROS'!$B$16,"Médio",IF(K166&lt;='01_PARÂMETROS'!$B$17,"Alto","Elevado"))))</f>
        <v>Baixo</v>
      </c>
      <c r="N166" s="48" t="s">
        <v>478</v>
      </c>
      <c r="O166" s="29" t="s">
        <v>3360</v>
      </c>
    </row>
    <row r="167" spans="1:15" ht="13.5" customHeight="1" x14ac:dyDescent="0.25">
      <c r="A167" s="24" t="s">
        <v>653</v>
      </c>
      <c r="B167" s="38" t="s">
        <v>610</v>
      </c>
      <c r="C167" s="25" t="s">
        <v>446</v>
      </c>
      <c r="D167" s="39" t="s">
        <v>618</v>
      </c>
      <c r="E167" s="64" t="s">
        <v>566</v>
      </c>
      <c r="F167" s="41">
        <f>'03_FONTE_FAP'!F163</f>
        <v>84.057000000000002</v>
      </c>
      <c r="G167" s="42">
        <f>'03_FONTE_FAP'!K163</f>
        <v>76.722499999999997</v>
      </c>
      <c r="H167" s="21">
        <f>'03_FONTE_FAP'!M163</f>
        <v>80.389749999999992</v>
      </c>
      <c r="I167" s="43">
        <f>'01_PARÂMETROS'!$B$9</f>
        <v>50</v>
      </c>
      <c r="J167" s="44">
        <f t="shared" si="10"/>
        <v>1.6077949999999999</v>
      </c>
      <c r="K167" s="59">
        <f>MAX('01_PARÂMETROS'!$B$11,MIN('01_PARÂMETROS'!$B$12,J167))</f>
        <v>1.4</v>
      </c>
      <c r="L167" s="60">
        <f t="shared" si="9"/>
        <v>0.39999999999999991</v>
      </c>
      <c r="M167" s="29" t="str">
        <f>IF(K167&lt;='01_PARÂMETROS'!$B$14,"Preferencial",IF(K167&lt;='01_PARÂMETROS'!$B$15,"Baixo",IF(K167&lt;='01_PARÂMETROS'!$B$16,"Médio",IF(K167&lt;='01_PARÂMETROS'!$B$17,"Alto","Elevado"))))</f>
        <v>Elevado</v>
      </c>
      <c r="N167" s="48" t="s">
        <v>478</v>
      </c>
      <c r="O167" s="29" t="s">
        <v>3360</v>
      </c>
    </row>
    <row r="168" spans="1:15" ht="13.5" customHeight="1" x14ac:dyDescent="0.25">
      <c r="A168" s="13" t="s">
        <v>654</v>
      </c>
      <c r="B168" s="49" t="s">
        <v>610</v>
      </c>
      <c r="C168" s="14" t="s">
        <v>448</v>
      </c>
      <c r="D168" s="50" t="s">
        <v>655</v>
      </c>
      <c r="E168" s="64" t="s">
        <v>566</v>
      </c>
      <c r="F168" s="41">
        <f>'03_FONTE_FAP'!F164</f>
        <v>44.636999999999993</v>
      </c>
      <c r="G168" s="42">
        <f>'03_FONTE_FAP'!K164</f>
        <v>37.789499999999997</v>
      </c>
      <c r="H168" s="21">
        <f>'03_FONTE_FAP'!M164</f>
        <v>41.213249999999995</v>
      </c>
      <c r="I168" s="43">
        <f>'01_PARÂMETROS'!$B$9</f>
        <v>50</v>
      </c>
      <c r="J168" s="44">
        <f t="shared" si="10"/>
        <v>0.82426499999999991</v>
      </c>
      <c r="K168" s="51">
        <f>MAX('01_PARÂMETROS'!$B$11,MIN('01_PARÂMETROS'!$B$12,J168))</f>
        <v>0.82426499999999991</v>
      </c>
      <c r="L168" s="52">
        <f t="shared" si="9"/>
        <v>-0.17573500000000009</v>
      </c>
      <c r="M168" s="53" t="str">
        <f>IF(K168&lt;='01_PARÂMETROS'!$B$14,"Preferencial",IF(K168&lt;='01_PARÂMETROS'!$B$15,"Baixo",IF(K168&lt;='01_PARÂMETROS'!$B$16,"Médio",IF(K168&lt;='01_PARÂMETROS'!$B$17,"Alto","Elevado"))))</f>
        <v>Preferencial</v>
      </c>
      <c r="N168" s="48" t="s">
        <v>478</v>
      </c>
      <c r="O168" s="61"/>
    </row>
    <row r="169" spans="1:15" ht="13.5" customHeight="1" x14ac:dyDescent="0.25">
      <c r="A169" s="24" t="s">
        <v>656</v>
      </c>
      <c r="B169" s="38" t="s">
        <v>610</v>
      </c>
      <c r="C169" s="25" t="s">
        <v>450</v>
      </c>
      <c r="D169" s="39" t="s">
        <v>655</v>
      </c>
      <c r="E169" s="64" t="s">
        <v>566</v>
      </c>
      <c r="F169" s="41">
        <f>'03_FONTE_FAP'!F165</f>
        <v>53.881999999999998</v>
      </c>
      <c r="G169" s="42">
        <f>'03_FONTE_FAP'!K165</f>
        <v>72.173999999999992</v>
      </c>
      <c r="H169" s="21">
        <f>'03_FONTE_FAP'!M165</f>
        <v>63.027999999999992</v>
      </c>
      <c r="I169" s="43">
        <f>'01_PARÂMETROS'!$B$9</f>
        <v>50</v>
      </c>
      <c r="J169" s="44">
        <f t="shared" si="10"/>
        <v>1.2605599999999999</v>
      </c>
      <c r="K169" s="59">
        <f>MAX('01_PARÂMETROS'!$B$11,MIN('01_PARÂMETROS'!$B$12,J169))</f>
        <v>1.2605599999999999</v>
      </c>
      <c r="L169" s="60">
        <f t="shared" si="9"/>
        <v>0.2605599999999999</v>
      </c>
      <c r="M169" s="29" t="str">
        <f>IF(K169&lt;='01_PARÂMETROS'!$B$14,"Preferencial",IF(K169&lt;='01_PARÂMETROS'!$B$15,"Baixo",IF(K169&lt;='01_PARÂMETROS'!$B$16,"Médio",IF(K169&lt;='01_PARÂMETROS'!$B$17,"Alto","Elevado"))))</f>
        <v>Elevado</v>
      </c>
      <c r="N169" s="48" t="s">
        <v>478</v>
      </c>
      <c r="O169" s="29" t="s">
        <v>3360</v>
      </c>
    </row>
    <row r="170" spans="1:15" ht="13.5" customHeight="1" x14ac:dyDescent="0.25">
      <c r="A170" s="13" t="s">
        <v>657</v>
      </c>
      <c r="B170" s="49" t="s">
        <v>610</v>
      </c>
      <c r="C170" s="14" t="s">
        <v>452</v>
      </c>
      <c r="D170" s="50" t="s">
        <v>655</v>
      </c>
      <c r="E170" s="64" t="s">
        <v>566</v>
      </c>
      <c r="F170" s="41">
        <f>'03_FONTE_FAP'!F166</f>
        <v>58.232500000000002</v>
      </c>
      <c r="G170" s="42">
        <f>'03_FONTE_FAP'!K166</f>
        <v>33.546500000000002</v>
      </c>
      <c r="H170" s="21">
        <f>'03_FONTE_FAP'!M166</f>
        <v>45.889499999999998</v>
      </c>
      <c r="I170" s="43">
        <f>'01_PARÂMETROS'!$B$9</f>
        <v>50</v>
      </c>
      <c r="J170" s="44">
        <f t="shared" si="10"/>
        <v>0.91778999999999999</v>
      </c>
      <c r="K170" s="62">
        <f>MAX('01_PARÂMETROS'!$B$11,MIN('01_PARÂMETROS'!$B$12,J170))</f>
        <v>0.91778999999999999</v>
      </c>
      <c r="L170" s="63">
        <f t="shared" si="9"/>
        <v>-8.2210000000000005E-2</v>
      </c>
      <c r="M170" s="17" t="str">
        <f>IF(K170&lt;='01_PARÂMETROS'!$B$14,"Preferencial",IF(K170&lt;='01_PARÂMETROS'!$B$15,"Baixo",IF(K170&lt;='01_PARÂMETROS'!$B$16,"Médio",IF(K170&lt;='01_PARÂMETROS'!$B$17,"Alto","Elevado"))))</f>
        <v>Baixo</v>
      </c>
      <c r="N170" s="48" t="s">
        <v>478</v>
      </c>
      <c r="O170" s="29" t="s">
        <v>3360</v>
      </c>
    </row>
    <row r="171" spans="1:15" ht="13.5" customHeight="1" x14ac:dyDescent="0.25">
      <c r="A171" s="24" t="s">
        <v>658</v>
      </c>
      <c r="B171" s="38" t="s">
        <v>610</v>
      </c>
      <c r="C171" s="25" t="s">
        <v>454</v>
      </c>
      <c r="D171" s="39" t="s">
        <v>655</v>
      </c>
      <c r="E171" s="64" t="s">
        <v>566</v>
      </c>
      <c r="F171" s="41">
        <f>'03_FONTE_FAP'!F167</f>
        <v>89.239000000000004</v>
      </c>
      <c r="G171" s="42">
        <f>'03_FONTE_FAP'!K167</f>
        <v>78.725499999999997</v>
      </c>
      <c r="H171" s="21">
        <f>'03_FONTE_FAP'!M167</f>
        <v>83.982249999999993</v>
      </c>
      <c r="I171" s="43">
        <f>'01_PARÂMETROS'!$B$9</f>
        <v>50</v>
      </c>
      <c r="J171" s="44">
        <f t="shared" si="10"/>
        <v>1.6796449999999998</v>
      </c>
      <c r="K171" s="59">
        <f>MAX('01_PARÂMETROS'!$B$11,MIN('01_PARÂMETROS'!$B$12,J171))</f>
        <v>1.4</v>
      </c>
      <c r="L171" s="60">
        <f t="shared" si="9"/>
        <v>0.39999999999999991</v>
      </c>
      <c r="M171" s="29" t="str">
        <f>IF(K171&lt;='01_PARÂMETROS'!$B$14,"Preferencial",IF(K171&lt;='01_PARÂMETROS'!$B$15,"Baixo",IF(K171&lt;='01_PARÂMETROS'!$B$16,"Médio",IF(K171&lt;='01_PARÂMETROS'!$B$17,"Alto","Elevado"))))</f>
        <v>Elevado</v>
      </c>
      <c r="N171" s="48" t="s">
        <v>478</v>
      </c>
      <c r="O171" s="29" t="s">
        <v>3360</v>
      </c>
    </row>
    <row r="172" spans="1:15" ht="13.5" customHeight="1" x14ac:dyDescent="0.25">
      <c r="A172" s="13" t="s">
        <v>659</v>
      </c>
      <c r="B172" s="49" t="s">
        <v>660</v>
      </c>
      <c r="C172" s="14" t="s">
        <v>661</v>
      </c>
      <c r="D172" s="50" t="s">
        <v>662</v>
      </c>
      <c r="E172" s="64" t="s">
        <v>566</v>
      </c>
      <c r="F172" s="54" t="s">
        <v>485</v>
      </c>
      <c r="G172" s="54" t="s">
        <v>485</v>
      </c>
      <c r="H172" s="54" t="s">
        <v>485</v>
      </c>
      <c r="I172" s="43">
        <f>'01_PARÂMETROS'!$B$9</f>
        <v>50</v>
      </c>
      <c r="J172" s="44">
        <f t="shared" ref="J172:J182" si="11">1.15</f>
        <v>1.1499999999999999</v>
      </c>
      <c r="K172" s="45">
        <f>MAX('01_PARÂMETROS'!$B$11,MIN('01_PARÂMETROS'!$B$12,J172))</f>
        <v>1.1499999999999999</v>
      </c>
      <c r="L172" s="46">
        <f t="shared" si="9"/>
        <v>0.14999999999999991</v>
      </c>
      <c r="M172" s="47" t="str">
        <f>IF(K172&lt;='01_PARÂMETROS'!$B$14,"Preferencial",IF(K172&lt;='01_PARÂMETROS'!$B$15,"Baixo",IF(K172&lt;='01_PARÂMETROS'!$B$16,"Médio",IF(K172&lt;='01_PARÂMETROS'!$B$17,"Alto","Elevado"))))</f>
        <v>Alto</v>
      </c>
      <c r="N172" s="58" t="s">
        <v>486</v>
      </c>
      <c r="O172" s="61"/>
    </row>
    <row r="173" spans="1:15" ht="13.5" customHeight="1" x14ac:dyDescent="0.25">
      <c r="A173" s="24" t="s">
        <v>663</v>
      </c>
      <c r="B173" s="38" t="s">
        <v>660</v>
      </c>
      <c r="C173" s="25" t="s">
        <v>664</v>
      </c>
      <c r="D173" s="39" t="s">
        <v>662</v>
      </c>
      <c r="E173" s="64" t="s">
        <v>566</v>
      </c>
      <c r="F173" s="54" t="s">
        <v>485</v>
      </c>
      <c r="G173" s="54" t="s">
        <v>485</v>
      </c>
      <c r="H173" s="54" t="s">
        <v>485</v>
      </c>
      <c r="I173" s="43">
        <f>'01_PARÂMETROS'!$B$9</f>
        <v>50</v>
      </c>
      <c r="J173" s="44">
        <f t="shared" si="11"/>
        <v>1.1499999999999999</v>
      </c>
      <c r="K173" s="45">
        <f>MAX('01_PARÂMETROS'!$B$11,MIN('01_PARÂMETROS'!$B$12,J173))</f>
        <v>1.1499999999999999</v>
      </c>
      <c r="L173" s="46">
        <f t="shared" si="9"/>
        <v>0.14999999999999991</v>
      </c>
      <c r="M173" s="47" t="str">
        <f>IF(K173&lt;='01_PARÂMETROS'!$B$14,"Preferencial",IF(K173&lt;='01_PARÂMETROS'!$B$15,"Baixo",IF(K173&lt;='01_PARÂMETROS'!$B$16,"Médio",IF(K173&lt;='01_PARÂMETROS'!$B$17,"Alto","Elevado"))))</f>
        <v>Alto</v>
      </c>
      <c r="N173" s="58" t="s">
        <v>486</v>
      </c>
      <c r="O173" s="54"/>
    </row>
    <row r="174" spans="1:15" ht="13.5" customHeight="1" x14ac:dyDescent="0.25">
      <c r="A174" s="13" t="s">
        <v>665</v>
      </c>
      <c r="B174" s="49" t="s">
        <v>660</v>
      </c>
      <c r="C174" s="14" t="s">
        <v>666</v>
      </c>
      <c r="D174" s="50" t="s">
        <v>662</v>
      </c>
      <c r="E174" s="64" t="s">
        <v>566</v>
      </c>
      <c r="F174" s="54" t="s">
        <v>485</v>
      </c>
      <c r="G174" s="54" t="s">
        <v>485</v>
      </c>
      <c r="H174" s="54" t="s">
        <v>485</v>
      </c>
      <c r="I174" s="43">
        <f>'01_PARÂMETROS'!$B$9</f>
        <v>50</v>
      </c>
      <c r="J174" s="44">
        <f t="shared" si="11"/>
        <v>1.1499999999999999</v>
      </c>
      <c r="K174" s="45">
        <f>MAX('01_PARÂMETROS'!$B$11,MIN('01_PARÂMETROS'!$B$12,J174))</f>
        <v>1.1499999999999999</v>
      </c>
      <c r="L174" s="46">
        <f t="shared" si="9"/>
        <v>0.14999999999999991</v>
      </c>
      <c r="M174" s="47" t="str">
        <f>IF(K174&lt;='01_PARÂMETROS'!$B$14,"Preferencial",IF(K174&lt;='01_PARÂMETROS'!$B$15,"Baixo",IF(K174&lt;='01_PARÂMETROS'!$B$16,"Médio",IF(K174&lt;='01_PARÂMETROS'!$B$17,"Alto","Elevado"))))</f>
        <v>Alto</v>
      </c>
      <c r="N174" s="58" t="s">
        <v>486</v>
      </c>
      <c r="O174" s="61"/>
    </row>
    <row r="175" spans="1:15" ht="13.5" customHeight="1" x14ac:dyDescent="0.25">
      <c r="A175" s="24" t="s">
        <v>667</v>
      </c>
      <c r="B175" s="38" t="s">
        <v>660</v>
      </c>
      <c r="C175" s="25" t="s">
        <v>668</v>
      </c>
      <c r="D175" s="39" t="s">
        <v>662</v>
      </c>
      <c r="E175" s="64" t="s">
        <v>566</v>
      </c>
      <c r="F175" s="54" t="s">
        <v>485</v>
      </c>
      <c r="G175" s="54" t="s">
        <v>485</v>
      </c>
      <c r="H175" s="54" t="s">
        <v>485</v>
      </c>
      <c r="I175" s="43">
        <f>'01_PARÂMETROS'!$B$9</f>
        <v>50</v>
      </c>
      <c r="J175" s="44">
        <f t="shared" si="11"/>
        <v>1.1499999999999999</v>
      </c>
      <c r="K175" s="45">
        <f>MAX('01_PARÂMETROS'!$B$11,MIN('01_PARÂMETROS'!$B$12,J175))</f>
        <v>1.1499999999999999</v>
      </c>
      <c r="L175" s="46">
        <f t="shared" si="9"/>
        <v>0.14999999999999991</v>
      </c>
      <c r="M175" s="47" t="str">
        <f>IF(K175&lt;='01_PARÂMETROS'!$B$14,"Preferencial",IF(K175&lt;='01_PARÂMETROS'!$B$15,"Baixo",IF(K175&lt;='01_PARÂMETROS'!$B$16,"Médio",IF(K175&lt;='01_PARÂMETROS'!$B$17,"Alto","Elevado"))))</f>
        <v>Alto</v>
      </c>
      <c r="N175" s="58" t="s">
        <v>486</v>
      </c>
      <c r="O175" s="54"/>
    </row>
    <row r="176" spans="1:15" ht="13.5" customHeight="1" x14ac:dyDescent="0.25">
      <c r="A176" s="13" t="s">
        <v>669</v>
      </c>
      <c r="B176" s="49" t="s">
        <v>660</v>
      </c>
      <c r="C176" s="14" t="s">
        <v>670</v>
      </c>
      <c r="D176" s="50" t="s">
        <v>662</v>
      </c>
      <c r="E176" s="64" t="s">
        <v>566</v>
      </c>
      <c r="F176" s="54" t="s">
        <v>485</v>
      </c>
      <c r="G176" s="54" t="s">
        <v>485</v>
      </c>
      <c r="H176" s="54" t="s">
        <v>485</v>
      </c>
      <c r="I176" s="43">
        <f>'01_PARÂMETROS'!$B$9</f>
        <v>50</v>
      </c>
      <c r="J176" s="44">
        <f t="shared" si="11"/>
        <v>1.1499999999999999</v>
      </c>
      <c r="K176" s="45">
        <f>MAX('01_PARÂMETROS'!$B$11,MIN('01_PARÂMETROS'!$B$12,J176))</f>
        <v>1.1499999999999999</v>
      </c>
      <c r="L176" s="46">
        <f t="shared" si="9"/>
        <v>0.14999999999999991</v>
      </c>
      <c r="M176" s="47" t="str">
        <f>IF(K176&lt;='01_PARÂMETROS'!$B$14,"Preferencial",IF(K176&lt;='01_PARÂMETROS'!$B$15,"Baixo",IF(K176&lt;='01_PARÂMETROS'!$B$16,"Médio",IF(K176&lt;='01_PARÂMETROS'!$B$17,"Alto","Elevado"))))</f>
        <v>Alto</v>
      </c>
      <c r="N176" s="58" t="s">
        <v>486</v>
      </c>
      <c r="O176" s="61"/>
    </row>
    <row r="177" spans="1:15" ht="13.5" customHeight="1" x14ac:dyDescent="0.25">
      <c r="A177" s="24" t="s">
        <v>671</v>
      </c>
      <c r="B177" s="38" t="s">
        <v>660</v>
      </c>
      <c r="C177" s="25" t="s">
        <v>672</v>
      </c>
      <c r="D177" s="39" t="s">
        <v>662</v>
      </c>
      <c r="E177" s="64" t="s">
        <v>566</v>
      </c>
      <c r="F177" s="54" t="s">
        <v>485</v>
      </c>
      <c r="G177" s="54" t="s">
        <v>485</v>
      </c>
      <c r="H177" s="54" t="s">
        <v>485</v>
      </c>
      <c r="I177" s="43">
        <f>'01_PARÂMETROS'!$B$9</f>
        <v>50</v>
      </c>
      <c r="J177" s="44">
        <f t="shared" si="11"/>
        <v>1.1499999999999999</v>
      </c>
      <c r="K177" s="45">
        <f>MAX('01_PARÂMETROS'!$B$11,MIN('01_PARÂMETROS'!$B$12,J177))</f>
        <v>1.1499999999999999</v>
      </c>
      <c r="L177" s="46">
        <f t="shared" si="9"/>
        <v>0.14999999999999991</v>
      </c>
      <c r="M177" s="47" t="str">
        <f>IF(K177&lt;='01_PARÂMETROS'!$B$14,"Preferencial",IF(K177&lt;='01_PARÂMETROS'!$B$15,"Baixo",IF(K177&lt;='01_PARÂMETROS'!$B$16,"Médio",IF(K177&lt;='01_PARÂMETROS'!$B$17,"Alto","Elevado"))))</f>
        <v>Alto</v>
      </c>
      <c r="N177" s="58" t="s">
        <v>486</v>
      </c>
      <c r="O177" s="54"/>
    </row>
    <row r="178" spans="1:15" ht="13.5" customHeight="1" x14ac:dyDescent="0.25">
      <c r="A178" s="13" t="s">
        <v>673</v>
      </c>
      <c r="B178" s="49" t="s">
        <v>660</v>
      </c>
      <c r="C178" s="14" t="s">
        <v>674</v>
      </c>
      <c r="D178" s="50" t="s">
        <v>662</v>
      </c>
      <c r="E178" s="64" t="s">
        <v>566</v>
      </c>
      <c r="F178" s="54" t="s">
        <v>485</v>
      </c>
      <c r="G178" s="54" t="s">
        <v>485</v>
      </c>
      <c r="H178" s="54" t="s">
        <v>485</v>
      </c>
      <c r="I178" s="43">
        <f>'01_PARÂMETROS'!$B$9</f>
        <v>50</v>
      </c>
      <c r="J178" s="44">
        <f t="shared" si="11"/>
        <v>1.1499999999999999</v>
      </c>
      <c r="K178" s="45">
        <f>MAX('01_PARÂMETROS'!$B$11,MIN('01_PARÂMETROS'!$B$12,J178))</f>
        <v>1.1499999999999999</v>
      </c>
      <c r="L178" s="46">
        <f t="shared" si="9"/>
        <v>0.14999999999999991</v>
      </c>
      <c r="M178" s="47" t="str">
        <f>IF(K178&lt;='01_PARÂMETROS'!$B$14,"Preferencial",IF(K178&lt;='01_PARÂMETROS'!$B$15,"Baixo",IF(K178&lt;='01_PARÂMETROS'!$B$16,"Médio",IF(K178&lt;='01_PARÂMETROS'!$B$17,"Alto","Elevado"))))</f>
        <v>Alto</v>
      </c>
      <c r="N178" s="58" t="s">
        <v>486</v>
      </c>
      <c r="O178" s="61"/>
    </row>
    <row r="179" spans="1:15" ht="13.5" customHeight="1" x14ac:dyDescent="0.25">
      <c r="A179" s="24" t="s">
        <v>675</v>
      </c>
      <c r="B179" s="38" t="s">
        <v>660</v>
      </c>
      <c r="C179" s="25" t="s">
        <v>676</v>
      </c>
      <c r="D179" s="39" t="s">
        <v>662</v>
      </c>
      <c r="E179" s="64" t="s">
        <v>566</v>
      </c>
      <c r="F179" s="54" t="s">
        <v>485</v>
      </c>
      <c r="G179" s="54" t="s">
        <v>485</v>
      </c>
      <c r="H179" s="54" t="s">
        <v>485</v>
      </c>
      <c r="I179" s="43">
        <f>'01_PARÂMETROS'!$B$9</f>
        <v>50</v>
      </c>
      <c r="J179" s="44">
        <f t="shared" si="11"/>
        <v>1.1499999999999999</v>
      </c>
      <c r="K179" s="45">
        <f>MAX('01_PARÂMETROS'!$B$11,MIN('01_PARÂMETROS'!$B$12,J179))</f>
        <v>1.1499999999999999</v>
      </c>
      <c r="L179" s="46">
        <f t="shared" si="9"/>
        <v>0.14999999999999991</v>
      </c>
      <c r="M179" s="47" t="str">
        <f>IF(K179&lt;='01_PARÂMETROS'!$B$14,"Preferencial",IF(K179&lt;='01_PARÂMETROS'!$B$15,"Baixo",IF(K179&lt;='01_PARÂMETROS'!$B$16,"Médio",IF(K179&lt;='01_PARÂMETROS'!$B$17,"Alto","Elevado"))))</f>
        <v>Alto</v>
      </c>
      <c r="N179" s="58" t="s">
        <v>486</v>
      </c>
      <c r="O179" s="54"/>
    </row>
    <row r="180" spans="1:15" ht="13.5" customHeight="1" x14ac:dyDescent="0.25">
      <c r="A180" s="13" t="s">
        <v>677</v>
      </c>
      <c r="B180" s="49" t="s">
        <v>660</v>
      </c>
      <c r="C180" s="14" t="s">
        <v>678</v>
      </c>
      <c r="D180" s="50" t="s">
        <v>662</v>
      </c>
      <c r="E180" s="64" t="s">
        <v>566</v>
      </c>
      <c r="F180" s="54" t="s">
        <v>485</v>
      </c>
      <c r="G180" s="54" t="s">
        <v>485</v>
      </c>
      <c r="H180" s="54" t="s">
        <v>485</v>
      </c>
      <c r="I180" s="43">
        <f>'01_PARÂMETROS'!$B$9</f>
        <v>50</v>
      </c>
      <c r="J180" s="44">
        <f t="shared" si="11"/>
        <v>1.1499999999999999</v>
      </c>
      <c r="K180" s="45">
        <f>MAX('01_PARÂMETROS'!$B$11,MIN('01_PARÂMETROS'!$B$12,J180))</f>
        <v>1.1499999999999999</v>
      </c>
      <c r="L180" s="46">
        <f t="shared" si="9"/>
        <v>0.14999999999999991</v>
      </c>
      <c r="M180" s="47" t="str">
        <f>IF(K180&lt;='01_PARÂMETROS'!$B$14,"Preferencial",IF(K180&lt;='01_PARÂMETROS'!$B$15,"Baixo",IF(K180&lt;='01_PARÂMETROS'!$B$16,"Médio",IF(K180&lt;='01_PARÂMETROS'!$B$17,"Alto","Elevado"))))</f>
        <v>Alto</v>
      </c>
      <c r="N180" s="58" t="s">
        <v>486</v>
      </c>
      <c r="O180" s="61"/>
    </row>
    <row r="181" spans="1:15" ht="13.5" customHeight="1" x14ac:dyDescent="0.25">
      <c r="A181" s="24" t="s">
        <v>679</v>
      </c>
      <c r="B181" s="38" t="s">
        <v>660</v>
      </c>
      <c r="C181" s="25" t="s">
        <v>680</v>
      </c>
      <c r="D181" s="39" t="s">
        <v>662</v>
      </c>
      <c r="E181" s="64" t="s">
        <v>566</v>
      </c>
      <c r="F181" s="54" t="s">
        <v>485</v>
      </c>
      <c r="G181" s="54" t="s">
        <v>485</v>
      </c>
      <c r="H181" s="54" t="s">
        <v>485</v>
      </c>
      <c r="I181" s="43">
        <f>'01_PARÂMETROS'!$B$9</f>
        <v>50</v>
      </c>
      <c r="J181" s="44">
        <f t="shared" si="11"/>
        <v>1.1499999999999999</v>
      </c>
      <c r="K181" s="45">
        <f>MAX('01_PARÂMETROS'!$B$11,MIN('01_PARÂMETROS'!$B$12,J181))</f>
        <v>1.1499999999999999</v>
      </c>
      <c r="L181" s="46">
        <f t="shared" si="9"/>
        <v>0.14999999999999991</v>
      </c>
      <c r="M181" s="47" t="str">
        <f>IF(K181&lt;='01_PARÂMETROS'!$B$14,"Preferencial",IF(K181&lt;='01_PARÂMETROS'!$B$15,"Baixo",IF(K181&lt;='01_PARÂMETROS'!$B$16,"Médio",IF(K181&lt;='01_PARÂMETROS'!$B$17,"Alto","Elevado"))))</f>
        <v>Alto</v>
      </c>
      <c r="N181" s="58" t="s">
        <v>486</v>
      </c>
      <c r="O181" s="54"/>
    </row>
    <row r="182" spans="1:15" ht="13.5" customHeight="1" x14ac:dyDescent="0.25">
      <c r="A182" s="13" t="s">
        <v>681</v>
      </c>
      <c r="B182" s="49" t="s">
        <v>660</v>
      </c>
      <c r="C182" s="14" t="s">
        <v>682</v>
      </c>
      <c r="D182" s="50" t="s">
        <v>662</v>
      </c>
      <c r="E182" s="64" t="s">
        <v>566</v>
      </c>
      <c r="F182" s="54" t="s">
        <v>485</v>
      </c>
      <c r="G182" s="54" t="s">
        <v>485</v>
      </c>
      <c r="H182" s="54" t="s">
        <v>485</v>
      </c>
      <c r="I182" s="43">
        <f>'01_PARÂMETROS'!$B$9</f>
        <v>50</v>
      </c>
      <c r="J182" s="44">
        <f t="shared" si="11"/>
        <v>1.1499999999999999</v>
      </c>
      <c r="K182" s="45">
        <f>MAX('01_PARÂMETROS'!$B$11,MIN('01_PARÂMETROS'!$B$12,J182))</f>
        <v>1.1499999999999999</v>
      </c>
      <c r="L182" s="46">
        <f t="shared" si="9"/>
        <v>0.14999999999999991</v>
      </c>
      <c r="M182" s="47" t="str">
        <f>IF(K182&lt;='01_PARÂMETROS'!$B$14,"Preferencial",IF(K182&lt;='01_PARÂMETROS'!$B$15,"Baixo",IF(K182&lt;='01_PARÂMETROS'!$B$16,"Médio",IF(K182&lt;='01_PARÂMETROS'!$B$17,"Alto","Elevado"))))</f>
        <v>Alto</v>
      </c>
      <c r="N182" s="58" t="s">
        <v>486</v>
      </c>
      <c r="O182" s="61"/>
    </row>
    <row r="183" spans="1:15" ht="13.5" customHeight="1" x14ac:dyDescent="0.25">
      <c r="A183" s="24" t="s">
        <v>683</v>
      </c>
      <c r="B183" s="38" t="s">
        <v>660</v>
      </c>
      <c r="C183" s="25" t="s">
        <v>684</v>
      </c>
      <c r="D183" s="39" t="s">
        <v>662</v>
      </c>
      <c r="E183" s="40" t="s">
        <v>477</v>
      </c>
      <c r="F183" s="54" t="s">
        <v>485</v>
      </c>
      <c r="G183" s="54" t="s">
        <v>485</v>
      </c>
      <c r="H183" s="54" t="s">
        <v>485</v>
      </c>
      <c r="I183" s="43">
        <f>'01_PARÂMETROS'!$B$9</f>
        <v>50</v>
      </c>
      <c r="J183" s="44">
        <f>1</f>
        <v>1</v>
      </c>
      <c r="K183" s="55">
        <f>MAX('01_PARÂMETROS'!$B$11,MIN('01_PARÂMETROS'!$B$12,J183))</f>
        <v>1</v>
      </c>
      <c r="L183" s="56">
        <f t="shared" si="9"/>
        <v>0</v>
      </c>
      <c r="M183" s="57" t="str">
        <f>IF(K183&lt;='01_PARÂMETROS'!$B$14,"Preferencial",IF(K183&lt;='01_PARÂMETROS'!$B$15,"Baixo",IF(K183&lt;='01_PARÂMETROS'!$B$16,"Médio",IF(K183&lt;='01_PARÂMETROS'!$B$17,"Alto","Elevado"))))</f>
        <v>Médio</v>
      </c>
      <c r="N183" s="58" t="s">
        <v>486</v>
      </c>
      <c r="O183" s="54"/>
    </row>
    <row r="184" spans="1:15" ht="13.5" customHeight="1" x14ac:dyDescent="0.25">
      <c r="A184" s="13" t="s">
        <v>685</v>
      </c>
      <c r="B184" s="49" t="s">
        <v>660</v>
      </c>
      <c r="C184" s="14" t="s">
        <v>686</v>
      </c>
      <c r="D184" s="50" t="s">
        <v>662</v>
      </c>
      <c r="E184" s="40" t="s">
        <v>477</v>
      </c>
      <c r="F184" s="54" t="s">
        <v>485</v>
      </c>
      <c r="G184" s="54" t="s">
        <v>485</v>
      </c>
      <c r="H184" s="54" t="s">
        <v>485</v>
      </c>
      <c r="I184" s="43">
        <f>'01_PARÂMETROS'!$B$9</f>
        <v>50</v>
      </c>
      <c r="J184" s="44">
        <f>1</f>
        <v>1</v>
      </c>
      <c r="K184" s="55">
        <f>MAX('01_PARÂMETROS'!$B$11,MIN('01_PARÂMETROS'!$B$12,J184))</f>
        <v>1</v>
      </c>
      <c r="L184" s="56">
        <f t="shared" si="9"/>
        <v>0</v>
      </c>
      <c r="M184" s="57" t="str">
        <f>IF(K184&lt;='01_PARÂMETROS'!$B$14,"Preferencial",IF(K184&lt;='01_PARÂMETROS'!$B$15,"Baixo",IF(K184&lt;='01_PARÂMETROS'!$B$16,"Médio",IF(K184&lt;='01_PARÂMETROS'!$B$17,"Alto","Elevado"))))</f>
        <v>Médio</v>
      </c>
      <c r="N184" s="58" t="s">
        <v>486</v>
      </c>
      <c r="O184" s="61"/>
    </row>
    <row r="185" spans="1:15" ht="13.5" customHeight="1" x14ac:dyDescent="0.25">
      <c r="A185" s="24" t="s">
        <v>687</v>
      </c>
      <c r="B185" s="38" t="s">
        <v>660</v>
      </c>
      <c r="C185" s="25" t="s">
        <v>688</v>
      </c>
      <c r="D185" s="39" t="s">
        <v>662</v>
      </c>
      <c r="E185" s="40" t="s">
        <v>477</v>
      </c>
      <c r="F185" s="54" t="s">
        <v>485</v>
      </c>
      <c r="G185" s="54" t="s">
        <v>485</v>
      </c>
      <c r="H185" s="54" t="s">
        <v>485</v>
      </c>
      <c r="I185" s="43">
        <f>'01_PARÂMETROS'!$B$9</f>
        <v>50</v>
      </c>
      <c r="J185" s="44">
        <f>1</f>
        <v>1</v>
      </c>
      <c r="K185" s="55">
        <f>MAX('01_PARÂMETROS'!$B$11,MIN('01_PARÂMETROS'!$B$12,J185))</f>
        <v>1</v>
      </c>
      <c r="L185" s="56">
        <f t="shared" si="9"/>
        <v>0</v>
      </c>
      <c r="M185" s="57" t="str">
        <f>IF(K185&lt;='01_PARÂMETROS'!$B$14,"Preferencial",IF(K185&lt;='01_PARÂMETROS'!$B$15,"Baixo",IF(K185&lt;='01_PARÂMETROS'!$B$16,"Médio",IF(K185&lt;='01_PARÂMETROS'!$B$17,"Alto","Elevado"))))</f>
        <v>Médio</v>
      </c>
      <c r="N185" s="58" t="s">
        <v>486</v>
      </c>
      <c r="O185" s="54"/>
    </row>
    <row r="186" spans="1:15" ht="13.5" customHeight="1" x14ac:dyDescent="0.25">
      <c r="A186" s="13" t="s">
        <v>689</v>
      </c>
      <c r="B186" s="49" t="s">
        <v>660</v>
      </c>
      <c r="C186" s="14" t="s">
        <v>690</v>
      </c>
      <c r="D186" s="50" t="s">
        <v>662</v>
      </c>
      <c r="E186" s="40" t="s">
        <v>477</v>
      </c>
      <c r="F186" s="54" t="s">
        <v>485</v>
      </c>
      <c r="G186" s="54" t="s">
        <v>485</v>
      </c>
      <c r="H186" s="54" t="s">
        <v>485</v>
      </c>
      <c r="I186" s="43">
        <f>'01_PARÂMETROS'!$B$9</f>
        <v>50</v>
      </c>
      <c r="J186" s="44">
        <f>1</f>
        <v>1</v>
      </c>
      <c r="K186" s="55">
        <f>MAX('01_PARÂMETROS'!$B$11,MIN('01_PARÂMETROS'!$B$12,J186))</f>
        <v>1</v>
      </c>
      <c r="L186" s="56">
        <f t="shared" si="9"/>
        <v>0</v>
      </c>
      <c r="M186" s="57" t="str">
        <f>IF(K186&lt;='01_PARÂMETROS'!$B$14,"Preferencial",IF(K186&lt;='01_PARÂMETROS'!$B$15,"Baixo",IF(K186&lt;='01_PARÂMETROS'!$B$16,"Médio",IF(K186&lt;='01_PARÂMETROS'!$B$17,"Alto","Elevado"))))</f>
        <v>Médio</v>
      </c>
      <c r="N186" s="58" t="s">
        <v>486</v>
      </c>
      <c r="O186" s="61"/>
    </row>
    <row r="187" spans="1:15" ht="13.5" customHeight="1" x14ac:dyDescent="0.25">
      <c r="A187" s="24" t="s">
        <v>691</v>
      </c>
      <c r="B187" s="38" t="s">
        <v>660</v>
      </c>
      <c r="C187" s="25" t="s">
        <v>692</v>
      </c>
      <c r="D187" s="39" t="s">
        <v>662</v>
      </c>
      <c r="E187" s="40" t="s">
        <v>477</v>
      </c>
      <c r="F187" s="54" t="s">
        <v>485</v>
      </c>
      <c r="G187" s="54" t="s">
        <v>485</v>
      </c>
      <c r="H187" s="54" t="s">
        <v>485</v>
      </c>
      <c r="I187" s="43">
        <f>'01_PARÂMETROS'!$B$9</f>
        <v>50</v>
      </c>
      <c r="J187" s="44">
        <f>1</f>
        <v>1</v>
      </c>
      <c r="K187" s="55">
        <f>MAX('01_PARÂMETROS'!$B$11,MIN('01_PARÂMETROS'!$B$12,J187))</f>
        <v>1</v>
      </c>
      <c r="L187" s="56">
        <f t="shared" si="9"/>
        <v>0</v>
      </c>
      <c r="M187" s="57" t="str">
        <f>IF(K187&lt;='01_PARÂMETROS'!$B$14,"Preferencial",IF(K187&lt;='01_PARÂMETROS'!$B$15,"Baixo",IF(K187&lt;='01_PARÂMETROS'!$B$16,"Médio",IF(K187&lt;='01_PARÂMETROS'!$B$17,"Alto","Elevado"))))</f>
        <v>Médio</v>
      </c>
      <c r="N187" s="58" t="s">
        <v>486</v>
      </c>
      <c r="O187" s="54"/>
    </row>
    <row r="188" spans="1:15" ht="13.5" customHeight="1" x14ac:dyDescent="0.25">
      <c r="A188" s="13" t="s">
        <v>693</v>
      </c>
      <c r="B188" s="49" t="s">
        <v>660</v>
      </c>
      <c r="C188" s="14" t="s">
        <v>694</v>
      </c>
      <c r="D188" s="50" t="s">
        <v>662</v>
      </c>
      <c r="E188" s="40" t="s">
        <v>477</v>
      </c>
      <c r="F188" s="54" t="s">
        <v>485</v>
      </c>
      <c r="G188" s="54" t="s">
        <v>485</v>
      </c>
      <c r="H188" s="54" t="s">
        <v>485</v>
      </c>
      <c r="I188" s="43">
        <f>'01_PARÂMETROS'!$B$9</f>
        <v>50</v>
      </c>
      <c r="J188" s="44">
        <f>1</f>
        <v>1</v>
      </c>
      <c r="K188" s="55">
        <f>MAX('01_PARÂMETROS'!$B$11,MIN('01_PARÂMETROS'!$B$12,J188))</f>
        <v>1</v>
      </c>
      <c r="L188" s="56">
        <f t="shared" si="9"/>
        <v>0</v>
      </c>
      <c r="M188" s="57" t="str">
        <f>IF(K188&lt;='01_PARÂMETROS'!$B$14,"Preferencial",IF(K188&lt;='01_PARÂMETROS'!$B$15,"Baixo",IF(K188&lt;='01_PARÂMETROS'!$B$16,"Médio",IF(K188&lt;='01_PARÂMETROS'!$B$17,"Alto","Elevado"))))</f>
        <v>Médio</v>
      </c>
      <c r="N188" s="58" t="s">
        <v>486</v>
      </c>
      <c r="O188" s="61"/>
    </row>
    <row r="189" spans="1:15" ht="13.5" customHeight="1" x14ac:dyDescent="0.25">
      <c r="A189" s="24" t="s">
        <v>695</v>
      </c>
      <c r="B189" s="38" t="s">
        <v>660</v>
      </c>
      <c r="C189" s="25" t="s">
        <v>696</v>
      </c>
      <c r="D189" s="39" t="s">
        <v>662</v>
      </c>
      <c r="E189" s="40" t="s">
        <v>477</v>
      </c>
      <c r="F189" s="54" t="s">
        <v>485</v>
      </c>
      <c r="G189" s="54" t="s">
        <v>485</v>
      </c>
      <c r="H189" s="54" t="s">
        <v>485</v>
      </c>
      <c r="I189" s="43">
        <f>'01_PARÂMETROS'!$B$9</f>
        <v>50</v>
      </c>
      <c r="J189" s="44">
        <f>1</f>
        <v>1</v>
      </c>
      <c r="K189" s="55">
        <f>MAX('01_PARÂMETROS'!$B$11,MIN('01_PARÂMETROS'!$B$12,J189))</f>
        <v>1</v>
      </c>
      <c r="L189" s="56">
        <f t="shared" si="9"/>
        <v>0</v>
      </c>
      <c r="M189" s="57" t="str">
        <f>IF(K189&lt;='01_PARÂMETROS'!$B$14,"Preferencial",IF(K189&lt;='01_PARÂMETROS'!$B$15,"Baixo",IF(K189&lt;='01_PARÂMETROS'!$B$16,"Médio",IF(K189&lt;='01_PARÂMETROS'!$B$17,"Alto","Elevado"))))</f>
        <v>Médio</v>
      </c>
      <c r="N189" s="58" t="s">
        <v>486</v>
      </c>
      <c r="O189" s="54"/>
    </row>
    <row r="190" spans="1:15" ht="13.5" customHeight="1" x14ac:dyDescent="0.25">
      <c r="A190" s="13" t="s">
        <v>697</v>
      </c>
      <c r="B190" s="49" t="s">
        <v>660</v>
      </c>
      <c r="C190" s="14" t="s">
        <v>698</v>
      </c>
      <c r="D190" s="50" t="s">
        <v>662</v>
      </c>
      <c r="E190" s="40" t="s">
        <v>477</v>
      </c>
      <c r="F190" s="54" t="s">
        <v>485</v>
      </c>
      <c r="G190" s="54" t="s">
        <v>485</v>
      </c>
      <c r="H190" s="54" t="s">
        <v>485</v>
      </c>
      <c r="I190" s="43">
        <f>'01_PARÂMETROS'!$B$9</f>
        <v>50</v>
      </c>
      <c r="J190" s="44">
        <f>1</f>
        <v>1</v>
      </c>
      <c r="K190" s="55">
        <f>MAX('01_PARÂMETROS'!$B$11,MIN('01_PARÂMETROS'!$B$12,J190))</f>
        <v>1</v>
      </c>
      <c r="L190" s="56">
        <f t="shared" si="9"/>
        <v>0</v>
      </c>
      <c r="M190" s="57" t="str">
        <f>IF(K190&lt;='01_PARÂMETROS'!$B$14,"Preferencial",IF(K190&lt;='01_PARÂMETROS'!$B$15,"Baixo",IF(K190&lt;='01_PARÂMETROS'!$B$16,"Médio",IF(K190&lt;='01_PARÂMETROS'!$B$17,"Alto","Elevado"))))</f>
        <v>Médio</v>
      </c>
      <c r="N190" s="58" t="s">
        <v>486</v>
      </c>
      <c r="O190" s="61"/>
    </row>
    <row r="191" spans="1:15" ht="13.5" customHeight="1" x14ac:dyDescent="0.25">
      <c r="A191" s="24" t="s">
        <v>699</v>
      </c>
      <c r="B191" s="38" t="s">
        <v>660</v>
      </c>
      <c r="C191" s="25" t="s">
        <v>700</v>
      </c>
      <c r="D191" s="39" t="s">
        <v>662</v>
      </c>
      <c r="E191" s="40" t="s">
        <v>477</v>
      </c>
      <c r="F191" s="54" t="s">
        <v>485</v>
      </c>
      <c r="G191" s="54" t="s">
        <v>485</v>
      </c>
      <c r="H191" s="54" t="s">
        <v>485</v>
      </c>
      <c r="I191" s="43">
        <f>'01_PARÂMETROS'!$B$9</f>
        <v>50</v>
      </c>
      <c r="J191" s="44">
        <f>1</f>
        <v>1</v>
      </c>
      <c r="K191" s="55">
        <f>MAX('01_PARÂMETROS'!$B$11,MIN('01_PARÂMETROS'!$B$12,J191))</f>
        <v>1</v>
      </c>
      <c r="L191" s="56">
        <f t="shared" si="9"/>
        <v>0</v>
      </c>
      <c r="M191" s="57" t="str">
        <f>IF(K191&lt;='01_PARÂMETROS'!$B$14,"Preferencial",IF(K191&lt;='01_PARÂMETROS'!$B$15,"Baixo",IF(K191&lt;='01_PARÂMETROS'!$B$16,"Médio",IF(K191&lt;='01_PARÂMETROS'!$B$17,"Alto","Elevado"))))</f>
        <v>Médio</v>
      </c>
      <c r="N191" s="58" t="s">
        <v>486</v>
      </c>
      <c r="O191" s="54"/>
    </row>
    <row r="192" spans="1:15" ht="13.5" customHeight="1" x14ac:dyDescent="0.25">
      <c r="A192" s="13" t="s">
        <v>701</v>
      </c>
      <c r="B192" s="49" t="s">
        <v>660</v>
      </c>
      <c r="C192" s="14" t="s">
        <v>702</v>
      </c>
      <c r="D192" s="50" t="s">
        <v>662</v>
      </c>
      <c r="E192" s="40" t="s">
        <v>477</v>
      </c>
      <c r="F192" s="54" t="s">
        <v>485</v>
      </c>
      <c r="G192" s="54" t="s">
        <v>485</v>
      </c>
      <c r="H192" s="54" t="s">
        <v>485</v>
      </c>
      <c r="I192" s="43">
        <f>'01_PARÂMETROS'!$B$9</f>
        <v>50</v>
      </c>
      <c r="J192" s="44">
        <f>1</f>
        <v>1</v>
      </c>
      <c r="K192" s="55">
        <f>MAX('01_PARÂMETROS'!$B$11,MIN('01_PARÂMETROS'!$B$12,J192))</f>
        <v>1</v>
      </c>
      <c r="L192" s="56">
        <f t="shared" si="9"/>
        <v>0</v>
      </c>
      <c r="M192" s="57" t="str">
        <f>IF(K192&lt;='01_PARÂMETROS'!$B$14,"Preferencial",IF(K192&lt;='01_PARÂMETROS'!$B$15,"Baixo",IF(K192&lt;='01_PARÂMETROS'!$B$16,"Médio",IF(K192&lt;='01_PARÂMETROS'!$B$17,"Alto","Elevado"))))</f>
        <v>Médio</v>
      </c>
      <c r="N192" s="58" t="s">
        <v>486</v>
      </c>
      <c r="O192" s="61"/>
    </row>
    <row r="193" spans="1:15" ht="13.5" customHeight="1" x14ac:dyDescent="0.25">
      <c r="A193" s="24" t="s">
        <v>703</v>
      </c>
      <c r="B193" s="38" t="s">
        <v>660</v>
      </c>
      <c r="C193" s="25" t="s">
        <v>704</v>
      </c>
      <c r="D193" s="39" t="s">
        <v>662</v>
      </c>
      <c r="E193" s="40" t="s">
        <v>477</v>
      </c>
      <c r="F193" s="54" t="s">
        <v>485</v>
      </c>
      <c r="G193" s="54" t="s">
        <v>485</v>
      </c>
      <c r="H193" s="54" t="s">
        <v>485</v>
      </c>
      <c r="I193" s="43">
        <f>'01_PARÂMETROS'!$B$9</f>
        <v>50</v>
      </c>
      <c r="J193" s="44">
        <f>1</f>
        <v>1</v>
      </c>
      <c r="K193" s="55">
        <f>MAX('01_PARÂMETROS'!$B$11,MIN('01_PARÂMETROS'!$B$12,J193))</f>
        <v>1</v>
      </c>
      <c r="L193" s="56">
        <f t="shared" si="9"/>
        <v>0</v>
      </c>
      <c r="M193" s="57" t="str">
        <f>IF(K193&lt;='01_PARÂMETROS'!$B$14,"Preferencial",IF(K193&lt;='01_PARÂMETROS'!$B$15,"Baixo",IF(K193&lt;='01_PARÂMETROS'!$B$16,"Médio",IF(K193&lt;='01_PARÂMETROS'!$B$17,"Alto","Elevado"))))</f>
        <v>Médio</v>
      </c>
      <c r="N193" s="58" t="s">
        <v>486</v>
      </c>
      <c r="O193" s="54"/>
    </row>
    <row r="194" spans="1:15" ht="13.5" customHeight="1" x14ac:dyDescent="0.25">
      <c r="A194" s="13" t="s">
        <v>705</v>
      </c>
      <c r="B194" s="49" t="s">
        <v>660</v>
      </c>
      <c r="C194" s="14" t="s">
        <v>706</v>
      </c>
      <c r="D194" s="50" t="s">
        <v>662</v>
      </c>
      <c r="E194" s="40" t="s">
        <v>477</v>
      </c>
      <c r="F194" s="54" t="s">
        <v>485</v>
      </c>
      <c r="G194" s="54" t="s">
        <v>485</v>
      </c>
      <c r="H194" s="54" t="s">
        <v>485</v>
      </c>
      <c r="I194" s="43">
        <f>'01_PARÂMETROS'!$B$9</f>
        <v>50</v>
      </c>
      <c r="J194" s="44">
        <f>1</f>
        <v>1</v>
      </c>
      <c r="K194" s="55">
        <f>MAX('01_PARÂMETROS'!$B$11,MIN('01_PARÂMETROS'!$B$12,J194))</f>
        <v>1</v>
      </c>
      <c r="L194" s="56">
        <f t="shared" si="9"/>
        <v>0</v>
      </c>
      <c r="M194" s="57" t="str">
        <f>IF(K194&lt;='01_PARÂMETROS'!$B$14,"Preferencial",IF(K194&lt;='01_PARÂMETROS'!$B$15,"Baixo",IF(K194&lt;='01_PARÂMETROS'!$B$16,"Médio",IF(K194&lt;='01_PARÂMETROS'!$B$17,"Alto","Elevado"))))</f>
        <v>Médio</v>
      </c>
      <c r="N194" s="58" t="s">
        <v>486</v>
      </c>
      <c r="O194" s="61"/>
    </row>
    <row r="195" spans="1:15" ht="13.5" customHeight="1" x14ac:dyDescent="0.25">
      <c r="A195" s="24" t="s">
        <v>707</v>
      </c>
      <c r="B195" s="38" t="s">
        <v>660</v>
      </c>
      <c r="C195" s="25" t="s">
        <v>708</v>
      </c>
      <c r="D195" s="39" t="s">
        <v>662</v>
      </c>
      <c r="E195" s="40" t="s">
        <v>477</v>
      </c>
      <c r="F195" s="54" t="s">
        <v>485</v>
      </c>
      <c r="G195" s="54" t="s">
        <v>485</v>
      </c>
      <c r="H195" s="54" t="s">
        <v>485</v>
      </c>
      <c r="I195" s="43">
        <f>'01_PARÂMETROS'!$B$9</f>
        <v>50</v>
      </c>
      <c r="J195" s="44">
        <f>1</f>
        <v>1</v>
      </c>
      <c r="K195" s="55">
        <f>MAX('01_PARÂMETROS'!$B$11,MIN('01_PARÂMETROS'!$B$12,J195))</f>
        <v>1</v>
      </c>
      <c r="L195" s="56">
        <f t="shared" si="9"/>
        <v>0</v>
      </c>
      <c r="M195" s="57" t="str">
        <f>IF(K195&lt;='01_PARÂMETROS'!$B$14,"Preferencial",IF(K195&lt;='01_PARÂMETROS'!$B$15,"Baixo",IF(K195&lt;='01_PARÂMETROS'!$B$16,"Médio",IF(K195&lt;='01_PARÂMETROS'!$B$17,"Alto","Elevado"))))</f>
        <v>Médio</v>
      </c>
      <c r="N195" s="58" t="s">
        <v>486</v>
      </c>
      <c r="O195" s="54"/>
    </row>
    <row r="196" spans="1:15" ht="13.5" customHeight="1" x14ac:dyDescent="0.25">
      <c r="A196" s="13" t="s">
        <v>709</v>
      </c>
      <c r="B196" s="49" t="s">
        <v>660</v>
      </c>
      <c r="C196" s="14" t="s">
        <v>710</v>
      </c>
      <c r="D196" s="50" t="s">
        <v>662</v>
      </c>
      <c r="E196" s="40" t="s">
        <v>477</v>
      </c>
      <c r="F196" s="54" t="s">
        <v>485</v>
      </c>
      <c r="G196" s="54" t="s">
        <v>485</v>
      </c>
      <c r="H196" s="54" t="s">
        <v>485</v>
      </c>
      <c r="I196" s="43">
        <f>'01_PARÂMETROS'!$B$9</f>
        <v>50</v>
      </c>
      <c r="J196" s="44">
        <f>1</f>
        <v>1</v>
      </c>
      <c r="K196" s="55">
        <f>MAX('01_PARÂMETROS'!$B$11,MIN('01_PARÂMETROS'!$B$12,J196))</f>
        <v>1</v>
      </c>
      <c r="L196" s="56">
        <f t="shared" si="9"/>
        <v>0</v>
      </c>
      <c r="M196" s="57" t="str">
        <f>IF(K196&lt;='01_PARÂMETROS'!$B$14,"Preferencial",IF(K196&lt;='01_PARÂMETROS'!$B$15,"Baixo",IF(K196&lt;='01_PARÂMETROS'!$B$16,"Médio",IF(K196&lt;='01_PARÂMETROS'!$B$17,"Alto","Elevado"))))</f>
        <v>Médio</v>
      </c>
      <c r="N196" s="58" t="s">
        <v>486</v>
      </c>
      <c r="O196" s="61"/>
    </row>
    <row r="197" spans="1:15" ht="13.5" customHeight="1" x14ac:dyDescent="0.25">
      <c r="A197" s="24" t="s">
        <v>711</v>
      </c>
      <c r="B197" s="38" t="s">
        <v>660</v>
      </c>
      <c r="C197" s="25" t="s">
        <v>712</v>
      </c>
      <c r="D197" s="39" t="s">
        <v>662</v>
      </c>
      <c r="E197" s="40" t="s">
        <v>477</v>
      </c>
      <c r="F197" s="54" t="s">
        <v>485</v>
      </c>
      <c r="G197" s="54" t="s">
        <v>485</v>
      </c>
      <c r="H197" s="54" t="s">
        <v>485</v>
      </c>
      <c r="I197" s="43">
        <f>'01_PARÂMETROS'!$B$9</f>
        <v>50</v>
      </c>
      <c r="J197" s="44">
        <f>1</f>
        <v>1</v>
      </c>
      <c r="K197" s="55">
        <f>MAX('01_PARÂMETROS'!$B$11,MIN('01_PARÂMETROS'!$B$12,J197))</f>
        <v>1</v>
      </c>
      <c r="L197" s="56">
        <f t="shared" ref="L197:L260" si="12">(K197-1)</f>
        <v>0</v>
      </c>
      <c r="M197" s="57" t="str">
        <f>IF(K197&lt;='01_PARÂMETROS'!$B$14,"Preferencial",IF(K197&lt;='01_PARÂMETROS'!$B$15,"Baixo",IF(K197&lt;='01_PARÂMETROS'!$B$16,"Médio",IF(K197&lt;='01_PARÂMETROS'!$B$17,"Alto","Elevado"))))</f>
        <v>Médio</v>
      </c>
      <c r="N197" s="58" t="s">
        <v>486</v>
      </c>
      <c r="O197" s="54"/>
    </row>
    <row r="198" spans="1:15" ht="13.5" customHeight="1" x14ac:dyDescent="0.25">
      <c r="A198" s="13" t="s">
        <v>713</v>
      </c>
      <c r="B198" s="49" t="s">
        <v>660</v>
      </c>
      <c r="C198" s="14" t="s">
        <v>714</v>
      </c>
      <c r="D198" s="50" t="s">
        <v>662</v>
      </c>
      <c r="E198" s="40" t="s">
        <v>477</v>
      </c>
      <c r="F198" s="54" t="s">
        <v>485</v>
      </c>
      <c r="G198" s="54" t="s">
        <v>485</v>
      </c>
      <c r="H198" s="54" t="s">
        <v>485</v>
      </c>
      <c r="I198" s="43">
        <f>'01_PARÂMETROS'!$B$9</f>
        <v>50</v>
      </c>
      <c r="J198" s="44">
        <f>1</f>
        <v>1</v>
      </c>
      <c r="K198" s="55">
        <f>MAX('01_PARÂMETROS'!$B$11,MIN('01_PARÂMETROS'!$B$12,J198))</f>
        <v>1</v>
      </c>
      <c r="L198" s="56">
        <f t="shared" si="12"/>
        <v>0</v>
      </c>
      <c r="M198" s="57" t="str">
        <f>IF(K198&lt;='01_PARÂMETROS'!$B$14,"Preferencial",IF(K198&lt;='01_PARÂMETROS'!$B$15,"Baixo",IF(K198&lt;='01_PARÂMETROS'!$B$16,"Médio",IF(K198&lt;='01_PARÂMETROS'!$B$17,"Alto","Elevado"))))</f>
        <v>Médio</v>
      </c>
      <c r="N198" s="58" t="s">
        <v>486</v>
      </c>
      <c r="O198" s="61"/>
    </row>
    <row r="199" spans="1:15" ht="13.5" customHeight="1" x14ac:dyDescent="0.25">
      <c r="A199" s="24" t="s">
        <v>715</v>
      </c>
      <c r="B199" s="38" t="s">
        <v>660</v>
      </c>
      <c r="C199" s="25" t="s">
        <v>716</v>
      </c>
      <c r="D199" s="39" t="s">
        <v>662</v>
      </c>
      <c r="E199" s="40" t="s">
        <v>477</v>
      </c>
      <c r="F199" s="54" t="s">
        <v>485</v>
      </c>
      <c r="G199" s="54" t="s">
        <v>485</v>
      </c>
      <c r="H199" s="54" t="s">
        <v>485</v>
      </c>
      <c r="I199" s="43">
        <f>'01_PARÂMETROS'!$B$9</f>
        <v>50</v>
      </c>
      <c r="J199" s="44">
        <f>1</f>
        <v>1</v>
      </c>
      <c r="K199" s="55">
        <f>MAX('01_PARÂMETROS'!$B$11,MIN('01_PARÂMETROS'!$B$12,J199))</f>
        <v>1</v>
      </c>
      <c r="L199" s="56">
        <f t="shared" si="12"/>
        <v>0</v>
      </c>
      <c r="M199" s="57" t="str">
        <f>IF(K199&lt;='01_PARÂMETROS'!$B$14,"Preferencial",IF(K199&lt;='01_PARÂMETROS'!$B$15,"Baixo",IF(K199&lt;='01_PARÂMETROS'!$B$16,"Médio",IF(K199&lt;='01_PARÂMETROS'!$B$17,"Alto","Elevado"))))</f>
        <v>Médio</v>
      </c>
      <c r="N199" s="58" t="s">
        <v>486</v>
      </c>
      <c r="O199" s="54"/>
    </row>
    <row r="200" spans="1:15" ht="13.5" customHeight="1" x14ac:dyDescent="0.25">
      <c r="A200" s="13" t="s">
        <v>717</v>
      </c>
      <c r="B200" s="49" t="s">
        <v>660</v>
      </c>
      <c r="C200" s="14" t="s">
        <v>718</v>
      </c>
      <c r="D200" s="50" t="s">
        <v>662</v>
      </c>
      <c r="E200" s="40" t="s">
        <v>477</v>
      </c>
      <c r="F200" s="54" t="s">
        <v>485</v>
      </c>
      <c r="G200" s="54" t="s">
        <v>485</v>
      </c>
      <c r="H200" s="54" t="s">
        <v>485</v>
      </c>
      <c r="I200" s="43">
        <f>'01_PARÂMETROS'!$B$9</f>
        <v>50</v>
      </c>
      <c r="J200" s="44">
        <f>1</f>
        <v>1</v>
      </c>
      <c r="K200" s="55">
        <f>MAX('01_PARÂMETROS'!$B$11,MIN('01_PARÂMETROS'!$B$12,J200))</f>
        <v>1</v>
      </c>
      <c r="L200" s="56">
        <f t="shared" si="12"/>
        <v>0</v>
      </c>
      <c r="M200" s="57" t="str">
        <f>IF(K200&lt;='01_PARÂMETROS'!$B$14,"Preferencial",IF(K200&lt;='01_PARÂMETROS'!$B$15,"Baixo",IF(K200&lt;='01_PARÂMETROS'!$B$16,"Médio",IF(K200&lt;='01_PARÂMETROS'!$B$17,"Alto","Elevado"))))</f>
        <v>Médio</v>
      </c>
      <c r="N200" s="58" t="s">
        <v>486</v>
      </c>
      <c r="O200" s="61"/>
    </row>
    <row r="201" spans="1:15" ht="13.5" customHeight="1" x14ac:dyDescent="0.25">
      <c r="A201" s="24" t="s">
        <v>719</v>
      </c>
      <c r="B201" s="38" t="s">
        <v>660</v>
      </c>
      <c r="C201" s="25" t="s">
        <v>720</v>
      </c>
      <c r="D201" s="39" t="s">
        <v>662</v>
      </c>
      <c r="E201" s="40" t="s">
        <v>477</v>
      </c>
      <c r="F201" s="54" t="s">
        <v>485</v>
      </c>
      <c r="G201" s="54" t="s">
        <v>485</v>
      </c>
      <c r="H201" s="54" t="s">
        <v>485</v>
      </c>
      <c r="I201" s="43">
        <f>'01_PARÂMETROS'!$B$9</f>
        <v>50</v>
      </c>
      <c r="J201" s="44">
        <f>1</f>
        <v>1</v>
      </c>
      <c r="K201" s="55">
        <f>MAX('01_PARÂMETROS'!$B$11,MIN('01_PARÂMETROS'!$B$12,J201))</f>
        <v>1</v>
      </c>
      <c r="L201" s="56">
        <f t="shared" si="12"/>
        <v>0</v>
      </c>
      <c r="M201" s="57" t="str">
        <f>IF(K201&lt;='01_PARÂMETROS'!$B$14,"Preferencial",IF(K201&lt;='01_PARÂMETROS'!$B$15,"Baixo",IF(K201&lt;='01_PARÂMETROS'!$B$16,"Médio",IF(K201&lt;='01_PARÂMETROS'!$B$17,"Alto","Elevado"))))</f>
        <v>Médio</v>
      </c>
      <c r="N201" s="58" t="s">
        <v>486</v>
      </c>
      <c r="O201" s="54"/>
    </row>
    <row r="202" spans="1:15" ht="13.5" customHeight="1" x14ac:dyDescent="0.25">
      <c r="A202" s="13" t="s">
        <v>721</v>
      </c>
      <c r="B202" s="49" t="s">
        <v>660</v>
      </c>
      <c r="C202" s="14" t="s">
        <v>722</v>
      </c>
      <c r="D202" s="50" t="s">
        <v>662</v>
      </c>
      <c r="E202" s="40" t="s">
        <v>477</v>
      </c>
      <c r="F202" s="54" t="s">
        <v>485</v>
      </c>
      <c r="G202" s="54" t="s">
        <v>485</v>
      </c>
      <c r="H202" s="54" t="s">
        <v>485</v>
      </c>
      <c r="I202" s="43">
        <f>'01_PARÂMETROS'!$B$9</f>
        <v>50</v>
      </c>
      <c r="J202" s="44">
        <f>1</f>
        <v>1</v>
      </c>
      <c r="K202" s="55">
        <f>MAX('01_PARÂMETROS'!$B$11,MIN('01_PARÂMETROS'!$B$12,J202))</f>
        <v>1</v>
      </c>
      <c r="L202" s="56">
        <f t="shared" si="12"/>
        <v>0</v>
      </c>
      <c r="M202" s="57" t="str">
        <f>IF(K202&lt;='01_PARÂMETROS'!$B$14,"Preferencial",IF(K202&lt;='01_PARÂMETROS'!$B$15,"Baixo",IF(K202&lt;='01_PARÂMETROS'!$B$16,"Médio",IF(K202&lt;='01_PARÂMETROS'!$B$17,"Alto","Elevado"))))</f>
        <v>Médio</v>
      </c>
      <c r="N202" s="58" t="s">
        <v>486</v>
      </c>
      <c r="O202" s="61"/>
    </row>
    <row r="203" spans="1:15" ht="13.5" customHeight="1" x14ac:dyDescent="0.25">
      <c r="A203" s="24" t="s">
        <v>723</v>
      </c>
      <c r="B203" s="38" t="s">
        <v>660</v>
      </c>
      <c r="C203" s="25" t="s">
        <v>724</v>
      </c>
      <c r="D203" s="39" t="s">
        <v>662</v>
      </c>
      <c r="E203" s="40" t="s">
        <v>477</v>
      </c>
      <c r="F203" s="54" t="s">
        <v>485</v>
      </c>
      <c r="G203" s="54" t="s">
        <v>485</v>
      </c>
      <c r="H203" s="54" t="s">
        <v>485</v>
      </c>
      <c r="I203" s="43">
        <f>'01_PARÂMETROS'!$B$9</f>
        <v>50</v>
      </c>
      <c r="J203" s="44">
        <f>1</f>
        <v>1</v>
      </c>
      <c r="K203" s="55">
        <f>MAX('01_PARÂMETROS'!$B$11,MIN('01_PARÂMETROS'!$B$12,J203))</f>
        <v>1</v>
      </c>
      <c r="L203" s="56">
        <f t="shared" si="12"/>
        <v>0</v>
      </c>
      <c r="M203" s="57" t="str">
        <f>IF(K203&lt;='01_PARÂMETROS'!$B$14,"Preferencial",IF(K203&lt;='01_PARÂMETROS'!$B$15,"Baixo",IF(K203&lt;='01_PARÂMETROS'!$B$16,"Médio",IF(K203&lt;='01_PARÂMETROS'!$B$17,"Alto","Elevado"))))</f>
        <v>Médio</v>
      </c>
      <c r="N203" s="58" t="s">
        <v>486</v>
      </c>
      <c r="O203" s="54"/>
    </row>
    <row r="204" spans="1:15" ht="13.5" customHeight="1" x14ac:dyDescent="0.25">
      <c r="A204" s="13" t="s">
        <v>725</v>
      </c>
      <c r="B204" s="49" t="s">
        <v>660</v>
      </c>
      <c r="C204" s="14" t="s">
        <v>726</v>
      </c>
      <c r="D204" s="50" t="s">
        <v>662</v>
      </c>
      <c r="E204" s="40" t="s">
        <v>477</v>
      </c>
      <c r="F204" s="54" t="s">
        <v>485</v>
      </c>
      <c r="G204" s="54" t="s">
        <v>485</v>
      </c>
      <c r="H204" s="54" t="s">
        <v>485</v>
      </c>
      <c r="I204" s="43">
        <f>'01_PARÂMETROS'!$B$9</f>
        <v>50</v>
      </c>
      <c r="J204" s="44">
        <f>1</f>
        <v>1</v>
      </c>
      <c r="K204" s="55">
        <f>MAX('01_PARÂMETROS'!$B$11,MIN('01_PARÂMETROS'!$B$12,J204))</f>
        <v>1</v>
      </c>
      <c r="L204" s="56">
        <f t="shared" si="12"/>
        <v>0</v>
      </c>
      <c r="M204" s="57" t="str">
        <f>IF(K204&lt;='01_PARÂMETROS'!$B$14,"Preferencial",IF(K204&lt;='01_PARÂMETROS'!$B$15,"Baixo",IF(K204&lt;='01_PARÂMETROS'!$B$16,"Médio",IF(K204&lt;='01_PARÂMETROS'!$B$17,"Alto","Elevado"))))</f>
        <v>Médio</v>
      </c>
      <c r="N204" s="58" t="s">
        <v>486</v>
      </c>
      <c r="O204" s="61"/>
    </row>
    <row r="205" spans="1:15" ht="13.5" customHeight="1" x14ac:dyDescent="0.25">
      <c r="A205" s="24" t="s">
        <v>727</v>
      </c>
      <c r="B205" s="38" t="s">
        <v>660</v>
      </c>
      <c r="C205" s="25" t="s">
        <v>728</v>
      </c>
      <c r="D205" s="39" t="s">
        <v>662</v>
      </c>
      <c r="E205" s="40" t="s">
        <v>477</v>
      </c>
      <c r="F205" s="54" t="s">
        <v>485</v>
      </c>
      <c r="G205" s="54" t="s">
        <v>485</v>
      </c>
      <c r="H205" s="54" t="s">
        <v>485</v>
      </c>
      <c r="I205" s="43">
        <f>'01_PARÂMETROS'!$B$9</f>
        <v>50</v>
      </c>
      <c r="J205" s="44">
        <f>1</f>
        <v>1</v>
      </c>
      <c r="K205" s="55">
        <f>MAX('01_PARÂMETROS'!$B$11,MIN('01_PARÂMETROS'!$B$12,J205))</f>
        <v>1</v>
      </c>
      <c r="L205" s="56">
        <f t="shared" si="12"/>
        <v>0</v>
      </c>
      <c r="M205" s="57" t="str">
        <f>IF(K205&lt;='01_PARÂMETROS'!$B$14,"Preferencial",IF(K205&lt;='01_PARÂMETROS'!$B$15,"Baixo",IF(K205&lt;='01_PARÂMETROS'!$B$16,"Médio",IF(K205&lt;='01_PARÂMETROS'!$B$17,"Alto","Elevado"))))</f>
        <v>Médio</v>
      </c>
      <c r="N205" s="58" t="s">
        <v>486</v>
      </c>
      <c r="O205" s="54"/>
    </row>
    <row r="206" spans="1:15" ht="13.5" customHeight="1" x14ac:dyDescent="0.25">
      <c r="A206" s="13" t="s">
        <v>729</v>
      </c>
      <c r="B206" s="49" t="s">
        <v>660</v>
      </c>
      <c r="C206" s="14" t="s">
        <v>730</v>
      </c>
      <c r="D206" s="50" t="s">
        <v>662</v>
      </c>
      <c r="E206" s="40" t="s">
        <v>477</v>
      </c>
      <c r="F206" s="54" t="s">
        <v>485</v>
      </c>
      <c r="G206" s="54" t="s">
        <v>485</v>
      </c>
      <c r="H206" s="54" t="s">
        <v>485</v>
      </c>
      <c r="I206" s="43">
        <f>'01_PARÂMETROS'!$B$9</f>
        <v>50</v>
      </c>
      <c r="J206" s="44">
        <f>1</f>
        <v>1</v>
      </c>
      <c r="K206" s="55">
        <f>MAX('01_PARÂMETROS'!$B$11,MIN('01_PARÂMETROS'!$B$12,J206))</f>
        <v>1</v>
      </c>
      <c r="L206" s="56">
        <f t="shared" si="12"/>
        <v>0</v>
      </c>
      <c r="M206" s="57" t="str">
        <f>IF(K206&lt;='01_PARÂMETROS'!$B$14,"Preferencial",IF(K206&lt;='01_PARÂMETROS'!$B$15,"Baixo",IF(K206&lt;='01_PARÂMETROS'!$B$16,"Médio",IF(K206&lt;='01_PARÂMETROS'!$B$17,"Alto","Elevado"))))</f>
        <v>Médio</v>
      </c>
      <c r="N206" s="58" t="s">
        <v>486</v>
      </c>
      <c r="O206" s="61"/>
    </row>
    <row r="207" spans="1:15" ht="13.5" customHeight="1" x14ac:dyDescent="0.25">
      <c r="A207" s="24" t="s">
        <v>731</v>
      </c>
      <c r="B207" s="38" t="s">
        <v>660</v>
      </c>
      <c r="C207" s="25" t="s">
        <v>732</v>
      </c>
      <c r="D207" s="39" t="s">
        <v>662</v>
      </c>
      <c r="E207" s="40" t="s">
        <v>477</v>
      </c>
      <c r="F207" s="54" t="s">
        <v>485</v>
      </c>
      <c r="G207" s="54" t="s">
        <v>485</v>
      </c>
      <c r="H207" s="54" t="s">
        <v>485</v>
      </c>
      <c r="I207" s="43">
        <f>'01_PARÂMETROS'!$B$9</f>
        <v>50</v>
      </c>
      <c r="J207" s="44">
        <f>1</f>
        <v>1</v>
      </c>
      <c r="K207" s="55">
        <f>MAX('01_PARÂMETROS'!$B$11,MIN('01_PARÂMETROS'!$B$12,J207))</f>
        <v>1</v>
      </c>
      <c r="L207" s="56">
        <f t="shared" si="12"/>
        <v>0</v>
      </c>
      <c r="M207" s="57" t="str">
        <f>IF(K207&lt;='01_PARÂMETROS'!$B$14,"Preferencial",IF(K207&lt;='01_PARÂMETROS'!$B$15,"Baixo",IF(K207&lt;='01_PARÂMETROS'!$B$16,"Médio",IF(K207&lt;='01_PARÂMETROS'!$B$17,"Alto","Elevado"))))</f>
        <v>Médio</v>
      </c>
      <c r="N207" s="58" t="s">
        <v>486</v>
      </c>
      <c r="O207" s="54"/>
    </row>
    <row r="208" spans="1:15" ht="13.5" customHeight="1" x14ac:dyDescent="0.25">
      <c r="A208" s="13" t="s">
        <v>733</v>
      </c>
      <c r="B208" s="49" t="s">
        <v>660</v>
      </c>
      <c r="C208" s="14" t="s">
        <v>734</v>
      </c>
      <c r="D208" s="50" t="s">
        <v>662</v>
      </c>
      <c r="E208" s="40" t="s">
        <v>477</v>
      </c>
      <c r="F208" s="54" t="s">
        <v>485</v>
      </c>
      <c r="G208" s="54" t="s">
        <v>485</v>
      </c>
      <c r="H208" s="54" t="s">
        <v>485</v>
      </c>
      <c r="I208" s="43">
        <f>'01_PARÂMETROS'!$B$9</f>
        <v>50</v>
      </c>
      <c r="J208" s="44">
        <f>1</f>
        <v>1</v>
      </c>
      <c r="K208" s="55">
        <f>MAX('01_PARÂMETROS'!$B$11,MIN('01_PARÂMETROS'!$B$12,J208))</f>
        <v>1</v>
      </c>
      <c r="L208" s="56">
        <f t="shared" si="12"/>
        <v>0</v>
      </c>
      <c r="M208" s="57" t="str">
        <f>IF(K208&lt;='01_PARÂMETROS'!$B$14,"Preferencial",IF(K208&lt;='01_PARÂMETROS'!$B$15,"Baixo",IF(K208&lt;='01_PARÂMETROS'!$B$16,"Médio",IF(K208&lt;='01_PARÂMETROS'!$B$17,"Alto","Elevado"))))</f>
        <v>Médio</v>
      </c>
      <c r="N208" s="58" t="s">
        <v>486</v>
      </c>
      <c r="O208" s="61"/>
    </row>
    <row r="209" spans="1:15" ht="13.5" customHeight="1" x14ac:dyDescent="0.25">
      <c r="A209" s="24" t="s">
        <v>735</v>
      </c>
      <c r="B209" s="38" t="s">
        <v>660</v>
      </c>
      <c r="C209" s="25" t="s">
        <v>736</v>
      </c>
      <c r="D209" s="39" t="s">
        <v>662</v>
      </c>
      <c r="E209" s="40" t="s">
        <v>477</v>
      </c>
      <c r="F209" s="54" t="s">
        <v>485</v>
      </c>
      <c r="G209" s="54" t="s">
        <v>485</v>
      </c>
      <c r="H209" s="54" t="s">
        <v>485</v>
      </c>
      <c r="I209" s="43">
        <f>'01_PARÂMETROS'!$B$9</f>
        <v>50</v>
      </c>
      <c r="J209" s="44">
        <f>1</f>
        <v>1</v>
      </c>
      <c r="K209" s="55">
        <f>MAX('01_PARÂMETROS'!$B$11,MIN('01_PARÂMETROS'!$B$12,J209))</f>
        <v>1</v>
      </c>
      <c r="L209" s="56">
        <f t="shared" si="12"/>
        <v>0</v>
      </c>
      <c r="M209" s="57" t="str">
        <f>IF(K209&lt;='01_PARÂMETROS'!$B$14,"Preferencial",IF(K209&lt;='01_PARÂMETROS'!$B$15,"Baixo",IF(K209&lt;='01_PARÂMETROS'!$B$16,"Médio",IF(K209&lt;='01_PARÂMETROS'!$B$17,"Alto","Elevado"))))</f>
        <v>Médio</v>
      </c>
      <c r="N209" s="58" t="s">
        <v>486</v>
      </c>
      <c r="O209" s="54"/>
    </row>
    <row r="210" spans="1:15" ht="13.5" customHeight="1" x14ac:dyDescent="0.25">
      <c r="A210" s="13" t="s">
        <v>737</v>
      </c>
      <c r="B210" s="49" t="s">
        <v>660</v>
      </c>
      <c r="C210" s="14" t="s">
        <v>738</v>
      </c>
      <c r="D210" s="50" t="s">
        <v>662</v>
      </c>
      <c r="E210" s="40" t="s">
        <v>477</v>
      </c>
      <c r="F210" s="54" t="s">
        <v>485</v>
      </c>
      <c r="G210" s="54" t="s">
        <v>485</v>
      </c>
      <c r="H210" s="54" t="s">
        <v>485</v>
      </c>
      <c r="I210" s="43">
        <f>'01_PARÂMETROS'!$B$9</f>
        <v>50</v>
      </c>
      <c r="J210" s="44">
        <f>1</f>
        <v>1</v>
      </c>
      <c r="K210" s="55">
        <f>MAX('01_PARÂMETROS'!$B$11,MIN('01_PARÂMETROS'!$B$12,J210))</f>
        <v>1</v>
      </c>
      <c r="L210" s="56">
        <f t="shared" si="12"/>
        <v>0</v>
      </c>
      <c r="M210" s="57" t="str">
        <f>IF(K210&lt;='01_PARÂMETROS'!$B$14,"Preferencial",IF(K210&lt;='01_PARÂMETROS'!$B$15,"Baixo",IF(K210&lt;='01_PARÂMETROS'!$B$16,"Médio",IF(K210&lt;='01_PARÂMETROS'!$B$17,"Alto","Elevado"))))</f>
        <v>Médio</v>
      </c>
      <c r="N210" s="58" t="s">
        <v>486</v>
      </c>
      <c r="O210" s="61"/>
    </row>
    <row r="211" spans="1:15" ht="13.5" customHeight="1" x14ac:dyDescent="0.25">
      <c r="A211" s="24" t="s">
        <v>739</v>
      </c>
      <c r="B211" s="38" t="s">
        <v>660</v>
      </c>
      <c r="C211" s="25" t="s">
        <v>740</v>
      </c>
      <c r="D211" s="39" t="s">
        <v>662</v>
      </c>
      <c r="E211" s="40" t="s">
        <v>477</v>
      </c>
      <c r="F211" s="54" t="s">
        <v>485</v>
      </c>
      <c r="G211" s="54" t="s">
        <v>485</v>
      </c>
      <c r="H211" s="54" t="s">
        <v>485</v>
      </c>
      <c r="I211" s="43">
        <f>'01_PARÂMETROS'!$B$9</f>
        <v>50</v>
      </c>
      <c r="J211" s="44">
        <f>1</f>
        <v>1</v>
      </c>
      <c r="K211" s="55">
        <f>MAX('01_PARÂMETROS'!$B$11,MIN('01_PARÂMETROS'!$B$12,J211))</f>
        <v>1</v>
      </c>
      <c r="L211" s="56">
        <f t="shared" si="12"/>
        <v>0</v>
      </c>
      <c r="M211" s="57" t="str">
        <f>IF(K211&lt;='01_PARÂMETROS'!$B$14,"Preferencial",IF(K211&lt;='01_PARÂMETROS'!$B$15,"Baixo",IF(K211&lt;='01_PARÂMETROS'!$B$16,"Médio",IF(K211&lt;='01_PARÂMETROS'!$B$17,"Alto","Elevado"))))</f>
        <v>Médio</v>
      </c>
      <c r="N211" s="58" t="s">
        <v>486</v>
      </c>
      <c r="O211" s="54"/>
    </row>
    <row r="212" spans="1:15" ht="13.5" customHeight="1" x14ac:dyDescent="0.25">
      <c r="A212" s="13" t="s">
        <v>741</v>
      </c>
      <c r="B212" s="49" t="s">
        <v>660</v>
      </c>
      <c r="C212" s="14" t="s">
        <v>742</v>
      </c>
      <c r="D212" s="50" t="s">
        <v>662</v>
      </c>
      <c r="E212" s="40" t="s">
        <v>477</v>
      </c>
      <c r="F212" s="54" t="s">
        <v>485</v>
      </c>
      <c r="G212" s="54" t="s">
        <v>485</v>
      </c>
      <c r="H212" s="54" t="s">
        <v>485</v>
      </c>
      <c r="I212" s="43">
        <f>'01_PARÂMETROS'!$B$9</f>
        <v>50</v>
      </c>
      <c r="J212" s="44">
        <f>1</f>
        <v>1</v>
      </c>
      <c r="K212" s="55">
        <f>MAX('01_PARÂMETROS'!$B$11,MIN('01_PARÂMETROS'!$B$12,J212))</f>
        <v>1</v>
      </c>
      <c r="L212" s="56">
        <f t="shared" si="12"/>
        <v>0</v>
      </c>
      <c r="M212" s="57" t="str">
        <f>IF(K212&lt;='01_PARÂMETROS'!$B$14,"Preferencial",IF(K212&lt;='01_PARÂMETROS'!$B$15,"Baixo",IF(K212&lt;='01_PARÂMETROS'!$B$16,"Médio",IF(K212&lt;='01_PARÂMETROS'!$B$17,"Alto","Elevado"))))</f>
        <v>Médio</v>
      </c>
      <c r="N212" s="58" t="s">
        <v>486</v>
      </c>
      <c r="O212" s="61"/>
    </row>
    <row r="213" spans="1:15" ht="13.5" customHeight="1" x14ac:dyDescent="0.25">
      <c r="A213" s="24" t="s">
        <v>743</v>
      </c>
      <c r="B213" s="38" t="s">
        <v>660</v>
      </c>
      <c r="C213" s="25" t="s">
        <v>744</v>
      </c>
      <c r="D213" s="39" t="s">
        <v>662</v>
      </c>
      <c r="E213" s="40" t="s">
        <v>477</v>
      </c>
      <c r="F213" s="54" t="s">
        <v>485</v>
      </c>
      <c r="G213" s="54" t="s">
        <v>485</v>
      </c>
      <c r="H213" s="54" t="s">
        <v>485</v>
      </c>
      <c r="I213" s="43">
        <f>'01_PARÂMETROS'!$B$9</f>
        <v>50</v>
      </c>
      <c r="J213" s="44">
        <f>1</f>
        <v>1</v>
      </c>
      <c r="K213" s="55">
        <f>MAX('01_PARÂMETROS'!$B$11,MIN('01_PARÂMETROS'!$B$12,J213))</f>
        <v>1</v>
      </c>
      <c r="L213" s="56">
        <f t="shared" si="12"/>
        <v>0</v>
      </c>
      <c r="M213" s="57" t="str">
        <f>IF(K213&lt;='01_PARÂMETROS'!$B$14,"Preferencial",IF(K213&lt;='01_PARÂMETROS'!$B$15,"Baixo",IF(K213&lt;='01_PARÂMETROS'!$B$16,"Médio",IF(K213&lt;='01_PARÂMETROS'!$B$17,"Alto","Elevado"))))</f>
        <v>Médio</v>
      </c>
      <c r="N213" s="58" t="s">
        <v>486</v>
      </c>
      <c r="O213" s="54"/>
    </row>
    <row r="214" spans="1:15" ht="13.5" customHeight="1" x14ac:dyDescent="0.25">
      <c r="A214" s="13" t="s">
        <v>745</v>
      </c>
      <c r="B214" s="49" t="s">
        <v>660</v>
      </c>
      <c r="C214" s="14" t="s">
        <v>746</v>
      </c>
      <c r="D214" s="50" t="s">
        <v>662</v>
      </c>
      <c r="E214" s="40" t="s">
        <v>477</v>
      </c>
      <c r="F214" s="54" t="s">
        <v>485</v>
      </c>
      <c r="G214" s="54" t="s">
        <v>485</v>
      </c>
      <c r="H214" s="54" t="s">
        <v>485</v>
      </c>
      <c r="I214" s="43">
        <f>'01_PARÂMETROS'!$B$9</f>
        <v>50</v>
      </c>
      <c r="J214" s="44">
        <f>1</f>
        <v>1</v>
      </c>
      <c r="K214" s="55">
        <f>MAX('01_PARÂMETROS'!$B$11,MIN('01_PARÂMETROS'!$B$12,J214))</f>
        <v>1</v>
      </c>
      <c r="L214" s="56">
        <f t="shared" si="12"/>
        <v>0</v>
      </c>
      <c r="M214" s="57" t="str">
        <f>IF(K214&lt;='01_PARÂMETROS'!$B$14,"Preferencial",IF(K214&lt;='01_PARÂMETROS'!$B$15,"Baixo",IF(K214&lt;='01_PARÂMETROS'!$B$16,"Médio",IF(K214&lt;='01_PARÂMETROS'!$B$17,"Alto","Elevado"))))</f>
        <v>Médio</v>
      </c>
      <c r="N214" s="58" t="s">
        <v>486</v>
      </c>
      <c r="O214" s="61"/>
    </row>
    <row r="215" spans="1:15" ht="13.5" customHeight="1" x14ac:dyDescent="0.25">
      <c r="A215" s="24" t="s">
        <v>747</v>
      </c>
      <c r="B215" s="38" t="s">
        <v>660</v>
      </c>
      <c r="C215" s="25" t="s">
        <v>748</v>
      </c>
      <c r="D215" s="39" t="s">
        <v>662</v>
      </c>
      <c r="E215" s="40" t="s">
        <v>477</v>
      </c>
      <c r="F215" s="54" t="s">
        <v>485</v>
      </c>
      <c r="G215" s="54" t="s">
        <v>485</v>
      </c>
      <c r="H215" s="54" t="s">
        <v>485</v>
      </c>
      <c r="I215" s="43">
        <f>'01_PARÂMETROS'!$B$9</f>
        <v>50</v>
      </c>
      <c r="J215" s="44">
        <f>1</f>
        <v>1</v>
      </c>
      <c r="K215" s="55">
        <f>MAX('01_PARÂMETROS'!$B$11,MIN('01_PARÂMETROS'!$B$12,J215))</f>
        <v>1</v>
      </c>
      <c r="L215" s="56">
        <f t="shared" si="12"/>
        <v>0</v>
      </c>
      <c r="M215" s="57" t="str">
        <f>IF(K215&lt;='01_PARÂMETROS'!$B$14,"Preferencial",IF(K215&lt;='01_PARÂMETROS'!$B$15,"Baixo",IF(K215&lt;='01_PARÂMETROS'!$B$16,"Médio",IF(K215&lt;='01_PARÂMETROS'!$B$17,"Alto","Elevado"))))</f>
        <v>Médio</v>
      </c>
      <c r="N215" s="58" t="s">
        <v>486</v>
      </c>
      <c r="O215" s="54"/>
    </row>
    <row r="216" spans="1:15" ht="13.5" customHeight="1" x14ac:dyDescent="0.25">
      <c r="A216" s="13" t="s">
        <v>749</v>
      </c>
      <c r="B216" s="49" t="s">
        <v>660</v>
      </c>
      <c r="C216" s="14" t="s">
        <v>750</v>
      </c>
      <c r="D216" s="50" t="s">
        <v>662</v>
      </c>
      <c r="E216" s="40" t="s">
        <v>477</v>
      </c>
      <c r="F216" s="54" t="s">
        <v>485</v>
      </c>
      <c r="G216" s="54" t="s">
        <v>485</v>
      </c>
      <c r="H216" s="54" t="s">
        <v>485</v>
      </c>
      <c r="I216" s="43">
        <f>'01_PARÂMETROS'!$B$9</f>
        <v>50</v>
      </c>
      <c r="J216" s="44">
        <f>1</f>
        <v>1</v>
      </c>
      <c r="K216" s="55">
        <f>MAX('01_PARÂMETROS'!$B$11,MIN('01_PARÂMETROS'!$B$12,J216))</f>
        <v>1</v>
      </c>
      <c r="L216" s="56">
        <f t="shared" si="12"/>
        <v>0</v>
      </c>
      <c r="M216" s="57" t="str">
        <f>IF(K216&lt;='01_PARÂMETROS'!$B$14,"Preferencial",IF(K216&lt;='01_PARÂMETROS'!$B$15,"Baixo",IF(K216&lt;='01_PARÂMETROS'!$B$16,"Médio",IF(K216&lt;='01_PARÂMETROS'!$B$17,"Alto","Elevado"))))</f>
        <v>Médio</v>
      </c>
      <c r="N216" s="58" t="s">
        <v>486</v>
      </c>
      <c r="O216" s="61"/>
    </row>
    <row r="217" spans="1:15" ht="13.5" customHeight="1" x14ac:dyDescent="0.25">
      <c r="A217" s="24" t="s">
        <v>751</v>
      </c>
      <c r="B217" s="38" t="s">
        <v>660</v>
      </c>
      <c r="C217" s="25" t="s">
        <v>752</v>
      </c>
      <c r="D217" s="39" t="s">
        <v>662</v>
      </c>
      <c r="E217" s="40" t="s">
        <v>477</v>
      </c>
      <c r="F217" s="54" t="s">
        <v>485</v>
      </c>
      <c r="G217" s="54" t="s">
        <v>485</v>
      </c>
      <c r="H217" s="54" t="s">
        <v>485</v>
      </c>
      <c r="I217" s="43">
        <f>'01_PARÂMETROS'!$B$9</f>
        <v>50</v>
      </c>
      <c r="J217" s="44">
        <f>1</f>
        <v>1</v>
      </c>
      <c r="K217" s="55">
        <f>MAX('01_PARÂMETROS'!$B$11,MIN('01_PARÂMETROS'!$B$12,J217))</f>
        <v>1</v>
      </c>
      <c r="L217" s="56">
        <f t="shared" si="12"/>
        <v>0</v>
      </c>
      <c r="M217" s="57" t="str">
        <f>IF(K217&lt;='01_PARÂMETROS'!$B$14,"Preferencial",IF(K217&lt;='01_PARÂMETROS'!$B$15,"Baixo",IF(K217&lt;='01_PARÂMETROS'!$B$16,"Médio",IF(K217&lt;='01_PARÂMETROS'!$B$17,"Alto","Elevado"))))</f>
        <v>Médio</v>
      </c>
      <c r="N217" s="58" t="s">
        <v>486</v>
      </c>
      <c r="O217" s="54"/>
    </row>
    <row r="218" spans="1:15" ht="13.5" customHeight="1" x14ac:dyDescent="0.25">
      <c r="A218" s="13" t="s">
        <v>753</v>
      </c>
      <c r="B218" s="49" t="s">
        <v>660</v>
      </c>
      <c r="C218" s="14" t="s">
        <v>754</v>
      </c>
      <c r="D218" s="50" t="s">
        <v>662</v>
      </c>
      <c r="E218" s="40" t="s">
        <v>477</v>
      </c>
      <c r="F218" s="54" t="s">
        <v>485</v>
      </c>
      <c r="G218" s="54" t="s">
        <v>485</v>
      </c>
      <c r="H218" s="54" t="s">
        <v>485</v>
      </c>
      <c r="I218" s="43">
        <f>'01_PARÂMETROS'!$B$9</f>
        <v>50</v>
      </c>
      <c r="J218" s="44">
        <f>1</f>
        <v>1</v>
      </c>
      <c r="K218" s="55">
        <f>MAX('01_PARÂMETROS'!$B$11,MIN('01_PARÂMETROS'!$B$12,J218))</f>
        <v>1</v>
      </c>
      <c r="L218" s="56">
        <f t="shared" si="12"/>
        <v>0</v>
      </c>
      <c r="M218" s="57" t="str">
        <f>IF(K218&lt;='01_PARÂMETROS'!$B$14,"Preferencial",IF(K218&lt;='01_PARÂMETROS'!$B$15,"Baixo",IF(K218&lt;='01_PARÂMETROS'!$B$16,"Médio",IF(K218&lt;='01_PARÂMETROS'!$B$17,"Alto","Elevado"))))</f>
        <v>Médio</v>
      </c>
      <c r="N218" s="58" t="s">
        <v>486</v>
      </c>
      <c r="O218" s="61"/>
    </row>
    <row r="219" spans="1:15" ht="13.5" customHeight="1" x14ac:dyDescent="0.25">
      <c r="A219" s="24" t="s">
        <v>755</v>
      </c>
      <c r="B219" s="38" t="s">
        <v>660</v>
      </c>
      <c r="C219" s="25" t="s">
        <v>756</v>
      </c>
      <c r="D219" s="39" t="s">
        <v>662</v>
      </c>
      <c r="E219" s="40" t="s">
        <v>477</v>
      </c>
      <c r="F219" s="54" t="s">
        <v>485</v>
      </c>
      <c r="G219" s="54" t="s">
        <v>485</v>
      </c>
      <c r="H219" s="54" t="s">
        <v>485</v>
      </c>
      <c r="I219" s="43">
        <f>'01_PARÂMETROS'!$B$9</f>
        <v>50</v>
      </c>
      <c r="J219" s="44">
        <f>1</f>
        <v>1</v>
      </c>
      <c r="K219" s="55">
        <f>MAX('01_PARÂMETROS'!$B$11,MIN('01_PARÂMETROS'!$B$12,J219))</f>
        <v>1</v>
      </c>
      <c r="L219" s="56">
        <f t="shared" si="12"/>
        <v>0</v>
      </c>
      <c r="M219" s="57" t="str">
        <f>IF(K219&lt;='01_PARÂMETROS'!$B$14,"Preferencial",IF(K219&lt;='01_PARÂMETROS'!$B$15,"Baixo",IF(K219&lt;='01_PARÂMETROS'!$B$16,"Médio",IF(K219&lt;='01_PARÂMETROS'!$B$17,"Alto","Elevado"))))</f>
        <v>Médio</v>
      </c>
      <c r="N219" s="58" t="s">
        <v>486</v>
      </c>
      <c r="O219" s="54"/>
    </row>
    <row r="220" spans="1:15" ht="13.5" customHeight="1" x14ac:dyDescent="0.25">
      <c r="A220" s="13" t="s">
        <v>757</v>
      </c>
      <c r="B220" s="49" t="s">
        <v>660</v>
      </c>
      <c r="C220" s="14" t="s">
        <v>758</v>
      </c>
      <c r="D220" s="50" t="s">
        <v>662</v>
      </c>
      <c r="E220" s="40" t="s">
        <v>477</v>
      </c>
      <c r="F220" s="54" t="s">
        <v>485</v>
      </c>
      <c r="G220" s="54" t="s">
        <v>485</v>
      </c>
      <c r="H220" s="54" t="s">
        <v>485</v>
      </c>
      <c r="I220" s="43">
        <f>'01_PARÂMETROS'!$B$9</f>
        <v>50</v>
      </c>
      <c r="J220" s="44">
        <f>1</f>
        <v>1</v>
      </c>
      <c r="K220" s="55">
        <f>MAX('01_PARÂMETROS'!$B$11,MIN('01_PARÂMETROS'!$B$12,J220))</f>
        <v>1</v>
      </c>
      <c r="L220" s="56">
        <f t="shared" si="12"/>
        <v>0</v>
      </c>
      <c r="M220" s="57" t="str">
        <f>IF(K220&lt;='01_PARÂMETROS'!$B$14,"Preferencial",IF(K220&lt;='01_PARÂMETROS'!$B$15,"Baixo",IF(K220&lt;='01_PARÂMETROS'!$B$16,"Médio",IF(K220&lt;='01_PARÂMETROS'!$B$17,"Alto","Elevado"))))</f>
        <v>Médio</v>
      </c>
      <c r="N220" s="58" t="s">
        <v>486</v>
      </c>
      <c r="O220" s="61"/>
    </row>
    <row r="221" spans="1:15" ht="13.5" customHeight="1" x14ac:dyDescent="0.25">
      <c r="A221" s="24" t="s">
        <v>759</v>
      </c>
      <c r="B221" s="38" t="s">
        <v>660</v>
      </c>
      <c r="C221" s="25" t="s">
        <v>760</v>
      </c>
      <c r="D221" s="39" t="s">
        <v>662</v>
      </c>
      <c r="E221" s="40" t="s">
        <v>477</v>
      </c>
      <c r="F221" s="54" t="s">
        <v>485</v>
      </c>
      <c r="G221" s="54" t="s">
        <v>485</v>
      </c>
      <c r="H221" s="54" t="s">
        <v>485</v>
      </c>
      <c r="I221" s="43">
        <f>'01_PARÂMETROS'!$B$9</f>
        <v>50</v>
      </c>
      <c r="J221" s="44">
        <f>1</f>
        <v>1</v>
      </c>
      <c r="K221" s="55">
        <f>MAX('01_PARÂMETROS'!$B$11,MIN('01_PARÂMETROS'!$B$12,J221))</f>
        <v>1</v>
      </c>
      <c r="L221" s="56">
        <f t="shared" si="12"/>
        <v>0</v>
      </c>
      <c r="M221" s="57" t="str">
        <f>IF(K221&lt;='01_PARÂMETROS'!$B$14,"Preferencial",IF(K221&lt;='01_PARÂMETROS'!$B$15,"Baixo",IF(K221&lt;='01_PARÂMETROS'!$B$16,"Médio",IF(K221&lt;='01_PARÂMETROS'!$B$17,"Alto","Elevado"))))</f>
        <v>Médio</v>
      </c>
      <c r="N221" s="58" t="s">
        <v>486</v>
      </c>
      <c r="O221" s="54"/>
    </row>
    <row r="222" spans="1:15" ht="13.5" customHeight="1" x14ac:dyDescent="0.25">
      <c r="A222" s="13" t="s">
        <v>761</v>
      </c>
      <c r="B222" s="49" t="s">
        <v>660</v>
      </c>
      <c r="C222" s="14" t="s">
        <v>762</v>
      </c>
      <c r="D222" s="50" t="s">
        <v>662</v>
      </c>
      <c r="E222" s="40" t="s">
        <v>477</v>
      </c>
      <c r="F222" s="54" t="s">
        <v>485</v>
      </c>
      <c r="G222" s="54" t="s">
        <v>485</v>
      </c>
      <c r="H222" s="54" t="s">
        <v>485</v>
      </c>
      <c r="I222" s="43">
        <f>'01_PARÂMETROS'!$B$9</f>
        <v>50</v>
      </c>
      <c r="J222" s="44">
        <f>1</f>
        <v>1</v>
      </c>
      <c r="K222" s="55">
        <f>MAX('01_PARÂMETROS'!$B$11,MIN('01_PARÂMETROS'!$B$12,J222))</f>
        <v>1</v>
      </c>
      <c r="L222" s="56">
        <f t="shared" si="12"/>
        <v>0</v>
      </c>
      <c r="M222" s="57" t="str">
        <f>IF(K222&lt;='01_PARÂMETROS'!$B$14,"Preferencial",IF(K222&lt;='01_PARÂMETROS'!$B$15,"Baixo",IF(K222&lt;='01_PARÂMETROS'!$B$16,"Médio",IF(K222&lt;='01_PARÂMETROS'!$B$17,"Alto","Elevado"))))</f>
        <v>Médio</v>
      </c>
      <c r="N222" s="58" t="s">
        <v>486</v>
      </c>
      <c r="O222" s="61"/>
    </row>
    <row r="223" spans="1:15" ht="13.5" customHeight="1" x14ac:dyDescent="0.25">
      <c r="A223" s="24" t="s">
        <v>763</v>
      </c>
      <c r="B223" s="38" t="s">
        <v>660</v>
      </c>
      <c r="C223" s="25" t="s">
        <v>764</v>
      </c>
      <c r="D223" s="39" t="s">
        <v>662</v>
      </c>
      <c r="E223" s="40" t="s">
        <v>477</v>
      </c>
      <c r="F223" s="54" t="s">
        <v>485</v>
      </c>
      <c r="G223" s="54" t="s">
        <v>485</v>
      </c>
      <c r="H223" s="54" t="s">
        <v>485</v>
      </c>
      <c r="I223" s="43">
        <f>'01_PARÂMETROS'!$B$9</f>
        <v>50</v>
      </c>
      <c r="J223" s="44">
        <f>1</f>
        <v>1</v>
      </c>
      <c r="K223" s="55">
        <f>MAX('01_PARÂMETROS'!$B$11,MIN('01_PARÂMETROS'!$B$12,J223))</f>
        <v>1</v>
      </c>
      <c r="L223" s="56">
        <f t="shared" si="12"/>
        <v>0</v>
      </c>
      <c r="M223" s="57" t="str">
        <f>IF(K223&lt;='01_PARÂMETROS'!$B$14,"Preferencial",IF(K223&lt;='01_PARÂMETROS'!$B$15,"Baixo",IF(K223&lt;='01_PARÂMETROS'!$B$16,"Médio",IF(K223&lt;='01_PARÂMETROS'!$B$17,"Alto","Elevado"))))</f>
        <v>Médio</v>
      </c>
      <c r="N223" s="58" t="s">
        <v>486</v>
      </c>
      <c r="O223" s="54"/>
    </row>
    <row r="224" spans="1:15" ht="13.5" customHeight="1" x14ac:dyDescent="0.25">
      <c r="A224" s="13" t="s">
        <v>765</v>
      </c>
      <c r="B224" s="49" t="s">
        <v>660</v>
      </c>
      <c r="C224" s="14" t="s">
        <v>766</v>
      </c>
      <c r="D224" s="50" t="s">
        <v>662</v>
      </c>
      <c r="E224" s="40" t="s">
        <v>477</v>
      </c>
      <c r="F224" s="54" t="s">
        <v>485</v>
      </c>
      <c r="G224" s="54" t="s">
        <v>485</v>
      </c>
      <c r="H224" s="54" t="s">
        <v>485</v>
      </c>
      <c r="I224" s="43">
        <f>'01_PARÂMETROS'!$B$9</f>
        <v>50</v>
      </c>
      <c r="J224" s="44">
        <f>1</f>
        <v>1</v>
      </c>
      <c r="K224" s="55">
        <f>MAX('01_PARÂMETROS'!$B$11,MIN('01_PARÂMETROS'!$B$12,J224))</f>
        <v>1</v>
      </c>
      <c r="L224" s="56">
        <f t="shared" si="12"/>
        <v>0</v>
      </c>
      <c r="M224" s="57" t="str">
        <f>IF(K224&lt;='01_PARÂMETROS'!$B$14,"Preferencial",IF(K224&lt;='01_PARÂMETROS'!$B$15,"Baixo",IF(K224&lt;='01_PARÂMETROS'!$B$16,"Médio",IF(K224&lt;='01_PARÂMETROS'!$B$17,"Alto","Elevado"))))</f>
        <v>Médio</v>
      </c>
      <c r="N224" s="58" t="s">
        <v>486</v>
      </c>
      <c r="O224" s="61"/>
    </row>
    <row r="225" spans="1:15" ht="13.5" customHeight="1" x14ac:dyDescent="0.25">
      <c r="A225" s="24" t="s">
        <v>767</v>
      </c>
      <c r="B225" s="38" t="s">
        <v>660</v>
      </c>
      <c r="C225" s="25" t="s">
        <v>768</v>
      </c>
      <c r="D225" s="39" t="s">
        <v>662</v>
      </c>
      <c r="E225" s="40" t="s">
        <v>477</v>
      </c>
      <c r="F225" s="54" t="s">
        <v>485</v>
      </c>
      <c r="G225" s="54" t="s">
        <v>485</v>
      </c>
      <c r="H225" s="54" t="s">
        <v>485</v>
      </c>
      <c r="I225" s="43">
        <f>'01_PARÂMETROS'!$B$9</f>
        <v>50</v>
      </c>
      <c r="J225" s="44">
        <f>1</f>
        <v>1</v>
      </c>
      <c r="K225" s="55">
        <f>MAX('01_PARÂMETROS'!$B$11,MIN('01_PARÂMETROS'!$B$12,J225))</f>
        <v>1</v>
      </c>
      <c r="L225" s="56">
        <f t="shared" si="12"/>
        <v>0</v>
      </c>
      <c r="M225" s="57" t="str">
        <f>IF(K225&lt;='01_PARÂMETROS'!$B$14,"Preferencial",IF(K225&lt;='01_PARÂMETROS'!$B$15,"Baixo",IF(K225&lt;='01_PARÂMETROS'!$B$16,"Médio",IF(K225&lt;='01_PARÂMETROS'!$B$17,"Alto","Elevado"))))</f>
        <v>Médio</v>
      </c>
      <c r="N225" s="58" t="s">
        <v>486</v>
      </c>
      <c r="O225" s="54"/>
    </row>
    <row r="226" spans="1:15" ht="13.5" customHeight="1" x14ac:dyDescent="0.25">
      <c r="A226" s="13" t="s">
        <v>769</v>
      </c>
      <c r="B226" s="49" t="s">
        <v>660</v>
      </c>
      <c r="C226" s="14" t="s">
        <v>770</v>
      </c>
      <c r="D226" s="50" t="s">
        <v>662</v>
      </c>
      <c r="E226" s="40" t="s">
        <v>477</v>
      </c>
      <c r="F226" s="54" t="s">
        <v>485</v>
      </c>
      <c r="G226" s="54" t="s">
        <v>485</v>
      </c>
      <c r="H226" s="54" t="s">
        <v>485</v>
      </c>
      <c r="I226" s="43">
        <f>'01_PARÂMETROS'!$B$9</f>
        <v>50</v>
      </c>
      <c r="J226" s="44">
        <f>1</f>
        <v>1</v>
      </c>
      <c r="K226" s="55">
        <f>MAX('01_PARÂMETROS'!$B$11,MIN('01_PARÂMETROS'!$B$12,J226))</f>
        <v>1</v>
      </c>
      <c r="L226" s="56">
        <f t="shared" si="12"/>
        <v>0</v>
      </c>
      <c r="M226" s="57" t="str">
        <f>IF(K226&lt;='01_PARÂMETROS'!$B$14,"Preferencial",IF(K226&lt;='01_PARÂMETROS'!$B$15,"Baixo",IF(K226&lt;='01_PARÂMETROS'!$B$16,"Médio",IF(K226&lt;='01_PARÂMETROS'!$B$17,"Alto","Elevado"))))</f>
        <v>Médio</v>
      </c>
      <c r="N226" s="58" t="s">
        <v>486</v>
      </c>
      <c r="O226" s="61"/>
    </row>
    <row r="227" spans="1:15" ht="13.5" customHeight="1" x14ac:dyDescent="0.25">
      <c r="A227" s="24" t="s">
        <v>771</v>
      </c>
      <c r="B227" s="38" t="s">
        <v>660</v>
      </c>
      <c r="C227" s="25" t="s">
        <v>772</v>
      </c>
      <c r="D227" s="39" t="s">
        <v>662</v>
      </c>
      <c r="E227" s="40" t="s">
        <v>477</v>
      </c>
      <c r="F227" s="54" t="s">
        <v>485</v>
      </c>
      <c r="G227" s="54" t="s">
        <v>485</v>
      </c>
      <c r="H227" s="54" t="s">
        <v>485</v>
      </c>
      <c r="I227" s="43">
        <f>'01_PARÂMETROS'!$B$9</f>
        <v>50</v>
      </c>
      <c r="J227" s="44">
        <f>1</f>
        <v>1</v>
      </c>
      <c r="K227" s="55">
        <f>MAX('01_PARÂMETROS'!$B$11,MIN('01_PARÂMETROS'!$B$12,J227))</f>
        <v>1</v>
      </c>
      <c r="L227" s="56">
        <f t="shared" si="12"/>
        <v>0</v>
      </c>
      <c r="M227" s="57" t="str">
        <f>IF(K227&lt;='01_PARÂMETROS'!$B$14,"Preferencial",IF(K227&lt;='01_PARÂMETROS'!$B$15,"Baixo",IF(K227&lt;='01_PARÂMETROS'!$B$16,"Médio",IF(K227&lt;='01_PARÂMETROS'!$B$17,"Alto","Elevado"))))</f>
        <v>Médio</v>
      </c>
      <c r="N227" s="58" t="s">
        <v>486</v>
      </c>
      <c r="O227" s="54"/>
    </row>
    <row r="228" spans="1:15" ht="13.5" customHeight="1" x14ac:dyDescent="0.25">
      <c r="A228" s="13" t="s">
        <v>773</v>
      </c>
      <c r="B228" s="49" t="s">
        <v>660</v>
      </c>
      <c r="C228" s="14" t="s">
        <v>774</v>
      </c>
      <c r="D228" s="50" t="s">
        <v>775</v>
      </c>
      <c r="E228" s="40" t="s">
        <v>477</v>
      </c>
      <c r="F228" s="54" t="s">
        <v>485</v>
      </c>
      <c r="G228" s="54" t="s">
        <v>485</v>
      </c>
      <c r="H228" s="54" t="s">
        <v>485</v>
      </c>
      <c r="I228" s="43">
        <f>'01_PARÂMETROS'!$B$9</f>
        <v>50</v>
      </c>
      <c r="J228" s="44">
        <f>1</f>
        <v>1</v>
      </c>
      <c r="K228" s="55">
        <f>MAX('01_PARÂMETROS'!$B$11,MIN('01_PARÂMETROS'!$B$12,J228))</f>
        <v>1</v>
      </c>
      <c r="L228" s="56">
        <f t="shared" si="12"/>
        <v>0</v>
      </c>
      <c r="M228" s="57" t="str">
        <f>IF(K228&lt;='01_PARÂMETROS'!$B$14,"Preferencial",IF(K228&lt;='01_PARÂMETROS'!$B$15,"Baixo",IF(K228&lt;='01_PARÂMETROS'!$B$16,"Médio",IF(K228&lt;='01_PARÂMETROS'!$B$17,"Alto","Elevado"))))</f>
        <v>Médio</v>
      </c>
      <c r="N228" s="58" t="s">
        <v>486</v>
      </c>
      <c r="O228" s="61"/>
    </row>
    <row r="229" spans="1:15" ht="13.5" customHeight="1" x14ac:dyDescent="0.25">
      <c r="A229" s="24" t="s">
        <v>776</v>
      </c>
      <c r="B229" s="38" t="s">
        <v>660</v>
      </c>
      <c r="C229" s="25" t="s">
        <v>777</v>
      </c>
      <c r="D229" s="39" t="s">
        <v>775</v>
      </c>
      <c r="E229" s="40" t="s">
        <v>477</v>
      </c>
      <c r="F229" s="54" t="s">
        <v>485</v>
      </c>
      <c r="G229" s="54" t="s">
        <v>485</v>
      </c>
      <c r="H229" s="54" t="s">
        <v>485</v>
      </c>
      <c r="I229" s="43">
        <f>'01_PARÂMETROS'!$B$9</f>
        <v>50</v>
      </c>
      <c r="J229" s="44">
        <f>1</f>
        <v>1</v>
      </c>
      <c r="K229" s="55">
        <f>MAX('01_PARÂMETROS'!$B$11,MIN('01_PARÂMETROS'!$B$12,J229))</f>
        <v>1</v>
      </c>
      <c r="L229" s="56">
        <f t="shared" si="12"/>
        <v>0</v>
      </c>
      <c r="M229" s="57" t="str">
        <f>IF(K229&lt;='01_PARÂMETROS'!$B$14,"Preferencial",IF(K229&lt;='01_PARÂMETROS'!$B$15,"Baixo",IF(K229&lt;='01_PARÂMETROS'!$B$16,"Médio",IF(K229&lt;='01_PARÂMETROS'!$B$17,"Alto","Elevado"))))</f>
        <v>Médio</v>
      </c>
      <c r="N229" s="58" t="s">
        <v>486</v>
      </c>
      <c r="O229" s="54"/>
    </row>
    <row r="230" spans="1:15" ht="13.5" customHeight="1" x14ac:dyDescent="0.25">
      <c r="A230" s="13" t="s">
        <v>778</v>
      </c>
      <c r="B230" s="49" t="s">
        <v>660</v>
      </c>
      <c r="C230" s="14" t="s">
        <v>779</v>
      </c>
      <c r="D230" s="50" t="s">
        <v>775</v>
      </c>
      <c r="E230" s="40" t="s">
        <v>477</v>
      </c>
      <c r="F230" s="54" t="s">
        <v>485</v>
      </c>
      <c r="G230" s="54" t="s">
        <v>485</v>
      </c>
      <c r="H230" s="54" t="s">
        <v>485</v>
      </c>
      <c r="I230" s="43">
        <f>'01_PARÂMETROS'!$B$9</f>
        <v>50</v>
      </c>
      <c r="J230" s="44">
        <f>1</f>
        <v>1</v>
      </c>
      <c r="K230" s="55">
        <f>MAX('01_PARÂMETROS'!$B$11,MIN('01_PARÂMETROS'!$B$12,J230))</f>
        <v>1</v>
      </c>
      <c r="L230" s="56">
        <f t="shared" si="12"/>
        <v>0</v>
      </c>
      <c r="M230" s="57" t="str">
        <f>IF(K230&lt;='01_PARÂMETROS'!$B$14,"Preferencial",IF(K230&lt;='01_PARÂMETROS'!$B$15,"Baixo",IF(K230&lt;='01_PARÂMETROS'!$B$16,"Médio",IF(K230&lt;='01_PARÂMETROS'!$B$17,"Alto","Elevado"))))</f>
        <v>Médio</v>
      </c>
      <c r="N230" s="58" t="s">
        <v>486</v>
      </c>
      <c r="O230" s="61"/>
    </row>
    <row r="231" spans="1:15" ht="13.5" customHeight="1" x14ac:dyDescent="0.25">
      <c r="A231" s="24" t="s">
        <v>780</v>
      </c>
      <c r="B231" s="38" t="s">
        <v>660</v>
      </c>
      <c r="C231" s="25" t="s">
        <v>781</v>
      </c>
      <c r="D231" s="39" t="s">
        <v>775</v>
      </c>
      <c r="E231" s="40" t="s">
        <v>477</v>
      </c>
      <c r="F231" s="54" t="s">
        <v>485</v>
      </c>
      <c r="G231" s="54" t="s">
        <v>485</v>
      </c>
      <c r="H231" s="54" t="s">
        <v>485</v>
      </c>
      <c r="I231" s="43">
        <f>'01_PARÂMETROS'!$B$9</f>
        <v>50</v>
      </c>
      <c r="J231" s="44">
        <f>1</f>
        <v>1</v>
      </c>
      <c r="K231" s="55">
        <f>MAX('01_PARÂMETROS'!$B$11,MIN('01_PARÂMETROS'!$B$12,J231))</f>
        <v>1</v>
      </c>
      <c r="L231" s="56">
        <f t="shared" si="12"/>
        <v>0</v>
      </c>
      <c r="M231" s="57" t="str">
        <f>IF(K231&lt;='01_PARÂMETROS'!$B$14,"Preferencial",IF(K231&lt;='01_PARÂMETROS'!$B$15,"Baixo",IF(K231&lt;='01_PARÂMETROS'!$B$16,"Médio",IF(K231&lt;='01_PARÂMETROS'!$B$17,"Alto","Elevado"))))</f>
        <v>Médio</v>
      </c>
      <c r="N231" s="58" t="s">
        <v>486</v>
      </c>
      <c r="O231" s="54"/>
    </row>
    <row r="232" spans="1:15" ht="13.5" customHeight="1" x14ac:dyDescent="0.25">
      <c r="A232" s="13" t="s">
        <v>782</v>
      </c>
      <c r="B232" s="49" t="s">
        <v>660</v>
      </c>
      <c r="C232" s="14" t="s">
        <v>783</v>
      </c>
      <c r="D232" s="50" t="s">
        <v>775</v>
      </c>
      <c r="E232" s="40" t="s">
        <v>477</v>
      </c>
      <c r="F232" s="54" t="s">
        <v>485</v>
      </c>
      <c r="G232" s="54" t="s">
        <v>485</v>
      </c>
      <c r="H232" s="54" t="s">
        <v>485</v>
      </c>
      <c r="I232" s="43">
        <f>'01_PARÂMETROS'!$B$9</f>
        <v>50</v>
      </c>
      <c r="J232" s="44">
        <f>1</f>
        <v>1</v>
      </c>
      <c r="K232" s="55">
        <f>MAX('01_PARÂMETROS'!$B$11,MIN('01_PARÂMETROS'!$B$12,J232))</f>
        <v>1</v>
      </c>
      <c r="L232" s="56">
        <f t="shared" si="12"/>
        <v>0</v>
      </c>
      <c r="M232" s="57" t="str">
        <f>IF(K232&lt;='01_PARÂMETROS'!$B$14,"Preferencial",IF(K232&lt;='01_PARÂMETROS'!$B$15,"Baixo",IF(K232&lt;='01_PARÂMETROS'!$B$16,"Médio",IF(K232&lt;='01_PARÂMETROS'!$B$17,"Alto","Elevado"))))</f>
        <v>Médio</v>
      </c>
      <c r="N232" s="58" t="s">
        <v>486</v>
      </c>
      <c r="O232" s="61"/>
    </row>
    <row r="233" spans="1:15" ht="13.5" customHeight="1" x14ac:dyDescent="0.25">
      <c r="A233" s="24" t="s">
        <v>784</v>
      </c>
      <c r="B233" s="38" t="s">
        <v>660</v>
      </c>
      <c r="C233" s="25" t="s">
        <v>785</v>
      </c>
      <c r="D233" s="39" t="s">
        <v>775</v>
      </c>
      <c r="E233" s="40" t="s">
        <v>477</v>
      </c>
      <c r="F233" s="54" t="s">
        <v>485</v>
      </c>
      <c r="G233" s="54" t="s">
        <v>485</v>
      </c>
      <c r="H233" s="54" t="s">
        <v>485</v>
      </c>
      <c r="I233" s="43">
        <f>'01_PARÂMETROS'!$B$9</f>
        <v>50</v>
      </c>
      <c r="J233" s="44">
        <f>1</f>
        <v>1</v>
      </c>
      <c r="K233" s="55">
        <f>MAX('01_PARÂMETROS'!$B$11,MIN('01_PARÂMETROS'!$B$12,J233))</f>
        <v>1</v>
      </c>
      <c r="L233" s="56">
        <f t="shared" si="12"/>
        <v>0</v>
      </c>
      <c r="M233" s="57" t="str">
        <f>IF(K233&lt;='01_PARÂMETROS'!$B$14,"Preferencial",IF(K233&lt;='01_PARÂMETROS'!$B$15,"Baixo",IF(K233&lt;='01_PARÂMETROS'!$B$16,"Médio",IF(K233&lt;='01_PARÂMETROS'!$B$17,"Alto","Elevado"))))</f>
        <v>Médio</v>
      </c>
      <c r="N233" s="58" t="s">
        <v>486</v>
      </c>
      <c r="O233" s="54"/>
    </row>
    <row r="234" spans="1:15" ht="13.5" customHeight="1" x14ac:dyDescent="0.25">
      <c r="A234" s="13" t="s">
        <v>786</v>
      </c>
      <c r="B234" s="49" t="s">
        <v>660</v>
      </c>
      <c r="C234" s="14" t="s">
        <v>787</v>
      </c>
      <c r="D234" s="50" t="s">
        <v>775</v>
      </c>
      <c r="E234" s="40" t="s">
        <v>477</v>
      </c>
      <c r="F234" s="54" t="s">
        <v>485</v>
      </c>
      <c r="G234" s="54" t="s">
        <v>485</v>
      </c>
      <c r="H234" s="54" t="s">
        <v>485</v>
      </c>
      <c r="I234" s="43">
        <f>'01_PARÂMETROS'!$B$9</f>
        <v>50</v>
      </c>
      <c r="J234" s="44">
        <f>1</f>
        <v>1</v>
      </c>
      <c r="K234" s="55">
        <f>MAX('01_PARÂMETROS'!$B$11,MIN('01_PARÂMETROS'!$B$12,J234))</f>
        <v>1</v>
      </c>
      <c r="L234" s="56">
        <f t="shared" si="12"/>
        <v>0</v>
      </c>
      <c r="M234" s="57" t="str">
        <f>IF(K234&lt;='01_PARÂMETROS'!$B$14,"Preferencial",IF(K234&lt;='01_PARÂMETROS'!$B$15,"Baixo",IF(K234&lt;='01_PARÂMETROS'!$B$16,"Médio",IF(K234&lt;='01_PARÂMETROS'!$B$17,"Alto","Elevado"))))</f>
        <v>Médio</v>
      </c>
      <c r="N234" s="58" t="s">
        <v>486</v>
      </c>
      <c r="O234" s="61"/>
    </row>
    <row r="235" spans="1:15" ht="13.5" customHeight="1" x14ac:dyDescent="0.25">
      <c r="A235" s="24" t="s">
        <v>788</v>
      </c>
      <c r="B235" s="38" t="s">
        <v>660</v>
      </c>
      <c r="C235" s="25" t="s">
        <v>789</v>
      </c>
      <c r="D235" s="39" t="s">
        <v>775</v>
      </c>
      <c r="E235" s="40" t="s">
        <v>477</v>
      </c>
      <c r="F235" s="54" t="s">
        <v>485</v>
      </c>
      <c r="G235" s="54" t="s">
        <v>485</v>
      </c>
      <c r="H235" s="54" t="s">
        <v>485</v>
      </c>
      <c r="I235" s="43">
        <f>'01_PARÂMETROS'!$B$9</f>
        <v>50</v>
      </c>
      <c r="J235" s="44">
        <f>1</f>
        <v>1</v>
      </c>
      <c r="K235" s="55">
        <f>MAX('01_PARÂMETROS'!$B$11,MIN('01_PARÂMETROS'!$B$12,J235))</f>
        <v>1</v>
      </c>
      <c r="L235" s="56">
        <f t="shared" si="12"/>
        <v>0</v>
      </c>
      <c r="M235" s="57" t="str">
        <f>IF(K235&lt;='01_PARÂMETROS'!$B$14,"Preferencial",IF(K235&lt;='01_PARÂMETROS'!$B$15,"Baixo",IF(K235&lt;='01_PARÂMETROS'!$B$16,"Médio",IF(K235&lt;='01_PARÂMETROS'!$B$17,"Alto","Elevado"))))</f>
        <v>Médio</v>
      </c>
      <c r="N235" s="58" t="s">
        <v>486</v>
      </c>
      <c r="O235" s="54"/>
    </row>
    <row r="236" spans="1:15" ht="13.5" customHeight="1" x14ac:dyDescent="0.25">
      <c r="A236" s="13" t="s">
        <v>790</v>
      </c>
      <c r="B236" s="49" t="s">
        <v>660</v>
      </c>
      <c r="C236" s="14" t="s">
        <v>791</v>
      </c>
      <c r="D236" s="50" t="s">
        <v>775</v>
      </c>
      <c r="E236" s="40" t="s">
        <v>477</v>
      </c>
      <c r="F236" s="54" t="s">
        <v>485</v>
      </c>
      <c r="G236" s="54" t="s">
        <v>485</v>
      </c>
      <c r="H236" s="54" t="s">
        <v>485</v>
      </c>
      <c r="I236" s="43">
        <f>'01_PARÂMETROS'!$B$9</f>
        <v>50</v>
      </c>
      <c r="J236" s="44">
        <f>1</f>
        <v>1</v>
      </c>
      <c r="K236" s="55">
        <f>MAX('01_PARÂMETROS'!$B$11,MIN('01_PARÂMETROS'!$B$12,J236))</f>
        <v>1</v>
      </c>
      <c r="L236" s="56">
        <f t="shared" si="12"/>
        <v>0</v>
      </c>
      <c r="M236" s="57" t="str">
        <f>IF(K236&lt;='01_PARÂMETROS'!$B$14,"Preferencial",IF(K236&lt;='01_PARÂMETROS'!$B$15,"Baixo",IF(K236&lt;='01_PARÂMETROS'!$B$16,"Médio",IF(K236&lt;='01_PARÂMETROS'!$B$17,"Alto","Elevado"))))</f>
        <v>Médio</v>
      </c>
      <c r="N236" s="58" t="s">
        <v>486</v>
      </c>
      <c r="O236" s="61"/>
    </row>
    <row r="237" spans="1:15" ht="13.5" customHeight="1" x14ac:dyDescent="0.25">
      <c r="A237" s="24" t="s">
        <v>792</v>
      </c>
      <c r="B237" s="38" t="s">
        <v>660</v>
      </c>
      <c r="C237" s="25" t="s">
        <v>793</v>
      </c>
      <c r="D237" s="39" t="s">
        <v>775</v>
      </c>
      <c r="E237" s="40" t="s">
        <v>477</v>
      </c>
      <c r="F237" s="54" t="s">
        <v>485</v>
      </c>
      <c r="G237" s="54" t="s">
        <v>485</v>
      </c>
      <c r="H237" s="54" t="s">
        <v>485</v>
      </c>
      <c r="I237" s="43">
        <f>'01_PARÂMETROS'!$B$9</f>
        <v>50</v>
      </c>
      <c r="J237" s="44">
        <f>1</f>
        <v>1</v>
      </c>
      <c r="K237" s="55">
        <f>MAX('01_PARÂMETROS'!$B$11,MIN('01_PARÂMETROS'!$B$12,J237))</f>
        <v>1</v>
      </c>
      <c r="L237" s="56">
        <f t="shared" si="12"/>
        <v>0</v>
      </c>
      <c r="M237" s="57" t="str">
        <f>IF(K237&lt;='01_PARÂMETROS'!$B$14,"Preferencial",IF(K237&lt;='01_PARÂMETROS'!$B$15,"Baixo",IF(K237&lt;='01_PARÂMETROS'!$B$16,"Médio",IF(K237&lt;='01_PARÂMETROS'!$B$17,"Alto","Elevado"))))</f>
        <v>Médio</v>
      </c>
      <c r="N237" s="58" t="s">
        <v>486</v>
      </c>
      <c r="O237" s="54"/>
    </row>
    <row r="238" spans="1:15" ht="13.5" customHeight="1" x14ac:dyDescent="0.25">
      <c r="A238" s="13" t="s">
        <v>794</v>
      </c>
      <c r="B238" s="49" t="s">
        <v>660</v>
      </c>
      <c r="C238" s="14" t="s">
        <v>795</v>
      </c>
      <c r="D238" s="50" t="s">
        <v>775</v>
      </c>
      <c r="E238" s="40" t="s">
        <v>477</v>
      </c>
      <c r="F238" s="54" t="s">
        <v>485</v>
      </c>
      <c r="G238" s="54" t="s">
        <v>485</v>
      </c>
      <c r="H238" s="54" t="s">
        <v>485</v>
      </c>
      <c r="I238" s="43">
        <f>'01_PARÂMETROS'!$B$9</f>
        <v>50</v>
      </c>
      <c r="J238" s="44">
        <f>1</f>
        <v>1</v>
      </c>
      <c r="K238" s="55">
        <f>MAX('01_PARÂMETROS'!$B$11,MIN('01_PARÂMETROS'!$B$12,J238))</f>
        <v>1</v>
      </c>
      <c r="L238" s="56">
        <f t="shared" si="12"/>
        <v>0</v>
      </c>
      <c r="M238" s="57" t="str">
        <f>IF(K238&lt;='01_PARÂMETROS'!$B$14,"Preferencial",IF(K238&lt;='01_PARÂMETROS'!$B$15,"Baixo",IF(K238&lt;='01_PARÂMETROS'!$B$16,"Médio",IF(K238&lt;='01_PARÂMETROS'!$B$17,"Alto","Elevado"))))</f>
        <v>Médio</v>
      </c>
      <c r="N238" s="58" t="s">
        <v>486</v>
      </c>
      <c r="O238" s="61"/>
    </row>
    <row r="239" spans="1:15" ht="13.5" customHeight="1" x14ac:dyDescent="0.25">
      <c r="A239" s="24" t="s">
        <v>796</v>
      </c>
      <c r="B239" s="38" t="s">
        <v>660</v>
      </c>
      <c r="C239" s="25" t="s">
        <v>797</v>
      </c>
      <c r="D239" s="39" t="s">
        <v>662</v>
      </c>
      <c r="E239" s="40" t="s">
        <v>477</v>
      </c>
      <c r="F239" s="54" t="s">
        <v>485</v>
      </c>
      <c r="G239" s="54" t="s">
        <v>485</v>
      </c>
      <c r="H239" s="54" t="s">
        <v>485</v>
      </c>
      <c r="I239" s="43">
        <f>'01_PARÂMETROS'!$B$9</f>
        <v>50</v>
      </c>
      <c r="J239" s="44">
        <f>1</f>
        <v>1</v>
      </c>
      <c r="K239" s="55">
        <f>MAX('01_PARÂMETROS'!$B$11,MIN('01_PARÂMETROS'!$B$12,J239))</f>
        <v>1</v>
      </c>
      <c r="L239" s="56">
        <f t="shared" si="12"/>
        <v>0</v>
      </c>
      <c r="M239" s="57" t="str">
        <f>IF(K239&lt;='01_PARÂMETROS'!$B$14,"Preferencial",IF(K239&lt;='01_PARÂMETROS'!$B$15,"Baixo",IF(K239&lt;='01_PARÂMETROS'!$B$16,"Médio",IF(K239&lt;='01_PARÂMETROS'!$B$17,"Alto","Elevado"))))</f>
        <v>Médio</v>
      </c>
      <c r="N239" s="58" t="s">
        <v>486</v>
      </c>
      <c r="O239" s="54"/>
    </row>
    <row r="240" spans="1:15" ht="13.5" customHeight="1" x14ac:dyDescent="0.25">
      <c r="A240" s="13" t="s">
        <v>798</v>
      </c>
      <c r="B240" s="49" t="s">
        <v>660</v>
      </c>
      <c r="C240" s="14" t="s">
        <v>799</v>
      </c>
      <c r="D240" s="50" t="s">
        <v>662</v>
      </c>
      <c r="E240" s="40" t="s">
        <v>477</v>
      </c>
      <c r="F240" s="54" t="s">
        <v>485</v>
      </c>
      <c r="G240" s="54" t="s">
        <v>485</v>
      </c>
      <c r="H240" s="54" t="s">
        <v>485</v>
      </c>
      <c r="I240" s="43">
        <f>'01_PARÂMETROS'!$B$9</f>
        <v>50</v>
      </c>
      <c r="J240" s="44">
        <f>1</f>
        <v>1</v>
      </c>
      <c r="K240" s="55">
        <f>MAX('01_PARÂMETROS'!$B$11,MIN('01_PARÂMETROS'!$B$12,J240))</f>
        <v>1</v>
      </c>
      <c r="L240" s="56">
        <f t="shared" si="12"/>
        <v>0</v>
      </c>
      <c r="M240" s="57" t="str">
        <f>IF(K240&lt;='01_PARÂMETROS'!$B$14,"Preferencial",IF(K240&lt;='01_PARÂMETROS'!$B$15,"Baixo",IF(K240&lt;='01_PARÂMETROS'!$B$16,"Médio",IF(K240&lt;='01_PARÂMETROS'!$B$17,"Alto","Elevado"))))</f>
        <v>Médio</v>
      </c>
      <c r="N240" s="58" t="s">
        <v>486</v>
      </c>
      <c r="O240" s="61"/>
    </row>
    <row r="241" spans="1:15" ht="13.5" customHeight="1" x14ac:dyDescent="0.25">
      <c r="A241" s="24" t="s">
        <v>800</v>
      </c>
      <c r="B241" s="38" t="s">
        <v>660</v>
      </c>
      <c r="C241" s="25" t="s">
        <v>801</v>
      </c>
      <c r="D241" s="39" t="s">
        <v>662</v>
      </c>
      <c r="E241" s="40" t="s">
        <v>477</v>
      </c>
      <c r="F241" s="54" t="s">
        <v>485</v>
      </c>
      <c r="G241" s="54" t="s">
        <v>485</v>
      </c>
      <c r="H241" s="54" t="s">
        <v>485</v>
      </c>
      <c r="I241" s="43">
        <f>'01_PARÂMETROS'!$B$9</f>
        <v>50</v>
      </c>
      <c r="J241" s="44">
        <f>1</f>
        <v>1</v>
      </c>
      <c r="K241" s="55">
        <f>MAX('01_PARÂMETROS'!$B$11,MIN('01_PARÂMETROS'!$B$12,J241))</f>
        <v>1</v>
      </c>
      <c r="L241" s="56">
        <f t="shared" si="12"/>
        <v>0</v>
      </c>
      <c r="M241" s="57" t="str">
        <f>IF(K241&lt;='01_PARÂMETROS'!$B$14,"Preferencial",IF(K241&lt;='01_PARÂMETROS'!$B$15,"Baixo",IF(K241&lt;='01_PARÂMETROS'!$B$16,"Médio",IF(K241&lt;='01_PARÂMETROS'!$B$17,"Alto","Elevado"))))</f>
        <v>Médio</v>
      </c>
      <c r="N241" s="58" t="s">
        <v>486</v>
      </c>
      <c r="O241" s="54"/>
    </row>
    <row r="242" spans="1:15" ht="13.5" customHeight="1" x14ac:dyDescent="0.25">
      <c r="A242" s="13" t="s">
        <v>802</v>
      </c>
      <c r="B242" s="49" t="s">
        <v>660</v>
      </c>
      <c r="C242" s="14" t="s">
        <v>803</v>
      </c>
      <c r="D242" s="50" t="s">
        <v>662</v>
      </c>
      <c r="E242" s="40" t="s">
        <v>477</v>
      </c>
      <c r="F242" s="54" t="s">
        <v>485</v>
      </c>
      <c r="G242" s="54" t="s">
        <v>485</v>
      </c>
      <c r="H242" s="54" t="s">
        <v>485</v>
      </c>
      <c r="I242" s="43">
        <f>'01_PARÂMETROS'!$B$9</f>
        <v>50</v>
      </c>
      <c r="J242" s="44">
        <f>1</f>
        <v>1</v>
      </c>
      <c r="K242" s="55">
        <f>MAX('01_PARÂMETROS'!$B$11,MIN('01_PARÂMETROS'!$B$12,J242))</f>
        <v>1</v>
      </c>
      <c r="L242" s="56">
        <f t="shared" si="12"/>
        <v>0</v>
      </c>
      <c r="M242" s="57" t="str">
        <f>IF(K242&lt;='01_PARÂMETROS'!$B$14,"Preferencial",IF(K242&lt;='01_PARÂMETROS'!$B$15,"Baixo",IF(K242&lt;='01_PARÂMETROS'!$B$16,"Médio",IF(K242&lt;='01_PARÂMETROS'!$B$17,"Alto","Elevado"))))</f>
        <v>Médio</v>
      </c>
      <c r="N242" s="58" t="s">
        <v>486</v>
      </c>
      <c r="O242" s="61"/>
    </row>
    <row r="243" spans="1:15" ht="13.5" customHeight="1" x14ac:dyDescent="0.25">
      <c r="A243" s="24" t="s">
        <v>804</v>
      </c>
      <c r="B243" s="38" t="s">
        <v>660</v>
      </c>
      <c r="C243" s="25" t="s">
        <v>805</v>
      </c>
      <c r="D243" s="39" t="s">
        <v>662</v>
      </c>
      <c r="E243" s="40" t="s">
        <v>477</v>
      </c>
      <c r="F243" s="54" t="s">
        <v>485</v>
      </c>
      <c r="G243" s="54" t="s">
        <v>485</v>
      </c>
      <c r="H243" s="54" t="s">
        <v>485</v>
      </c>
      <c r="I243" s="43">
        <f>'01_PARÂMETROS'!$B$9</f>
        <v>50</v>
      </c>
      <c r="J243" s="44">
        <f>1</f>
        <v>1</v>
      </c>
      <c r="K243" s="55">
        <f>MAX('01_PARÂMETROS'!$B$11,MIN('01_PARÂMETROS'!$B$12,J243))</f>
        <v>1</v>
      </c>
      <c r="L243" s="56">
        <f t="shared" si="12"/>
        <v>0</v>
      </c>
      <c r="M243" s="57" t="str">
        <f>IF(K243&lt;='01_PARÂMETROS'!$B$14,"Preferencial",IF(K243&lt;='01_PARÂMETROS'!$B$15,"Baixo",IF(K243&lt;='01_PARÂMETROS'!$B$16,"Médio",IF(K243&lt;='01_PARÂMETROS'!$B$17,"Alto","Elevado"))))</f>
        <v>Médio</v>
      </c>
      <c r="N243" s="58" t="s">
        <v>486</v>
      </c>
      <c r="O243" s="54"/>
    </row>
    <row r="244" spans="1:15" ht="13.5" customHeight="1" x14ac:dyDescent="0.25">
      <c r="A244" s="13" t="s">
        <v>806</v>
      </c>
      <c r="B244" s="49" t="s">
        <v>660</v>
      </c>
      <c r="C244" s="14" t="s">
        <v>807</v>
      </c>
      <c r="D244" s="50" t="s">
        <v>662</v>
      </c>
      <c r="E244" s="40" t="s">
        <v>477</v>
      </c>
      <c r="F244" s="54" t="s">
        <v>485</v>
      </c>
      <c r="G244" s="54" t="s">
        <v>485</v>
      </c>
      <c r="H244" s="54" t="s">
        <v>485</v>
      </c>
      <c r="I244" s="43">
        <f>'01_PARÂMETROS'!$B$9</f>
        <v>50</v>
      </c>
      <c r="J244" s="44">
        <f>1</f>
        <v>1</v>
      </c>
      <c r="K244" s="55">
        <f>MAX('01_PARÂMETROS'!$B$11,MIN('01_PARÂMETROS'!$B$12,J244))</f>
        <v>1</v>
      </c>
      <c r="L244" s="56">
        <f t="shared" si="12"/>
        <v>0</v>
      </c>
      <c r="M244" s="57" t="str">
        <f>IF(K244&lt;='01_PARÂMETROS'!$B$14,"Preferencial",IF(K244&lt;='01_PARÂMETROS'!$B$15,"Baixo",IF(K244&lt;='01_PARÂMETROS'!$B$16,"Médio",IF(K244&lt;='01_PARÂMETROS'!$B$17,"Alto","Elevado"))))</f>
        <v>Médio</v>
      </c>
      <c r="N244" s="58" t="s">
        <v>486</v>
      </c>
      <c r="O244" s="61"/>
    </row>
    <row r="245" spans="1:15" ht="13.5" customHeight="1" x14ac:dyDescent="0.25">
      <c r="A245" s="24" t="s">
        <v>808</v>
      </c>
      <c r="B245" s="38" t="s">
        <v>660</v>
      </c>
      <c r="C245" s="25" t="s">
        <v>809</v>
      </c>
      <c r="D245" s="39" t="s">
        <v>662</v>
      </c>
      <c r="E245" s="40" t="s">
        <v>477</v>
      </c>
      <c r="F245" s="54" t="s">
        <v>485</v>
      </c>
      <c r="G245" s="54" t="s">
        <v>485</v>
      </c>
      <c r="H245" s="54" t="s">
        <v>485</v>
      </c>
      <c r="I245" s="43">
        <f>'01_PARÂMETROS'!$B$9</f>
        <v>50</v>
      </c>
      <c r="J245" s="44">
        <f>1</f>
        <v>1</v>
      </c>
      <c r="K245" s="55">
        <f>MAX('01_PARÂMETROS'!$B$11,MIN('01_PARÂMETROS'!$B$12,J245))</f>
        <v>1</v>
      </c>
      <c r="L245" s="56">
        <f t="shared" si="12"/>
        <v>0</v>
      </c>
      <c r="M245" s="57" t="str">
        <f>IF(K245&lt;='01_PARÂMETROS'!$B$14,"Preferencial",IF(K245&lt;='01_PARÂMETROS'!$B$15,"Baixo",IF(K245&lt;='01_PARÂMETROS'!$B$16,"Médio",IF(K245&lt;='01_PARÂMETROS'!$B$17,"Alto","Elevado"))))</f>
        <v>Médio</v>
      </c>
      <c r="N245" s="58" t="s">
        <v>486</v>
      </c>
      <c r="O245" s="54"/>
    </row>
    <row r="246" spans="1:15" ht="13.5" customHeight="1" x14ac:dyDescent="0.25">
      <c r="A246" s="13" t="s">
        <v>810</v>
      </c>
      <c r="B246" s="49" t="s">
        <v>660</v>
      </c>
      <c r="C246" s="14" t="s">
        <v>811</v>
      </c>
      <c r="D246" s="50" t="s">
        <v>662</v>
      </c>
      <c r="E246" s="40" t="s">
        <v>477</v>
      </c>
      <c r="F246" s="54" t="s">
        <v>485</v>
      </c>
      <c r="G246" s="54" t="s">
        <v>485</v>
      </c>
      <c r="H246" s="54" t="s">
        <v>485</v>
      </c>
      <c r="I246" s="43">
        <f>'01_PARÂMETROS'!$B$9</f>
        <v>50</v>
      </c>
      <c r="J246" s="44">
        <f>1</f>
        <v>1</v>
      </c>
      <c r="K246" s="55">
        <f>MAX('01_PARÂMETROS'!$B$11,MIN('01_PARÂMETROS'!$B$12,J246))</f>
        <v>1</v>
      </c>
      <c r="L246" s="56">
        <f t="shared" si="12"/>
        <v>0</v>
      </c>
      <c r="M246" s="57" t="str">
        <f>IF(K246&lt;='01_PARÂMETROS'!$B$14,"Preferencial",IF(K246&lt;='01_PARÂMETROS'!$B$15,"Baixo",IF(K246&lt;='01_PARÂMETROS'!$B$16,"Médio",IF(K246&lt;='01_PARÂMETROS'!$B$17,"Alto","Elevado"))))</f>
        <v>Médio</v>
      </c>
      <c r="N246" s="58" t="s">
        <v>486</v>
      </c>
      <c r="O246" s="61"/>
    </row>
    <row r="247" spans="1:15" ht="13.5" customHeight="1" x14ac:dyDescent="0.25">
      <c r="A247" s="24" t="s">
        <v>812</v>
      </c>
      <c r="B247" s="38" t="s">
        <v>660</v>
      </c>
      <c r="C247" s="25" t="s">
        <v>813</v>
      </c>
      <c r="D247" s="39" t="s">
        <v>662</v>
      </c>
      <c r="E247" s="40" t="s">
        <v>477</v>
      </c>
      <c r="F247" s="54" t="s">
        <v>485</v>
      </c>
      <c r="G247" s="54" t="s">
        <v>485</v>
      </c>
      <c r="H247" s="54" t="s">
        <v>485</v>
      </c>
      <c r="I247" s="43">
        <f>'01_PARÂMETROS'!$B$9</f>
        <v>50</v>
      </c>
      <c r="J247" s="44">
        <f>1</f>
        <v>1</v>
      </c>
      <c r="K247" s="55">
        <f>MAX('01_PARÂMETROS'!$B$11,MIN('01_PARÂMETROS'!$B$12,J247))</f>
        <v>1</v>
      </c>
      <c r="L247" s="56">
        <f t="shared" si="12"/>
        <v>0</v>
      </c>
      <c r="M247" s="57" t="str">
        <f>IF(K247&lt;='01_PARÂMETROS'!$B$14,"Preferencial",IF(K247&lt;='01_PARÂMETROS'!$B$15,"Baixo",IF(K247&lt;='01_PARÂMETROS'!$B$16,"Médio",IF(K247&lt;='01_PARÂMETROS'!$B$17,"Alto","Elevado"))))</f>
        <v>Médio</v>
      </c>
      <c r="N247" s="58" t="s">
        <v>486</v>
      </c>
      <c r="O247" s="54"/>
    </row>
    <row r="248" spans="1:15" ht="13.5" customHeight="1" x14ac:dyDescent="0.25">
      <c r="A248" s="13" t="s">
        <v>814</v>
      </c>
      <c r="B248" s="49" t="s">
        <v>660</v>
      </c>
      <c r="C248" s="14" t="s">
        <v>815</v>
      </c>
      <c r="D248" s="50" t="s">
        <v>662</v>
      </c>
      <c r="E248" s="40" t="s">
        <v>477</v>
      </c>
      <c r="F248" s="54" t="s">
        <v>485</v>
      </c>
      <c r="G248" s="54" t="s">
        <v>485</v>
      </c>
      <c r="H248" s="54" t="s">
        <v>485</v>
      </c>
      <c r="I248" s="43">
        <f>'01_PARÂMETROS'!$B$9</f>
        <v>50</v>
      </c>
      <c r="J248" s="44">
        <f>1</f>
        <v>1</v>
      </c>
      <c r="K248" s="55">
        <f>MAX('01_PARÂMETROS'!$B$11,MIN('01_PARÂMETROS'!$B$12,J248))</f>
        <v>1</v>
      </c>
      <c r="L248" s="56">
        <f t="shared" si="12"/>
        <v>0</v>
      </c>
      <c r="M248" s="57" t="str">
        <f>IF(K248&lt;='01_PARÂMETROS'!$B$14,"Preferencial",IF(K248&lt;='01_PARÂMETROS'!$B$15,"Baixo",IF(K248&lt;='01_PARÂMETROS'!$B$16,"Médio",IF(K248&lt;='01_PARÂMETROS'!$B$17,"Alto","Elevado"))))</f>
        <v>Médio</v>
      </c>
      <c r="N248" s="58" t="s">
        <v>486</v>
      </c>
      <c r="O248" s="61"/>
    </row>
    <row r="249" spans="1:15" ht="13.5" customHeight="1" x14ac:dyDescent="0.25">
      <c r="A249" s="24" t="s">
        <v>816</v>
      </c>
      <c r="B249" s="38" t="s">
        <v>660</v>
      </c>
      <c r="C249" s="25" t="s">
        <v>817</v>
      </c>
      <c r="D249" s="39" t="s">
        <v>662</v>
      </c>
      <c r="E249" s="40" t="s">
        <v>477</v>
      </c>
      <c r="F249" s="54" t="s">
        <v>485</v>
      </c>
      <c r="G249" s="54" t="s">
        <v>485</v>
      </c>
      <c r="H249" s="54" t="s">
        <v>485</v>
      </c>
      <c r="I249" s="43">
        <f>'01_PARÂMETROS'!$B$9</f>
        <v>50</v>
      </c>
      <c r="J249" s="44">
        <f>1</f>
        <v>1</v>
      </c>
      <c r="K249" s="55">
        <f>MAX('01_PARÂMETROS'!$B$11,MIN('01_PARÂMETROS'!$B$12,J249))</f>
        <v>1</v>
      </c>
      <c r="L249" s="56">
        <f t="shared" si="12"/>
        <v>0</v>
      </c>
      <c r="M249" s="57" t="str">
        <f>IF(K249&lt;='01_PARÂMETROS'!$B$14,"Preferencial",IF(K249&lt;='01_PARÂMETROS'!$B$15,"Baixo",IF(K249&lt;='01_PARÂMETROS'!$B$16,"Médio",IF(K249&lt;='01_PARÂMETROS'!$B$17,"Alto","Elevado"))))</f>
        <v>Médio</v>
      </c>
      <c r="N249" s="58" t="s">
        <v>486</v>
      </c>
      <c r="O249" s="54"/>
    </row>
    <row r="250" spans="1:15" ht="13.5" customHeight="1" x14ac:dyDescent="0.25">
      <c r="A250" s="13" t="s">
        <v>818</v>
      </c>
      <c r="B250" s="49" t="s">
        <v>660</v>
      </c>
      <c r="C250" s="14" t="s">
        <v>819</v>
      </c>
      <c r="D250" s="50" t="s">
        <v>662</v>
      </c>
      <c r="E250" s="40" t="s">
        <v>477</v>
      </c>
      <c r="F250" s="54" t="s">
        <v>485</v>
      </c>
      <c r="G250" s="54" t="s">
        <v>485</v>
      </c>
      <c r="H250" s="54" t="s">
        <v>485</v>
      </c>
      <c r="I250" s="43">
        <f>'01_PARÂMETROS'!$B$9</f>
        <v>50</v>
      </c>
      <c r="J250" s="44">
        <f>1</f>
        <v>1</v>
      </c>
      <c r="K250" s="55">
        <f>MAX('01_PARÂMETROS'!$B$11,MIN('01_PARÂMETROS'!$B$12,J250))</f>
        <v>1</v>
      </c>
      <c r="L250" s="56">
        <f t="shared" si="12"/>
        <v>0</v>
      </c>
      <c r="M250" s="57" t="str">
        <f>IF(K250&lt;='01_PARÂMETROS'!$B$14,"Preferencial",IF(K250&lt;='01_PARÂMETROS'!$B$15,"Baixo",IF(K250&lt;='01_PARÂMETROS'!$B$16,"Médio",IF(K250&lt;='01_PARÂMETROS'!$B$17,"Alto","Elevado"))))</f>
        <v>Médio</v>
      </c>
      <c r="N250" s="58" t="s">
        <v>486</v>
      </c>
      <c r="O250" s="61"/>
    </row>
    <row r="251" spans="1:15" ht="13.5" customHeight="1" x14ac:dyDescent="0.25">
      <c r="A251" s="24" t="s">
        <v>820</v>
      </c>
      <c r="B251" s="38" t="s">
        <v>660</v>
      </c>
      <c r="C251" s="25" t="s">
        <v>821</v>
      </c>
      <c r="D251" s="39" t="s">
        <v>662</v>
      </c>
      <c r="E251" s="40" t="s">
        <v>477</v>
      </c>
      <c r="F251" s="54" t="s">
        <v>485</v>
      </c>
      <c r="G251" s="54" t="s">
        <v>485</v>
      </c>
      <c r="H251" s="54" t="s">
        <v>485</v>
      </c>
      <c r="I251" s="43">
        <f>'01_PARÂMETROS'!$B$9</f>
        <v>50</v>
      </c>
      <c r="J251" s="44">
        <f>1</f>
        <v>1</v>
      </c>
      <c r="K251" s="55">
        <f>MAX('01_PARÂMETROS'!$B$11,MIN('01_PARÂMETROS'!$B$12,J251))</f>
        <v>1</v>
      </c>
      <c r="L251" s="56">
        <f t="shared" si="12"/>
        <v>0</v>
      </c>
      <c r="M251" s="57" t="str">
        <f>IF(K251&lt;='01_PARÂMETROS'!$B$14,"Preferencial",IF(K251&lt;='01_PARÂMETROS'!$B$15,"Baixo",IF(K251&lt;='01_PARÂMETROS'!$B$16,"Médio",IF(K251&lt;='01_PARÂMETROS'!$B$17,"Alto","Elevado"))))</f>
        <v>Médio</v>
      </c>
      <c r="N251" s="58" t="s">
        <v>486</v>
      </c>
      <c r="O251" s="54"/>
    </row>
    <row r="252" spans="1:15" ht="13.5" customHeight="1" x14ac:dyDescent="0.25">
      <c r="A252" s="13" t="s">
        <v>822</v>
      </c>
      <c r="B252" s="49" t="s">
        <v>660</v>
      </c>
      <c r="C252" s="14" t="s">
        <v>823</v>
      </c>
      <c r="D252" s="50" t="s">
        <v>662</v>
      </c>
      <c r="E252" s="40" t="s">
        <v>477</v>
      </c>
      <c r="F252" s="54" t="s">
        <v>485</v>
      </c>
      <c r="G252" s="54" t="s">
        <v>485</v>
      </c>
      <c r="H252" s="54" t="s">
        <v>485</v>
      </c>
      <c r="I252" s="43">
        <f>'01_PARÂMETROS'!$B$9</f>
        <v>50</v>
      </c>
      <c r="J252" s="44">
        <f>1</f>
        <v>1</v>
      </c>
      <c r="K252" s="55">
        <f>MAX('01_PARÂMETROS'!$B$11,MIN('01_PARÂMETROS'!$B$12,J252))</f>
        <v>1</v>
      </c>
      <c r="L252" s="56">
        <f t="shared" si="12"/>
        <v>0</v>
      </c>
      <c r="M252" s="57" t="str">
        <f>IF(K252&lt;='01_PARÂMETROS'!$B$14,"Preferencial",IF(K252&lt;='01_PARÂMETROS'!$B$15,"Baixo",IF(K252&lt;='01_PARÂMETROS'!$B$16,"Médio",IF(K252&lt;='01_PARÂMETROS'!$B$17,"Alto","Elevado"))))</f>
        <v>Médio</v>
      </c>
      <c r="N252" s="58" t="s">
        <v>486</v>
      </c>
      <c r="O252" s="61"/>
    </row>
    <row r="253" spans="1:15" ht="13.5" customHeight="1" x14ac:dyDescent="0.25">
      <c r="A253" s="24" t="s">
        <v>824</v>
      </c>
      <c r="B253" s="38" t="s">
        <v>660</v>
      </c>
      <c r="C253" s="25" t="s">
        <v>825</v>
      </c>
      <c r="D253" s="39" t="s">
        <v>662</v>
      </c>
      <c r="E253" s="40" t="s">
        <v>477</v>
      </c>
      <c r="F253" s="54" t="s">
        <v>485</v>
      </c>
      <c r="G253" s="54" t="s">
        <v>485</v>
      </c>
      <c r="H253" s="54" t="s">
        <v>485</v>
      </c>
      <c r="I253" s="43">
        <f>'01_PARÂMETROS'!$B$9</f>
        <v>50</v>
      </c>
      <c r="J253" s="44">
        <f>1</f>
        <v>1</v>
      </c>
      <c r="K253" s="55">
        <f>MAX('01_PARÂMETROS'!$B$11,MIN('01_PARÂMETROS'!$B$12,J253))</f>
        <v>1</v>
      </c>
      <c r="L253" s="56">
        <f t="shared" si="12"/>
        <v>0</v>
      </c>
      <c r="M253" s="57" t="str">
        <f>IF(K253&lt;='01_PARÂMETROS'!$B$14,"Preferencial",IF(K253&lt;='01_PARÂMETROS'!$B$15,"Baixo",IF(K253&lt;='01_PARÂMETROS'!$B$16,"Médio",IF(K253&lt;='01_PARÂMETROS'!$B$17,"Alto","Elevado"))))</f>
        <v>Médio</v>
      </c>
      <c r="N253" s="58" t="s">
        <v>486</v>
      </c>
      <c r="O253" s="54"/>
    </row>
    <row r="254" spans="1:15" ht="13.5" customHeight="1" x14ac:dyDescent="0.25">
      <c r="A254" s="13" t="s">
        <v>826</v>
      </c>
      <c r="B254" s="49" t="s">
        <v>660</v>
      </c>
      <c r="C254" s="14" t="s">
        <v>827</v>
      </c>
      <c r="D254" s="50" t="s">
        <v>662</v>
      </c>
      <c r="E254" s="40" t="s">
        <v>477</v>
      </c>
      <c r="F254" s="54" t="s">
        <v>485</v>
      </c>
      <c r="G254" s="54" t="s">
        <v>485</v>
      </c>
      <c r="H254" s="54" t="s">
        <v>485</v>
      </c>
      <c r="I254" s="43">
        <f>'01_PARÂMETROS'!$B$9</f>
        <v>50</v>
      </c>
      <c r="J254" s="44">
        <f>1</f>
        <v>1</v>
      </c>
      <c r="K254" s="55">
        <f>MAX('01_PARÂMETROS'!$B$11,MIN('01_PARÂMETROS'!$B$12,J254))</f>
        <v>1</v>
      </c>
      <c r="L254" s="56">
        <f t="shared" si="12"/>
        <v>0</v>
      </c>
      <c r="M254" s="57" t="str">
        <f>IF(K254&lt;='01_PARÂMETROS'!$B$14,"Preferencial",IF(K254&lt;='01_PARÂMETROS'!$B$15,"Baixo",IF(K254&lt;='01_PARÂMETROS'!$B$16,"Médio",IF(K254&lt;='01_PARÂMETROS'!$B$17,"Alto","Elevado"))))</f>
        <v>Médio</v>
      </c>
      <c r="N254" s="58" t="s">
        <v>486</v>
      </c>
      <c r="O254" s="61"/>
    </row>
    <row r="255" spans="1:15" ht="13.5" customHeight="1" x14ac:dyDescent="0.25">
      <c r="A255" s="24" t="s">
        <v>828</v>
      </c>
      <c r="B255" s="38" t="s">
        <v>660</v>
      </c>
      <c r="C255" s="25" t="s">
        <v>829</v>
      </c>
      <c r="D255" s="39" t="s">
        <v>662</v>
      </c>
      <c r="E255" s="40" t="s">
        <v>477</v>
      </c>
      <c r="F255" s="54" t="s">
        <v>485</v>
      </c>
      <c r="G255" s="54" t="s">
        <v>485</v>
      </c>
      <c r="H255" s="54" t="s">
        <v>485</v>
      </c>
      <c r="I255" s="43">
        <f>'01_PARÂMETROS'!$B$9</f>
        <v>50</v>
      </c>
      <c r="J255" s="44">
        <f>1</f>
        <v>1</v>
      </c>
      <c r="K255" s="55">
        <f>MAX('01_PARÂMETROS'!$B$11,MIN('01_PARÂMETROS'!$B$12,J255))</f>
        <v>1</v>
      </c>
      <c r="L255" s="56">
        <f t="shared" si="12"/>
        <v>0</v>
      </c>
      <c r="M255" s="57" t="str">
        <f>IF(K255&lt;='01_PARÂMETROS'!$B$14,"Preferencial",IF(K255&lt;='01_PARÂMETROS'!$B$15,"Baixo",IF(K255&lt;='01_PARÂMETROS'!$B$16,"Médio",IF(K255&lt;='01_PARÂMETROS'!$B$17,"Alto","Elevado"))))</f>
        <v>Médio</v>
      </c>
      <c r="N255" s="58" t="s">
        <v>486</v>
      </c>
      <c r="O255" s="54"/>
    </row>
    <row r="256" spans="1:15" ht="13.5" customHeight="1" x14ac:dyDescent="0.25">
      <c r="A256" s="13" t="s">
        <v>830</v>
      </c>
      <c r="B256" s="49" t="s">
        <v>660</v>
      </c>
      <c r="C256" s="14" t="s">
        <v>831</v>
      </c>
      <c r="D256" s="50" t="s">
        <v>662</v>
      </c>
      <c r="E256" s="40" t="s">
        <v>477</v>
      </c>
      <c r="F256" s="54" t="s">
        <v>485</v>
      </c>
      <c r="G256" s="54" t="s">
        <v>485</v>
      </c>
      <c r="H256" s="54" t="s">
        <v>485</v>
      </c>
      <c r="I256" s="43">
        <f>'01_PARÂMETROS'!$B$9</f>
        <v>50</v>
      </c>
      <c r="J256" s="44">
        <f>1</f>
        <v>1</v>
      </c>
      <c r="K256" s="55">
        <f>MAX('01_PARÂMETROS'!$B$11,MIN('01_PARÂMETROS'!$B$12,J256))</f>
        <v>1</v>
      </c>
      <c r="L256" s="56">
        <f t="shared" si="12"/>
        <v>0</v>
      </c>
      <c r="M256" s="57" t="str">
        <f>IF(K256&lt;='01_PARÂMETROS'!$B$14,"Preferencial",IF(K256&lt;='01_PARÂMETROS'!$B$15,"Baixo",IF(K256&lt;='01_PARÂMETROS'!$B$16,"Médio",IF(K256&lt;='01_PARÂMETROS'!$B$17,"Alto","Elevado"))))</f>
        <v>Médio</v>
      </c>
      <c r="N256" s="58" t="s">
        <v>486</v>
      </c>
      <c r="O256" s="61"/>
    </row>
    <row r="257" spans="1:15" ht="13.5" customHeight="1" x14ac:dyDescent="0.25">
      <c r="A257" s="24" t="s">
        <v>832</v>
      </c>
      <c r="B257" s="38" t="s">
        <v>660</v>
      </c>
      <c r="C257" s="25" t="s">
        <v>833</v>
      </c>
      <c r="D257" s="39" t="s">
        <v>662</v>
      </c>
      <c r="E257" s="40" t="s">
        <v>477</v>
      </c>
      <c r="F257" s="54" t="s">
        <v>485</v>
      </c>
      <c r="G257" s="54" t="s">
        <v>485</v>
      </c>
      <c r="H257" s="54" t="s">
        <v>485</v>
      </c>
      <c r="I257" s="43">
        <f>'01_PARÂMETROS'!$B$9</f>
        <v>50</v>
      </c>
      <c r="J257" s="44">
        <f>1</f>
        <v>1</v>
      </c>
      <c r="K257" s="55">
        <f>MAX('01_PARÂMETROS'!$B$11,MIN('01_PARÂMETROS'!$B$12,J257))</f>
        <v>1</v>
      </c>
      <c r="L257" s="56">
        <f t="shared" si="12"/>
        <v>0</v>
      </c>
      <c r="M257" s="57" t="str">
        <f>IF(K257&lt;='01_PARÂMETROS'!$B$14,"Preferencial",IF(K257&lt;='01_PARÂMETROS'!$B$15,"Baixo",IF(K257&lt;='01_PARÂMETROS'!$B$16,"Médio",IF(K257&lt;='01_PARÂMETROS'!$B$17,"Alto","Elevado"))))</f>
        <v>Médio</v>
      </c>
      <c r="N257" s="58" t="s">
        <v>486</v>
      </c>
      <c r="O257" s="54"/>
    </row>
    <row r="258" spans="1:15" ht="13.5" customHeight="1" x14ac:dyDescent="0.25">
      <c r="A258" s="13" t="s">
        <v>834</v>
      </c>
      <c r="B258" s="49" t="s">
        <v>660</v>
      </c>
      <c r="C258" s="14" t="s">
        <v>835</v>
      </c>
      <c r="D258" s="50" t="s">
        <v>662</v>
      </c>
      <c r="E258" s="40" t="s">
        <v>477</v>
      </c>
      <c r="F258" s="54" t="s">
        <v>485</v>
      </c>
      <c r="G258" s="54" t="s">
        <v>485</v>
      </c>
      <c r="H258" s="54" t="s">
        <v>485</v>
      </c>
      <c r="I258" s="43">
        <f>'01_PARÂMETROS'!$B$9</f>
        <v>50</v>
      </c>
      <c r="J258" s="44">
        <f>1</f>
        <v>1</v>
      </c>
      <c r="K258" s="55">
        <f>MAX('01_PARÂMETROS'!$B$11,MIN('01_PARÂMETROS'!$B$12,J258))</f>
        <v>1</v>
      </c>
      <c r="L258" s="56">
        <f t="shared" si="12"/>
        <v>0</v>
      </c>
      <c r="M258" s="57" t="str">
        <f>IF(K258&lt;='01_PARÂMETROS'!$B$14,"Preferencial",IF(K258&lt;='01_PARÂMETROS'!$B$15,"Baixo",IF(K258&lt;='01_PARÂMETROS'!$B$16,"Médio",IF(K258&lt;='01_PARÂMETROS'!$B$17,"Alto","Elevado"))))</f>
        <v>Médio</v>
      </c>
      <c r="N258" s="58" t="s">
        <v>486</v>
      </c>
      <c r="O258" s="61"/>
    </row>
    <row r="259" spans="1:15" ht="13.5" customHeight="1" x14ac:dyDescent="0.25">
      <c r="A259" s="24" t="s">
        <v>836</v>
      </c>
      <c r="B259" s="38" t="s">
        <v>660</v>
      </c>
      <c r="C259" s="25" t="s">
        <v>837</v>
      </c>
      <c r="D259" s="39" t="s">
        <v>662</v>
      </c>
      <c r="E259" s="40" t="s">
        <v>477</v>
      </c>
      <c r="F259" s="54" t="s">
        <v>485</v>
      </c>
      <c r="G259" s="54" t="s">
        <v>485</v>
      </c>
      <c r="H259" s="54" t="s">
        <v>485</v>
      </c>
      <c r="I259" s="43">
        <f>'01_PARÂMETROS'!$B$9</f>
        <v>50</v>
      </c>
      <c r="J259" s="44">
        <f>1</f>
        <v>1</v>
      </c>
      <c r="K259" s="55">
        <f>MAX('01_PARÂMETROS'!$B$11,MIN('01_PARÂMETROS'!$B$12,J259))</f>
        <v>1</v>
      </c>
      <c r="L259" s="56">
        <f t="shared" si="12"/>
        <v>0</v>
      </c>
      <c r="M259" s="57" t="str">
        <f>IF(K259&lt;='01_PARÂMETROS'!$B$14,"Preferencial",IF(K259&lt;='01_PARÂMETROS'!$B$15,"Baixo",IF(K259&lt;='01_PARÂMETROS'!$B$16,"Médio",IF(K259&lt;='01_PARÂMETROS'!$B$17,"Alto","Elevado"))))</f>
        <v>Médio</v>
      </c>
      <c r="N259" s="58" t="s">
        <v>486</v>
      </c>
      <c r="O259" s="54"/>
    </row>
    <row r="260" spans="1:15" ht="13.5" customHeight="1" x14ac:dyDescent="0.25">
      <c r="A260" s="13" t="s">
        <v>838</v>
      </c>
      <c r="B260" s="49" t="s">
        <v>660</v>
      </c>
      <c r="C260" s="14" t="s">
        <v>839</v>
      </c>
      <c r="D260" s="50" t="s">
        <v>840</v>
      </c>
      <c r="E260" s="65" t="s">
        <v>841</v>
      </c>
      <c r="F260" s="54" t="s">
        <v>485</v>
      </c>
      <c r="G260" s="54" t="s">
        <v>485</v>
      </c>
      <c r="H260" s="54" t="s">
        <v>485</v>
      </c>
      <c r="I260" s="43">
        <f>'01_PARÂMETROS'!$B$9</f>
        <v>50</v>
      </c>
      <c r="J260" s="44">
        <f t="shared" ref="J260:J270" si="13">0.9</f>
        <v>0.9</v>
      </c>
      <c r="K260" s="62">
        <f>MAX('01_PARÂMETROS'!$B$11,MIN('01_PARÂMETROS'!$B$12,J260))</f>
        <v>0.9</v>
      </c>
      <c r="L260" s="63">
        <f t="shared" si="12"/>
        <v>-9.9999999999999978E-2</v>
      </c>
      <c r="M260" s="17" t="str">
        <f>IF(K260&lt;='01_PARÂMETROS'!$B$14,"Preferencial",IF(K260&lt;='01_PARÂMETROS'!$B$15,"Baixo",IF(K260&lt;='01_PARÂMETROS'!$B$16,"Médio",IF(K260&lt;='01_PARÂMETROS'!$B$17,"Alto","Elevado"))))</f>
        <v>Baixo</v>
      </c>
      <c r="N260" s="58" t="s">
        <v>486</v>
      </c>
      <c r="O260" s="61"/>
    </row>
    <row r="261" spans="1:15" ht="13.5" customHeight="1" x14ac:dyDescent="0.25">
      <c r="A261" s="24" t="s">
        <v>842</v>
      </c>
      <c r="B261" s="38" t="s">
        <v>660</v>
      </c>
      <c r="C261" s="25" t="s">
        <v>843</v>
      </c>
      <c r="D261" s="39" t="s">
        <v>840</v>
      </c>
      <c r="E261" s="65" t="s">
        <v>841</v>
      </c>
      <c r="F261" s="54" t="s">
        <v>485</v>
      </c>
      <c r="G261" s="54" t="s">
        <v>485</v>
      </c>
      <c r="H261" s="54" t="s">
        <v>485</v>
      </c>
      <c r="I261" s="43">
        <f>'01_PARÂMETROS'!$B$9</f>
        <v>50</v>
      </c>
      <c r="J261" s="44">
        <f t="shared" si="13"/>
        <v>0.9</v>
      </c>
      <c r="K261" s="62">
        <f>MAX('01_PARÂMETROS'!$B$11,MIN('01_PARÂMETROS'!$B$12,J261))</f>
        <v>0.9</v>
      </c>
      <c r="L261" s="63">
        <f t="shared" ref="L261:L324" si="14">(K261-1)</f>
        <v>-9.9999999999999978E-2</v>
      </c>
      <c r="M261" s="17" t="str">
        <f>IF(K261&lt;='01_PARÂMETROS'!$B$14,"Preferencial",IF(K261&lt;='01_PARÂMETROS'!$B$15,"Baixo",IF(K261&lt;='01_PARÂMETROS'!$B$16,"Médio",IF(K261&lt;='01_PARÂMETROS'!$B$17,"Alto","Elevado"))))</f>
        <v>Baixo</v>
      </c>
      <c r="N261" s="58" t="s">
        <v>486</v>
      </c>
      <c r="O261" s="54"/>
    </row>
    <row r="262" spans="1:15" ht="13.5" customHeight="1" x14ac:dyDescent="0.25">
      <c r="A262" s="13" t="s">
        <v>844</v>
      </c>
      <c r="B262" s="49" t="s">
        <v>660</v>
      </c>
      <c r="C262" s="14" t="s">
        <v>845</v>
      </c>
      <c r="D262" s="50" t="s">
        <v>840</v>
      </c>
      <c r="E262" s="65" t="s">
        <v>841</v>
      </c>
      <c r="F262" s="54" t="s">
        <v>485</v>
      </c>
      <c r="G262" s="54" t="s">
        <v>485</v>
      </c>
      <c r="H262" s="54" t="s">
        <v>485</v>
      </c>
      <c r="I262" s="43">
        <f>'01_PARÂMETROS'!$B$9</f>
        <v>50</v>
      </c>
      <c r="J262" s="44">
        <f t="shared" si="13"/>
        <v>0.9</v>
      </c>
      <c r="K262" s="62">
        <f>MAX('01_PARÂMETROS'!$B$11,MIN('01_PARÂMETROS'!$B$12,J262))</f>
        <v>0.9</v>
      </c>
      <c r="L262" s="63">
        <f t="shared" si="14"/>
        <v>-9.9999999999999978E-2</v>
      </c>
      <c r="M262" s="17" t="str">
        <f>IF(K262&lt;='01_PARÂMETROS'!$B$14,"Preferencial",IF(K262&lt;='01_PARÂMETROS'!$B$15,"Baixo",IF(K262&lt;='01_PARÂMETROS'!$B$16,"Médio",IF(K262&lt;='01_PARÂMETROS'!$B$17,"Alto","Elevado"))))</f>
        <v>Baixo</v>
      </c>
      <c r="N262" s="58" t="s">
        <v>486</v>
      </c>
      <c r="O262" s="61"/>
    </row>
    <row r="263" spans="1:15" ht="13.5" customHeight="1" x14ac:dyDescent="0.25">
      <c r="A263" s="24" t="s">
        <v>846</v>
      </c>
      <c r="B263" s="38" t="s">
        <v>660</v>
      </c>
      <c r="C263" s="25" t="s">
        <v>847</v>
      </c>
      <c r="D263" s="39" t="s">
        <v>840</v>
      </c>
      <c r="E263" s="65" t="s">
        <v>841</v>
      </c>
      <c r="F263" s="54" t="s">
        <v>485</v>
      </c>
      <c r="G263" s="54" t="s">
        <v>485</v>
      </c>
      <c r="H263" s="54" t="s">
        <v>485</v>
      </c>
      <c r="I263" s="43">
        <f>'01_PARÂMETROS'!$B$9</f>
        <v>50</v>
      </c>
      <c r="J263" s="44">
        <f t="shared" si="13"/>
        <v>0.9</v>
      </c>
      <c r="K263" s="62">
        <f>MAX('01_PARÂMETROS'!$B$11,MIN('01_PARÂMETROS'!$B$12,J263))</f>
        <v>0.9</v>
      </c>
      <c r="L263" s="63">
        <f t="shared" si="14"/>
        <v>-9.9999999999999978E-2</v>
      </c>
      <c r="M263" s="17" t="str">
        <f>IF(K263&lt;='01_PARÂMETROS'!$B$14,"Preferencial",IF(K263&lt;='01_PARÂMETROS'!$B$15,"Baixo",IF(K263&lt;='01_PARÂMETROS'!$B$16,"Médio",IF(K263&lt;='01_PARÂMETROS'!$B$17,"Alto","Elevado"))))</f>
        <v>Baixo</v>
      </c>
      <c r="N263" s="58" t="s">
        <v>486</v>
      </c>
      <c r="O263" s="54"/>
    </row>
    <row r="264" spans="1:15" ht="13.5" customHeight="1" x14ac:dyDescent="0.25">
      <c r="A264" s="13" t="s">
        <v>848</v>
      </c>
      <c r="B264" s="49" t="s">
        <v>660</v>
      </c>
      <c r="C264" s="14" t="s">
        <v>849</v>
      </c>
      <c r="D264" s="50" t="s">
        <v>840</v>
      </c>
      <c r="E264" s="65" t="s">
        <v>841</v>
      </c>
      <c r="F264" s="54" t="s">
        <v>485</v>
      </c>
      <c r="G264" s="54" t="s">
        <v>485</v>
      </c>
      <c r="H264" s="54" t="s">
        <v>485</v>
      </c>
      <c r="I264" s="43">
        <f>'01_PARÂMETROS'!$B$9</f>
        <v>50</v>
      </c>
      <c r="J264" s="44">
        <f t="shared" si="13"/>
        <v>0.9</v>
      </c>
      <c r="K264" s="62">
        <f>MAX('01_PARÂMETROS'!$B$11,MIN('01_PARÂMETROS'!$B$12,J264))</f>
        <v>0.9</v>
      </c>
      <c r="L264" s="63">
        <f t="shared" si="14"/>
        <v>-9.9999999999999978E-2</v>
      </c>
      <c r="M264" s="17" t="str">
        <f>IF(K264&lt;='01_PARÂMETROS'!$B$14,"Preferencial",IF(K264&lt;='01_PARÂMETROS'!$B$15,"Baixo",IF(K264&lt;='01_PARÂMETROS'!$B$16,"Médio",IF(K264&lt;='01_PARÂMETROS'!$B$17,"Alto","Elevado"))))</f>
        <v>Baixo</v>
      </c>
      <c r="N264" s="58" t="s">
        <v>486</v>
      </c>
      <c r="O264" s="61"/>
    </row>
    <row r="265" spans="1:15" ht="13.5" customHeight="1" x14ac:dyDescent="0.25">
      <c r="A265" s="24" t="s">
        <v>850</v>
      </c>
      <c r="B265" s="38" t="s">
        <v>660</v>
      </c>
      <c r="C265" s="25" t="s">
        <v>851</v>
      </c>
      <c r="D265" s="39" t="s">
        <v>840</v>
      </c>
      <c r="E265" s="65" t="s">
        <v>841</v>
      </c>
      <c r="F265" s="54" t="s">
        <v>485</v>
      </c>
      <c r="G265" s="54" t="s">
        <v>485</v>
      </c>
      <c r="H265" s="54" t="s">
        <v>485</v>
      </c>
      <c r="I265" s="43">
        <f>'01_PARÂMETROS'!$B$9</f>
        <v>50</v>
      </c>
      <c r="J265" s="44">
        <f t="shared" si="13"/>
        <v>0.9</v>
      </c>
      <c r="K265" s="62">
        <f>MAX('01_PARÂMETROS'!$B$11,MIN('01_PARÂMETROS'!$B$12,J265))</f>
        <v>0.9</v>
      </c>
      <c r="L265" s="63">
        <f t="shared" si="14"/>
        <v>-9.9999999999999978E-2</v>
      </c>
      <c r="M265" s="17" t="str">
        <f>IF(K265&lt;='01_PARÂMETROS'!$B$14,"Preferencial",IF(K265&lt;='01_PARÂMETROS'!$B$15,"Baixo",IF(K265&lt;='01_PARÂMETROS'!$B$16,"Médio",IF(K265&lt;='01_PARÂMETROS'!$B$17,"Alto","Elevado"))))</f>
        <v>Baixo</v>
      </c>
      <c r="N265" s="58" t="s">
        <v>486</v>
      </c>
      <c r="O265" s="54"/>
    </row>
    <row r="266" spans="1:15" ht="13.5" customHeight="1" x14ac:dyDescent="0.25">
      <c r="A266" s="13" t="s">
        <v>852</v>
      </c>
      <c r="B266" s="49" t="s">
        <v>660</v>
      </c>
      <c r="C266" s="14" t="s">
        <v>853</v>
      </c>
      <c r="D266" s="50" t="s">
        <v>840</v>
      </c>
      <c r="E266" s="65" t="s">
        <v>841</v>
      </c>
      <c r="F266" s="54" t="s">
        <v>485</v>
      </c>
      <c r="G266" s="54" t="s">
        <v>485</v>
      </c>
      <c r="H266" s="54" t="s">
        <v>485</v>
      </c>
      <c r="I266" s="43">
        <f>'01_PARÂMETROS'!$B$9</f>
        <v>50</v>
      </c>
      <c r="J266" s="44">
        <f t="shared" si="13"/>
        <v>0.9</v>
      </c>
      <c r="K266" s="62">
        <f>MAX('01_PARÂMETROS'!$B$11,MIN('01_PARÂMETROS'!$B$12,J266))</f>
        <v>0.9</v>
      </c>
      <c r="L266" s="63">
        <f t="shared" si="14"/>
        <v>-9.9999999999999978E-2</v>
      </c>
      <c r="M266" s="17" t="str">
        <f>IF(K266&lt;='01_PARÂMETROS'!$B$14,"Preferencial",IF(K266&lt;='01_PARÂMETROS'!$B$15,"Baixo",IF(K266&lt;='01_PARÂMETROS'!$B$16,"Médio",IF(K266&lt;='01_PARÂMETROS'!$B$17,"Alto","Elevado"))))</f>
        <v>Baixo</v>
      </c>
      <c r="N266" s="58" t="s">
        <v>486</v>
      </c>
      <c r="O266" s="61"/>
    </row>
    <row r="267" spans="1:15" ht="13.5" customHeight="1" x14ac:dyDescent="0.25">
      <c r="A267" s="24" t="s">
        <v>854</v>
      </c>
      <c r="B267" s="38" t="s">
        <v>660</v>
      </c>
      <c r="C267" s="25" t="s">
        <v>855</v>
      </c>
      <c r="D267" s="39" t="s">
        <v>840</v>
      </c>
      <c r="E267" s="65" t="s">
        <v>841</v>
      </c>
      <c r="F267" s="54" t="s">
        <v>485</v>
      </c>
      <c r="G267" s="54" t="s">
        <v>485</v>
      </c>
      <c r="H267" s="54" t="s">
        <v>485</v>
      </c>
      <c r="I267" s="43">
        <f>'01_PARÂMETROS'!$B$9</f>
        <v>50</v>
      </c>
      <c r="J267" s="44">
        <f t="shared" si="13"/>
        <v>0.9</v>
      </c>
      <c r="K267" s="62">
        <f>MAX('01_PARÂMETROS'!$B$11,MIN('01_PARÂMETROS'!$B$12,J267))</f>
        <v>0.9</v>
      </c>
      <c r="L267" s="63">
        <f t="shared" si="14"/>
        <v>-9.9999999999999978E-2</v>
      </c>
      <c r="M267" s="17" t="str">
        <f>IF(K267&lt;='01_PARÂMETROS'!$B$14,"Preferencial",IF(K267&lt;='01_PARÂMETROS'!$B$15,"Baixo",IF(K267&lt;='01_PARÂMETROS'!$B$16,"Médio",IF(K267&lt;='01_PARÂMETROS'!$B$17,"Alto","Elevado"))))</f>
        <v>Baixo</v>
      </c>
      <c r="N267" s="58" t="s">
        <v>486</v>
      </c>
      <c r="O267" s="54"/>
    </row>
    <row r="268" spans="1:15" ht="13.5" customHeight="1" x14ac:dyDescent="0.25">
      <c r="A268" s="13" t="s">
        <v>856</v>
      </c>
      <c r="B268" s="49" t="s">
        <v>660</v>
      </c>
      <c r="C268" s="14" t="s">
        <v>857</v>
      </c>
      <c r="D268" s="50" t="s">
        <v>840</v>
      </c>
      <c r="E268" s="65" t="s">
        <v>841</v>
      </c>
      <c r="F268" s="54" t="s">
        <v>485</v>
      </c>
      <c r="G268" s="54" t="s">
        <v>485</v>
      </c>
      <c r="H268" s="54" t="s">
        <v>485</v>
      </c>
      <c r="I268" s="43">
        <f>'01_PARÂMETROS'!$B$9</f>
        <v>50</v>
      </c>
      <c r="J268" s="44">
        <f t="shared" si="13"/>
        <v>0.9</v>
      </c>
      <c r="K268" s="62">
        <f>MAX('01_PARÂMETROS'!$B$11,MIN('01_PARÂMETROS'!$B$12,J268))</f>
        <v>0.9</v>
      </c>
      <c r="L268" s="63">
        <f t="shared" si="14"/>
        <v>-9.9999999999999978E-2</v>
      </c>
      <c r="M268" s="17" t="str">
        <f>IF(K268&lt;='01_PARÂMETROS'!$B$14,"Preferencial",IF(K268&lt;='01_PARÂMETROS'!$B$15,"Baixo",IF(K268&lt;='01_PARÂMETROS'!$B$16,"Médio",IF(K268&lt;='01_PARÂMETROS'!$B$17,"Alto","Elevado"))))</f>
        <v>Baixo</v>
      </c>
      <c r="N268" s="58" t="s">
        <v>486</v>
      </c>
      <c r="O268" s="61"/>
    </row>
    <row r="269" spans="1:15" ht="13.5" customHeight="1" x14ac:dyDescent="0.25">
      <c r="A269" s="24" t="s">
        <v>858</v>
      </c>
      <c r="B269" s="38" t="s">
        <v>660</v>
      </c>
      <c r="C269" s="25" t="s">
        <v>859</v>
      </c>
      <c r="D269" s="39" t="s">
        <v>840</v>
      </c>
      <c r="E269" s="65" t="s">
        <v>841</v>
      </c>
      <c r="F269" s="54" t="s">
        <v>485</v>
      </c>
      <c r="G269" s="54" t="s">
        <v>485</v>
      </c>
      <c r="H269" s="54" t="s">
        <v>485</v>
      </c>
      <c r="I269" s="43">
        <f>'01_PARÂMETROS'!$B$9</f>
        <v>50</v>
      </c>
      <c r="J269" s="44">
        <f t="shared" si="13"/>
        <v>0.9</v>
      </c>
      <c r="K269" s="62">
        <f>MAX('01_PARÂMETROS'!$B$11,MIN('01_PARÂMETROS'!$B$12,J269))</f>
        <v>0.9</v>
      </c>
      <c r="L269" s="63">
        <f t="shared" si="14"/>
        <v>-9.9999999999999978E-2</v>
      </c>
      <c r="M269" s="17" t="str">
        <f>IF(K269&lt;='01_PARÂMETROS'!$B$14,"Preferencial",IF(K269&lt;='01_PARÂMETROS'!$B$15,"Baixo",IF(K269&lt;='01_PARÂMETROS'!$B$16,"Médio",IF(K269&lt;='01_PARÂMETROS'!$B$17,"Alto","Elevado"))))</f>
        <v>Baixo</v>
      </c>
      <c r="N269" s="58" t="s">
        <v>486</v>
      </c>
      <c r="O269" s="54"/>
    </row>
    <row r="270" spans="1:15" ht="13.5" customHeight="1" x14ac:dyDescent="0.25">
      <c r="A270" s="13" t="s">
        <v>860</v>
      </c>
      <c r="B270" s="49" t="s">
        <v>660</v>
      </c>
      <c r="C270" s="14" t="s">
        <v>861</v>
      </c>
      <c r="D270" s="50" t="s">
        <v>840</v>
      </c>
      <c r="E270" s="65" t="s">
        <v>841</v>
      </c>
      <c r="F270" s="54" t="s">
        <v>485</v>
      </c>
      <c r="G270" s="54" t="s">
        <v>485</v>
      </c>
      <c r="H270" s="54" t="s">
        <v>485</v>
      </c>
      <c r="I270" s="43">
        <f>'01_PARÂMETROS'!$B$9</f>
        <v>50</v>
      </c>
      <c r="J270" s="44">
        <f t="shared" si="13"/>
        <v>0.9</v>
      </c>
      <c r="K270" s="62">
        <f>MAX('01_PARÂMETROS'!$B$11,MIN('01_PARÂMETROS'!$B$12,J270))</f>
        <v>0.9</v>
      </c>
      <c r="L270" s="63">
        <f t="shared" si="14"/>
        <v>-9.9999999999999978E-2</v>
      </c>
      <c r="M270" s="17" t="str">
        <f>IF(K270&lt;='01_PARÂMETROS'!$B$14,"Preferencial",IF(K270&lt;='01_PARÂMETROS'!$B$15,"Baixo",IF(K270&lt;='01_PARÂMETROS'!$B$16,"Médio",IF(K270&lt;='01_PARÂMETROS'!$B$17,"Alto","Elevado"))))</f>
        <v>Baixo</v>
      </c>
      <c r="N270" s="58" t="s">
        <v>486</v>
      </c>
      <c r="O270" s="61"/>
    </row>
    <row r="271" spans="1:15" ht="13.5" customHeight="1" x14ac:dyDescent="0.25">
      <c r="A271" s="24" t="s">
        <v>862</v>
      </c>
      <c r="B271" s="38" t="s">
        <v>660</v>
      </c>
      <c r="C271" s="25" t="s">
        <v>863</v>
      </c>
      <c r="D271" s="39" t="s">
        <v>864</v>
      </c>
      <c r="E271" s="64" t="s">
        <v>566</v>
      </c>
      <c r="F271" s="54" t="s">
        <v>485</v>
      </c>
      <c r="G271" s="54" t="s">
        <v>485</v>
      </c>
      <c r="H271" s="54" t="s">
        <v>485</v>
      </c>
      <c r="I271" s="43">
        <f>'01_PARÂMETROS'!$B$9</f>
        <v>50</v>
      </c>
      <c r="J271" s="44">
        <f>1.15</f>
        <v>1.1499999999999999</v>
      </c>
      <c r="K271" s="45">
        <f>MAX('01_PARÂMETROS'!$B$11,MIN('01_PARÂMETROS'!$B$12,J271))</f>
        <v>1.1499999999999999</v>
      </c>
      <c r="L271" s="46">
        <f t="shared" si="14"/>
        <v>0.14999999999999991</v>
      </c>
      <c r="M271" s="47" t="str">
        <f>IF(K271&lt;='01_PARÂMETROS'!$B$14,"Preferencial",IF(K271&lt;='01_PARÂMETROS'!$B$15,"Baixo",IF(K271&lt;='01_PARÂMETROS'!$B$16,"Médio",IF(K271&lt;='01_PARÂMETROS'!$B$17,"Alto","Elevado"))))</f>
        <v>Alto</v>
      </c>
      <c r="N271" s="58" t="s">
        <v>486</v>
      </c>
      <c r="O271" s="54"/>
    </row>
    <row r="272" spans="1:15" ht="13.5" customHeight="1" x14ac:dyDescent="0.25">
      <c r="A272" s="13" t="s">
        <v>865</v>
      </c>
      <c r="B272" s="49" t="s">
        <v>660</v>
      </c>
      <c r="C272" s="14" t="s">
        <v>866</v>
      </c>
      <c r="D272" s="50" t="s">
        <v>864</v>
      </c>
      <c r="E272" s="40" t="s">
        <v>477</v>
      </c>
      <c r="F272" s="54" t="s">
        <v>485</v>
      </c>
      <c r="G272" s="54" t="s">
        <v>485</v>
      </c>
      <c r="H272" s="54" t="s">
        <v>485</v>
      </c>
      <c r="I272" s="43">
        <f>'01_PARÂMETROS'!$B$9</f>
        <v>50</v>
      </c>
      <c r="J272" s="44">
        <f>1</f>
        <v>1</v>
      </c>
      <c r="K272" s="55">
        <f>MAX('01_PARÂMETROS'!$B$11,MIN('01_PARÂMETROS'!$B$12,J272))</f>
        <v>1</v>
      </c>
      <c r="L272" s="56">
        <f t="shared" si="14"/>
        <v>0</v>
      </c>
      <c r="M272" s="57" t="str">
        <f>IF(K272&lt;='01_PARÂMETROS'!$B$14,"Preferencial",IF(K272&lt;='01_PARÂMETROS'!$B$15,"Baixo",IF(K272&lt;='01_PARÂMETROS'!$B$16,"Médio",IF(K272&lt;='01_PARÂMETROS'!$B$17,"Alto","Elevado"))))</f>
        <v>Médio</v>
      </c>
      <c r="N272" s="58" t="s">
        <v>486</v>
      </c>
      <c r="O272" s="61"/>
    </row>
    <row r="273" spans="1:15" ht="13.5" customHeight="1" x14ac:dyDescent="0.25">
      <c r="A273" s="24" t="s">
        <v>867</v>
      </c>
      <c r="B273" s="38" t="s">
        <v>660</v>
      </c>
      <c r="C273" s="25" t="s">
        <v>868</v>
      </c>
      <c r="D273" s="39" t="s">
        <v>864</v>
      </c>
      <c r="E273" s="40" t="s">
        <v>477</v>
      </c>
      <c r="F273" s="54" t="s">
        <v>485</v>
      </c>
      <c r="G273" s="54" t="s">
        <v>485</v>
      </c>
      <c r="H273" s="54" t="s">
        <v>485</v>
      </c>
      <c r="I273" s="43">
        <f>'01_PARÂMETROS'!$B$9</f>
        <v>50</v>
      </c>
      <c r="J273" s="44">
        <f>1</f>
        <v>1</v>
      </c>
      <c r="K273" s="55">
        <f>MAX('01_PARÂMETROS'!$B$11,MIN('01_PARÂMETROS'!$B$12,J273))</f>
        <v>1</v>
      </c>
      <c r="L273" s="56">
        <f t="shared" si="14"/>
        <v>0</v>
      </c>
      <c r="M273" s="57" t="str">
        <f>IF(K273&lt;='01_PARÂMETROS'!$B$14,"Preferencial",IF(K273&lt;='01_PARÂMETROS'!$B$15,"Baixo",IF(K273&lt;='01_PARÂMETROS'!$B$16,"Médio",IF(K273&lt;='01_PARÂMETROS'!$B$17,"Alto","Elevado"))))</f>
        <v>Médio</v>
      </c>
      <c r="N273" s="58" t="s">
        <v>486</v>
      </c>
      <c r="O273" s="54"/>
    </row>
    <row r="274" spans="1:15" ht="13.5" customHeight="1" x14ac:dyDescent="0.25">
      <c r="A274" s="13" t="s">
        <v>869</v>
      </c>
      <c r="B274" s="49" t="s">
        <v>660</v>
      </c>
      <c r="C274" s="14" t="s">
        <v>870</v>
      </c>
      <c r="D274" s="50" t="s">
        <v>864</v>
      </c>
      <c r="E274" s="40" t="s">
        <v>477</v>
      </c>
      <c r="F274" s="54" t="s">
        <v>485</v>
      </c>
      <c r="G274" s="54" t="s">
        <v>485</v>
      </c>
      <c r="H274" s="54" t="s">
        <v>485</v>
      </c>
      <c r="I274" s="43">
        <f>'01_PARÂMETROS'!$B$9</f>
        <v>50</v>
      </c>
      <c r="J274" s="44">
        <f>1</f>
        <v>1</v>
      </c>
      <c r="K274" s="55">
        <f>MAX('01_PARÂMETROS'!$B$11,MIN('01_PARÂMETROS'!$B$12,J274))</f>
        <v>1</v>
      </c>
      <c r="L274" s="56">
        <f t="shared" si="14"/>
        <v>0</v>
      </c>
      <c r="M274" s="57" t="str">
        <f>IF(K274&lt;='01_PARÂMETROS'!$B$14,"Preferencial",IF(K274&lt;='01_PARÂMETROS'!$B$15,"Baixo",IF(K274&lt;='01_PARÂMETROS'!$B$16,"Médio",IF(K274&lt;='01_PARÂMETROS'!$B$17,"Alto","Elevado"))))</f>
        <v>Médio</v>
      </c>
      <c r="N274" s="58" t="s">
        <v>486</v>
      </c>
      <c r="O274" s="61"/>
    </row>
    <row r="275" spans="1:15" ht="13.5" customHeight="1" x14ac:dyDescent="0.25">
      <c r="A275" s="24" t="s">
        <v>871</v>
      </c>
      <c r="B275" s="38" t="s">
        <v>660</v>
      </c>
      <c r="C275" s="25" t="s">
        <v>872</v>
      </c>
      <c r="D275" s="39" t="s">
        <v>864</v>
      </c>
      <c r="E275" s="40" t="s">
        <v>477</v>
      </c>
      <c r="F275" s="54" t="s">
        <v>485</v>
      </c>
      <c r="G275" s="54" t="s">
        <v>485</v>
      </c>
      <c r="H275" s="54" t="s">
        <v>485</v>
      </c>
      <c r="I275" s="43">
        <f>'01_PARÂMETROS'!$B$9</f>
        <v>50</v>
      </c>
      <c r="J275" s="44">
        <f>1</f>
        <v>1</v>
      </c>
      <c r="K275" s="55">
        <f>MAX('01_PARÂMETROS'!$B$11,MIN('01_PARÂMETROS'!$B$12,J275))</f>
        <v>1</v>
      </c>
      <c r="L275" s="56">
        <f t="shared" si="14"/>
        <v>0</v>
      </c>
      <c r="M275" s="57" t="str">
        <f>IF(K275&lt;='01_PARÂMETROS'!$B$14,"Preferencial",IF(K275&lt;='01_PARÂMETROS'!$B$15,"Baixo",IF(K275&lt;='01_PARÂMETROS'!$B$16,"Médio",IF(K275&lt;='01_PARÂMETROS'!$B$17,"Alto","Elevado"))))</f>
        <v>Médio</v>
      </c>
      <c r="N275" s="58" t="s">
        <v>486</v>
      </c>
      <c r="O275" s="54"/>
    </row>
    <row r="276" spans="1:15" ht="13.5" customHeight="1" x14ac:dyDescent="0.25">
      <c r="A276" s="13" t="s">
        <v>873</v>
      </c>
      <c r="B276" s="49" t="s">
        <v>660</v>
      </c>
      <c r="C276" s="14" t="s">
        <v>874</v>
      </c>
      <c r="D276" s="50" t="s">
        <v>864</v>
      </c>
      <c r="E276" s="40" t="s">
        <v>477</v>
      </c>
      <c r="F276" s="54" t="s">
        <v>485</v>
      </c>
      <c r="G276" s="54" t="s">
        <v>485</v>
      </c>
      <c r="H276" s="54" t="s">
        <v>485</v>
      </c>
      <c r="I276" s="43">
        <f>'01_PARÂMETROS'!$B$9</f>
        <v>50</v>
      </c>
      <c r="J276" s="44">
        <f>1</f>
        <v>1</v>
      </c>
      <c r="K276" s="55">
        <f>MAX('01_PARÂMETROS'!$B$11,MIN('01_PARÂMETROS'!$B$12,J276))</f>
        <v>1</v>
      </c>
      <c r="L276" s="56">
        <f t="shared" si="14"/>
        <v>0</v>
      </c>
      <c r="M276" s="57" t="str">
        <f>IF(K276&lt;='01_PARÂMETROS'!$B$14,"Preferencial",IF(K276&lt;='01_PARÂMETROS'!$B$15,"Baixo",IF(K276&lt;='01_PARÂMETROS'!$B$16,"Médio",IF(K276&lt;='01_PARÂMETROS'!$B$17,"Alto","Elevado"))))</f>
        <v>Médio</v>
      </c>
      <c r="N276" s="58" t="s">
        <v>486</v>
      </c>
      <c r="O276" s="61"/>
    </row>
    <row r="277" spans="1:15" ht="13.5" customHeight="1" x14ac:dyDescent="0.25">
      <c r="A277" s="24" t="s">
        <v>875</v>
      </c>
      <c r="B277" s="38" t="s">
        <v>660</v>
      </c>
      <c r="C277" s="25" t="s">
        <v>876</v>
      </c>
      <c r="D277" s="39" t="s">
        <v>864</v>
      </c>
      <c r="E277" s="40" t="s">
        <v>477</v>
      </c>
      <c r="F277" s="54" t="s">
        <v>485</v>
      </c>
      <c r="G277" s="54" t="s">
        <v>485</v>
      </c>
      <c r="H277" s="54" t="s">
        <v>485</v>
      </c>
      <c r="I277" s="43">
        <f>'01_PARÂMETROS'!$B$9</f>
        <v>50</v>
      </c>
      <c r="J277" s="44">
        <f>1</f>
        <v>1</v>
      </c>
      <c r="K277" s="55">
        <f>MAX('01_PARÂMETROS'!$B$11,MIN('01_PARÂMETROS'!$B$12,J277))</f>
        <v>1</v>
      </c>
      <c r="L277" s="56">
        <f t="shared" si="14"/>
        <v>0</v>
      </c>
      <c r="M277" s="57" t="str">
        <f>IF(K277&lt;='01_PARÂMETROS'!$B$14,"Preferencial",IF(K277&lt;='01_PARÂMETROS'!$B$15,"Baixo",IF(K277&lt;='01_PARÂMETROS'!$B$16,"Médio",IF(K277&lt;='01_PARÂMETROS'!$B$17,"Alto","Elevado"))))</f>
        <v>Médio</v>
      </c>
      <c r="N277" s="58" t="s">
        <v>486</v>
      </c>
      <c r="O277" s="54"/>
    </row>
    <row r="278" spans="1:15" ht="13.5" customHeight="1" x14ac:dyDescent="0.25">
      <c r="A278" s="13" t="s">
        <v>877</v>
      </c>
      <c r="B278" s="49" t="s">
        <v>660</v>
      </c>
      <c r="C278" s="14" t="s">
        <v>878</v>
      </c>
      <c r="D278" s="50" t="s">
        <v>864</v>
      </c>
      <c r="E278" s="40" t="s">
        <v>477</v>
      </c>
      <c r="F278" s="54" t="s">
        <v>485</v>
      </c>
      <c r="G278" s="54" t="s">
        <v>485</v>
      </c>
      <c r="H278" s="54" t="s">
        <v>485</v>
      </c>
      <c r="I278" s="43">
        <f>'01_PARÂMETROS'!$B$9</f>
        <v>50</v>
      </c>
      <c r="J278" s="44">
        <f>1</f>
        <v>1</v>
      </c>
      <c r="K278" s="55">
        <f>MAX('01_PARÂMETROS'!$B$11,MIN('01_PARÂMETROS'!$B$12,J278))</f>
        <v>1</v>
      </c>
      <c r="L278" s="56">
        <f t="shared" si="14"/>
        <v>0</v>
      </c>
      <c r="M278" s="57" t="str">
        <f>IF(K278&lt;='01_PARÂMETROS'!$B$14,"Preferencial",IF(K278&lt;='01_PARÂMETROS'!$B$15,"Baixo",IF(K278&lt;='01_PARÂMETROS'!$B$16,"Médio",IF(K278&lt;='01_PARÂMETROS'!$B$17,"Alto","Elevado"))))</f>
        <v>Médio</v>
      </c>
      <c r="N278" s="58" t="s">
        <v>486</v>
      </c>
      <c r="O278" s="61"/>
    </row>
    <row r="279" spans="1:15" ht="13.5" customHeight="1" x14ac:dyDescent="0.25">
      <c r="A279" s="24" t="s">
        <v>879</v>
      </c>
      <c r="B279" s="38" t="s">
        <v>660</v>
      </c>
      <c r="C279" s="25" t="s">
        <v>880</v>
      </c>
      <c r="D279" s="39" t="s">
        <v>864</v>
      </c>
      <c r="E279" s="40" t="s">
        <v>477</v>
      </c>
      <c r="F279" s="54" t="s">
        <v>485</v>
      </c>
      <c r="G279" s="54" t="s">
        <v>485</v>
      </c>
      <c r="H279" s="54" t="s">
        <v>485</v>
      </c>
      <c r="I279" s="43">
        <f>'01_PARÂMETROS'!$B$9</f>
        <v>50</v>
      </c>
      <c r="J279" s="44">
        <f>1</f>
        <v>1</v>
      </c>
      <c r="K279" s="55">
        <f>MAX('01_PARÂMETROS'!$B$11,MIN('01_PARÂMETROS'!$B$12,J279))</f>
        <v>1</v>
      </c>
      <c r="L279" s="56">
        <f t="shared" si="14"/>
        <v>0</v>
      </c>
      <c r="M279" s="57" t="str">
        <f>IF(K279&lt;='01_PARÂMETROS'!$B$14,"Preferencial",IF(K279&lt;='01_PARÂMETROS'!$B$15,"Baixo",IF(K279&lt;='01_PARÂMETROS'!$B$16,"Médio",IF(K279&lt;='01_PARÂMETROS'!$B$17,"Alto","Elevado"))))</f>
        <v>Médio</v>
      </c>
      <c r="N279" s="58" t="s">
        <v>486</v>
      </c>
      <c r="O279" s="54"/>
    </row>
    <row r="280" spans="1:15" ht="13.5" customHeight="1" x14ac:dyDescent="0.25">
      <c r="A280" s="13" t="s">
        <v>881</v>
      </c>
      <c r="B280" s="49" t="s">
        <v>660</v>
      </c>
      <c r="C280" s="14" t="s">
        <v>882</v>
      </c>
      <c r="D280" s="50" t="s">
        <v>662</v>
      </c>
      <c r="E280" s="64" t="s">
        <v>566</v>
      </c>
      <c r="F280" s="54" t="s">
        <v>485</v>
      </c>
      <c r="G280" s="54" t="s">
        <v>485</v>
      </c>
      <c r="H280" s="54" t="s">
        <v>485</v>
      </c>
      <c r="I280" s="43">
        <f>'01_PARÂMETROS'!$B$9</f>
        <v>50</v>
      </c>
      <c r="J280" s="44">
        <f t="shared" ref="J280:J290" si="15">1.15</f>
        <v>1.1499999999999999</v>
      </c>
      <c r="K280" s="45">
        <f>MAX('01_PARÂMETROS'!$B$11,MIN('01_PARÂMETROS'!$B$12,J280))</f>
        <v>1.1499999999999999</v>
      </c>
      <c r="L280" s="46">
        <f t="shared" si="14"/>
        <v>0.14999999999999991</v>
      </c>
      <c r="M280" s="47" t="str">
        <f>IF(K280&lt;='01_PARÂMETROS'!$B$14,"Preferencial",IF(K280&lt;='01_PARÂMETROS'!$B$15,"Baixo",IF(K280&lt;='01_PARÂMETROS'!$B$16,"Médio",IF(K280&lt;='01_PARÂMETROS'!$B$17,"Alto","Elevado"))))</f>
        <v>Alto</v>
      </c>
      <c r="N280" s="58" t="s">
        <v>486</v>
      </c>
      <c r="O280" s="61"/>
    </row>
    <row r="281" spans="1:15" ht="13.5" customHeight="1" x14ac:dyDescent="0.25">
      <c r="A281" s="24" t="s">
        <v>883</v>
      </c>
      <c r="B281" s="38" t="s">
        <v>660</v>
      </c>
      <c r="C281" s="25" t="s">
        <v>884</v>
      </c>
      <c r="D281" s="39" t="s">
        <v>662</v>
      </c>
      <c r="E281" s="64" t="s">
        <v>566</v>
      </c>
      <c r="F281" s="54" t="s">
        <v>485</v>
      </c>
      <c r="G281" s="54" t="s">
        <v>485</v>
      </c>
      <c r="H281" s="54" t="s">
        <v>485</v>
      </c>
      <c r="I281" s="43">
        <f>'01_PARÂMETROS'!$B$9</f>
        <v>50</v>
      </c>
      <c r="J281" s="44">
        <f t="shared" si="15"/>
        <v>1.1499999999999999</v>
      </c>
      <c r="K281" s="45">
        <f>MAX('01_PARÂMETROS'!$B$11,MIN('01_PARÂMETROS'!$B$12,J281))</f>
        <v>1.1499999999999999</v>
      </c>
      <c r="L281" s="46">
        <f t="shared" si="14"/>
        <v>0.14999999999999991</v>
      </c>
      <c r="M281" s="47" t="str">
        <f>IF(K281&lt;='01_PARÂMETROS'!$B$14,"Preferencial",IF(K281&lt;='01_PARÂMETROS'!$B$15,"Baixo",IF(K281&lt;='01_PARÂMETROS'!$B$16,"Médio",IF(K281&lt;='01_PARÂMETROS'!$B$17,"Alto","Elevado"))))</f>
        <v>Alto</v>
      </c>
      <c r="N281" s="58" t="s">
        <v>486</v>
      </c>
      <c r="O281" s="54"/>
    </row>
    <row r="282" spans="1:15" ht="13.5" customHeight="1" x14ac:dyDescent="0.25">
      <c r="A282" s="13" t="s">
        <v>885</v>
      </c>
      <c r="B282" s="49" t="s">
        <v>660</v>
      </c>
      <c r="C282" s="14" t="s">
        <v>886</v>
      </c>
      <c r="D282" s="50" t="s">
        <v>662</v>
      </c>
      <c r="E282" s="64" t="s">
        <v>566</v>
      </c>
      <c r="F282" s="54" t="s">
        <v>485</v>
      </c>
      <c r="G282" s="54" t="s">
        <v>485</v>
      </c>
      <c r="H282" s="54" t="s">
        <v>485</v>
      </c>
      <c r="I282" s="43">
        <f>'01_PARÂMETROS'!$B$9</f>
        <v>50</v>
      </c>
      <c r="J282" s="44">
        <f t="shared" si="15"/>
        <v>1.1499999999999999</v>
      </c>
      <c r="K282" s="45">
        <f>MAX('01_PARÂMETROS'!$B$11,MIN('01_PARÂMETROS'!$B$12,J282))</f>
        <v>1.1499999999999999</v>
      </c>
      <c r="L282" s="46">
        <f t="shared" si="14"/>
        <v>0.14999999999999991</v>
      </c>
      <c r="M282" s="47" t="str">
        <f>IF(K282&lt;='01_PARÂMETROS'!$B$14,"Preferencial",IF(K282&lt;='01_PARÂMETROS'!$B$15,"Baixo",IF(K282&lt;='01_PARÂMETROS'!$B$16,"Médio",IF(K282&lt;='01_PARÂMETROS'!$B$17,"Alto","Elevado"))))</f>
        <v>Alto</v>
      </c>
      <c r="N282" s="58" t="s">
        <v>486</v>
      </c>
      <c r="O282" s="61"/>
    </row>
    <row r="283" spans="1:15" ht="13.5" customHeight="1" x14ac:dyDescent="0.25">
      <c r="A283" s="24" t="s">
        <v>887</v>
      </c>
      <c r="B283" s="38" t="s">
        <v>660</v>
      </c>
      <c r="C283" s="25" t="s">
        <v>888</v>
      </c>
      <c r="D283" s="39" t="s">
        <v>662</v>
      </c>
      <c r="E283" s="64" t="s">
        <v>566</v>
      </c>
      <c r="F283" s="54" t="s">
        <v>485</v>
      </c>
      <c r="G283" s="54" t="s">
        <v>485</v>
      </c>
      <c r="H283" s="54" t="s">
        <v>485</v>
      </c>
      <c r="I283" s="43">
        <f>'01_PARÂMETROS'!$B$9</f>
        <v>50</v>
      </c>
      <c r="J283" s="44">
        <f t="shared" si="15"/>
        <v>1.1499999999999999</v>
      </c>
      <c r="K283" s="45">
        <f>MAX('01_PARÂMETROS'!$B$11,MIN('01_PARÂMETROS'!$B$12,J283))</f>
        <v>1.1499999999999999</v>
      </c>
      <c r="L283" s="46">
        <f t="shared" si="14"/>
        <v>0.14999999999999991</v>
      </c>
      <c r="M283" s="47" t="str">
        <f>IF(K283&lt;='01_PARÂMETROS'!$B$14,"Preferencial",IF(K283&lt;='01_PARÂMETROS'!$B$15,"Baixo",IF(K283&lt;='01_PARÂMETROS'!$B$16,"Médio",IF(K283&lt;='01_PARÂMETROS'!$B$17,"Alto","Elevado"))))</f>
        <v>Alto</v>
      </c>
      <c r="N283" s="58" t="s">
        <v>486</v>
      </c>
      <c r="O283" s="54"/>
    </row>
    <row r="284" spans="1:15" ht="13.5" customHeight="1" x14ac:dyDescent="0.25">
      <c r="A284" s="13" t="s">
        <v>889</v>
      </c>
      <c r="B284" s="49" t="s">
        <v>660</v>
      </c>
      <c r="C284" s="14" t="s">
        <v>890</v>
      </c>
      <c r="D284" s="50" t="s">
        <v>662</v>
      </c>
      <c r="E284" s="64" t="s">
        <v>566</v>
      </c>
      <c r="F284" s="54" t="s">
        <v>485</v>
      </c>
      <c r="G284" s="54" t="s">
        <v>485</v>
      </c>
      <c r="H284" s="54" t="s">
        <v>485</v>
      </c>
      <c r="I284" s="43">
        <f>'01_PARÂMETROS'!$B$9</f>
        <v>50</v>
      </c>
      <c r="J284" s="44">
        <f t="shared" si="15"/>
        <v>1.1499999999999999</v>
      </c>
      <c r="K284" s="45">
        <f>MAX('01_PARÂMETROS'!$B$11,MIN('01_PARÂMETROS'!$B$12,J284))</f>
        <v>1.1499999999999999</v>
      </c>
      <c r="L284" s="46">
        <f t="shared" si="14"/>
        <v>0.14999999999999991</v>
      </c>
      <c r="M284" s="47" t="str">
        <f>IF(K284&lt;='01_PARÂMETROS'!$B$14,"Preferencial",IF(K284&lt;='01_PARÂMETROS'!$B$15,"Baixo",IF(K284&lt;='01_PARÂMETROS'!$B$16,"Médio",IF(K284&lt;='01_PARÂMETROS'!$B$17,"Alto","Elevado"))))</f>
        <v>Alto</v>
      </c>
      <c r="N284" s="58" t="s">
        <v>486</v>
      </c>
      <c r="O284" s="61"/>
    </row>
    <row r="285" spans="1:15" ht="13.5" customHeight="1" x14ac:dyDescent="0.25">
      <c r="A285" s="24" t="s">
        <v>891</v>
      </c>
      <c r="B285" s="38" t="s">
        <v>660</v>
      </c>
      <c r="C285" s="25" t="s">
        <v>892</v>
      </c>
      <c r="D285" s="39" t="s">
        <v>662</v>
      </c>
      <c r="E285" s="64" t="s">
        <v>566</v>
      </c>
      <c r="F285" s="54" t="s">
        <v>485</v>
      </c>
      <c r="G285" s="54" t="s">
        <v>485</v>
      </c>
      <c r="H285" s="54" t="s">
        <v>485</v>
      </c>
      <c r="I285" s="43">
        <f>'01_PARÂMETROS'!$B$9</f>
        <v>50</v>
      </c>
      <c r="J285" s="44">
        <f t="shared" si="15"/>
        <v>1.1499999999999999</v>
      </c>
      <c r="K285" s="45">
        <f>MAX('01_PARÂMETROS'!$B$11,MIN('01_PARÂMETROS'!$B$12,J285))</f>
        <v>1.1499999999999999</v>
      </c>
      <c r="L285" s="46">
        <f t="shared" si="14"/>
        <v>0.14999999999999991</v>
      </c>
      <c r="M285" s="47" t="str">
        <f>IF(K285&lt;='01_PARÂMETROS'!$B$14,"Preferencial",IF(K285&lt;='01_PARÂMETROS'!$B$15,"Baixo",IF(K285&lt;='01_PARÂMETROS'!$B$16,"Médio",IF(K285&lt;='01_PARÂMETROS'!$B$17,"Alto","Elevado"))))</f>
        <v>Alto</v>
      </c>
      <c r="N285" s="58" t="s">
        <v>486</v>
      </c>
      <c r="O285" s="54"/>
    </row>
    <row r="286" spans="1:15" ht="13.5" customHeight="1" x14ac:dyDescent="0.25">
      <c r="A286" s="13" t="s">
        <v>893</v>
      </c>
      <c r="B286" s="49" t="s">
        <v>660</v>
      </c>
      <c r="C286" s="14" t="s">
        <v>894</v>
      </c>
      <c r="D286" s="50" t="s">
        <v>662</v>
      </c>
      <c r="E286" s="64" t="s">
        <v>566</v>
      </c>
      <c r="F286" s="54" t="s">
        <v>485</v>
      </c>
      <c r="G286" s="54" t="s">
        <v>485</v>
      </c>
      <c r="H286" s="54" t="s">
        <v>485</v>
      </c>
      <c r="I286" s="43">
        <f>'01_PARÂMETROS'!$B$9</f>
        <v>50</v>
      </c>
      <c r="J286" s="44">
        <f t="shared" si="15"/>
        <v>1.1499999999999999</v>
      </c>
      <c r="K286" s="45">
        <f>MAX('01_PARÂMETROS'!$B$11,MIN('01_PARÂMETROS'!$B$12,J286))</f>
        <v>1.1499999999999999</v>
      </c>
      <c r="L286" s="46">
        <f t="shared" si="14"/>
        <v>0.14999999999999991</v>
      </c>
      <c r="M286" s="47" t="str">
        <f>IF(K286&lt;='01_PARÂMETROS'!$B$14,"Preferencial",IF(K286&lt;='01_PARÂMETROS'!$B$15,"Baixo",IF(K286&lt;='01_PARÂMETROS'!$B$16,"Médio",IF(K286&lt;='01_PARÂMETROS'!$B$17,"Alto","Elevado"))))</f>
        <v>Alto</v>
      </c>
      <c r="N286" s="58" t="s">
        <v>486</v>
      </c>
      <c r="O286" s="61"/>
    </row>
    <row r="287" spans="1:15" ht="13.5" customHeight="1" x14ac:dyDescent="0.25">
      <c r="A287" s="24" t="s">
        <v>895</v>
      </c>
      <c r="B287" s="38" t="s">
        <v>660</v>
      </c>
      <c r="C287" s="25" t="s">
        <v>896</v>
      </c>
      <c r="D287" s="39" t="s">
        <v>662</v>
      </c>
      <c r="E287" s="64" t="s">
        <v>566</v>
      </c>
      <c r="F287" s="54" t="s">
        <v>485</v>
      </c>
      <c r="G287" s="54" t="s">
        <v>485</v>
      </c>
      <c r="H287" s="54" t="s">
        <v>485</v>
      </c>
      <c r="I287" s="43">
        <f>'01_PARÂMETROS'!$B$9</f>
        <v>50</v>
      </c>
      <c r="J287" s="44">
        <f t="shared" si="15"/>
        <v>1.1499999999999999</v>
      </c>
      <c r="K287" s="45">
        <f>MAX('01_PARÂMETROS'!$B$11,MIN('01_PARÂMETROS'!$B$12,J287))</f>
        <v>1.1499999999999999</v>
      </c>
      <c r="L287" s="46">
        <f t="shared" si="14"/>
        <v>0.14999999999999991</v>
      </c>
      <c r="M287" s="47" t="str">
        <f>IF(K287&lt;='01_PARÂMETROS'!$B$14,"Preferencial",IF(K287&lt;='01_PARÂMETROS'!$B$15,"Baixo",IF(K287&lt;='01_PARÂMETROS'!$B$16,"Médio",IF(K287&lt;='01_PARÂMETROS'!$B$17,"Alto","Elevado"))))</f>
        <v>Alto</v>
      </c>
      <c r="N287" s="58" t="s">
        <v>486</v>
      </c>
      <c r="O287" s="54"/>
    </row>
    <row r="288" spans="1:15" ht="13.5" customHeight="1" x14ac:dyDescent="0.25">
      <c r="A288" s="13" t="s">
        <v>897</v>
      </c>
      <c r="B288" s="49" t="s">
        <v>660</v>
      </c>
      <c r="C288" s="14" t="s">
        <v>898</v>
      </c>
      <c r="D288" s="50" t="s">
        <v>662</v>
      </c>
      <c r="E288" s="64" t="s">
        <v>566</v>
      </c>
      <c r="F288" s="54" t="s">
        <v>485</v>
      </c>
      <c r="G288" s="54" t="s">
        <v>485</v>
      </c>
      <c r="H288" s="54" t="s">
        <v>485</v>
      </c>
      <c r="I288" s="43">
        <f>'01_PARÂMETROS'!$B$9</f>
        <v>50</v>
      </c>
      <c r="J288" s="44">
        <f t="shared" si="15"/>
        <v>1.1499999999999999</v>
      </c>
      <c r="K288" s="45">
        <f>MAX('01_PARÂMETROS'!$B$11,MIN('01_PARÂMETROS'!$B$12,J288))</f>
        <v>1.1499999999999999</v>
      </c>
      <c r="L288" s="46">
        <f t="shared" si="14"/>
        <v>0.14999999999999991</v>
      </c>
      <c r="M288" s="47" t="str">
        <f>IF(K288&lt;='01_PARÂMETROS'!$B$14,"Preferencial",IF(K288&lt;='01_PARÂMETROS'!$B$15,"Baixo",IF(K288&lt;='01_PARÂMETROS'!$B$16,"Médio",IF(K288&lt;='01_PARÂMETROS'!$B$17,"Alto","Elevado"))))</f>
        <v>Alto</v>
      </c>
      <c r="N288" s="58" t="s">
        <v>486</v>
      </c>
      <c r="O288" s="61"/>
    </row>
    <row r="289" spans="1:15" ht="13.5" customHeight="1" x14ac:dyDescent="0.25">
      <c r="A289" s="24" t="s">
        <v>899</v>
      </c>
      <c r="B289" s="38" t="s">
        <v>660</v>
      </c>
      <c r="C289" s="25" t="s">
        <v>900</v>
      </c>
      <c r="D289" s="39" t="s">
        <v>662</v>
      </c>
      <c r="E289" s="64" t="s">
        <v>566</v>
      </c>
      <c r="F289" s="54" t="s">
        <v>485</v>
      </c>
      <c r="G289" s="54" t="s">
        <v>485</v>
      </c>
      <c r="H289" s="54" t="s">
        <v>485</v>
      </c>
      <c r="I289" s="43">
        <f>'01_PARÂMETROS'!$B$9</f>
        <v>50</v>
      </c>
      <c r="J289" s="44">
        <f t="shared" si="15"/>
        <v>1.1499999999999999</v>
      </c>
      <c r="K289" s="45">
        <f>MAX('01_PARÂMETROS'!$B$11,MIN('01_PARÂMETROS'!$B$12,J289))</f>
        <v>1.1499999999999999</v>
      </c>
      <c r="L289" s="46">
        <f t="shared" si="14"/>
        <v>0.14999999999999991</v>
      </c>
      <c r="M289" s="47" t="str">
        <f>IF(K289&lt;='01_PARÂMETROS'!$B$14,"Preferencial",IF(K289&lt;='01_PARÂMETROS'!$B$15,"Baixo",IF(K289&lt;='01_PARÂMETROS'!$B$16,"Médio",IF(K289&lt;='01_PARÂMETROS'!$B$17,"Alto","Elevado"))))</f>
        <v>Alto</v>
      </c>
      <c r="N289" s="58" t="s">
        <v>486</v>
      </c>
      <c r="O289" s="54"/>
    </row>
    <row r="290" spans="1:15" ht="13.5" customHeight="1" x14ac:dyDescent="0.25">
      <c r="A290" s="13" t="s">
        <v>901</v>
      </c>
      <c r="B290" s="49" t="s">
        <v>660</v>
      </c>
      <c r="C290" s="14" t="s">
        <v>902</v>
      </c>
      <c r="D290" s="50" t="s">
        <v>903</v>
      </c>
      <c r="E290" s="64" t="s">
        <v>566</v>
      </c>
      <c r="F290" s="54" t="s">
        <v>485</v>
      </c>
      <c r="G290" s="54" t="s">
        <v>485</v>
      </c>
      <c r="H290" s="54" t="s">
        <v>485</v>
      </c>
      <c r="I290" s="43">
        <f>'01_PARÂMETROS'!$B$9</f>
        <v>50</v>
      </c>
      <c r="J290" s="44">
        <f t="shared" si="15"/>
        <v>1.1499999999999999</v>
      </c>
      <c r="K290" s="45">
        <f>MAX('01_PARÂMETROS'!$B$11,MIN('01_PARÂMETROS'!$B$12,J290))</f>
        <v>1.1499999999999999</v>
      </c>
      <c r="L290" s="46">
        <f t="shared" si="14"/>
        <v>0.14999999999999991</v>
      </c>
      <c r="M290" s="47" t="str">
        <f>IF(K290&lt;='01_PARÂMETROS'!$B$14,"Preferencial",IF(K290&lt;='01_PARÂMETROS'!$B$15,"Baixo",IF(K290&lt;='01_PARÂMETROS'!$B$16,"Médio",IF(K290&lt;='01_PARÂMETROS'!$B$17,"Alto","Elevado"))))</f>
        <v>Alto</v>
      </c>
      <c r="N290" s="58" t="s">
        <v>486</v>
      </c>
      <c r="O290" s="61"/>
    </row>
    <row r="291" spans="1:15" ht="13.5" customHeight="1" x14ac:dyDescent="0.25">
      <c r="A291" s="24" t="s">
        <v>904</v>
      </c>
      <c r="B291" s="38" t="s">
        <v>660</v>
      </c>
      <c r="C291" s="25" t="s">
        <v>905</v>
      </c>
      <c r="D291" s="39" t="s">
        <v>903</v>
      </c>
      <c r="E291" s="40" t="s">
        <v>477</v>
      </c>
      <c r="F291" s="54" t="s">
        <v>485</v>
      </c>
      <c r="G291" s="54" t="s">
        <v>485</v>
      </c>
      <c r="H291" s="54" t="s">
        <v>485</v>
      </c>
      <c r="I291" s="43">
        <f>'01_PARÂMETROS'!$B$9</f>
        <v>50</v>
      </c>
      <c r="J291" s="44">
        <f>1</f>
        <v>1</v>
      </c>
      <c r="K291" s="55">
        <f>MAX('01_PARÂMETROS'!$B$11,MIN('01_PARÂMETROS'!$B$12,J291))</f>
        <v>1</v>
      </c>
      <c r="L291" s="56">
        <f t="shared" si="14"/>
        <v>0</v>
      </c>
      <c r="M291" s="57" t="str">
        <f>IF(K291&lt;='01_PARÂMETROS'!$B$14,"Preferencial",IF(K291&lt;='01_PARÂMETROS'!$B$15,"Baixo",IF(K291&lt;='01_PARÂMETROS'!$B$16,"Médio",IF(K291&lt;='01_PARÂMETROS'!$B$17,"Alto","Elevado"))))</f>
        <v>Médio</v>
      </c>
      <c r="N291" s="58" t="s">
        <v>486</v>
      </c>
      <c r="O291" s="54"/>
    </row>
    <row r="292" spans="1:15" ht="13.5" customHeight="1" x14ac:dyDescent="0.25">
      <c r="A292" s="13" t="s">
        <v>906</v>
      </c>
      <c r="B292" s="49" t="s">
        <v>660</v>
      </c>
      <c r="C292" s="14" t="s">
        <v>907</v>
      </c>
      <c r="D292" s="50" t="s">
        <v>903</v>
      </c>
      <c r="E292" s="40" t="s">
        <v>477</v>
      </c>
      <c r="F292" s="54" t="s">
        <v>485</v>
      </c>
      <c r="G292" s="54" t="s">
        <v>485</v>
      </c>
      <c r="H292" s="54" t="s">
        <v>485</v>
      </c>
      <c r="I292" s="43">
        <f>'01_PARÂMETROS'!$B$9</f>
        <v>50</v>
      </c>
      <c r="J292" s="44">
        <f>1</f>
        <v>1</v>
      </c>
      <c r="K292" s="55">
        <f>MAX('01_PARÂMETROS'!$B$11,MIN('01_PARÂMETROS'!$B$12,J292))</f>
        <v>1</v>
      </c>
      <c r="L292" s="56">
        <f t="shared" si="14"/>
        <v>0</v>
      </c>
      <c r="M292" s="57" t="str">
        <f>IF(K292&lt;='01_PARÂMETROS'!$B$14,"Preferencial",IF(K292&lt;='01_PARÂMETROS'!$B$15,"Baixo",IF(K292&lt;='01_PARÂMETROS'!$B$16,"Médio",IF(K292&lt;='01_PARÂMETROS'!$B$17,"Alto","Elevado"))))</f>
        <v>Médio</v>
      </c>
      <c r="N292" s="58" t="s">
        <v>486</v>
      </c>
      <c r="O292" s="61"/>
    </row>
    <row r="293" spans="1:15" ht="13.5" customHeight="1" x14ac:dyDescent="0.25">
      <c r="A293" s="24" t="s">
        <v>908</v>
      </c>
      <c r="B293" s="38" t="s">
        <v>660</v>
      </c>
      <c r="C293" s="25" t="s">
        <v>909</v>
      </c>
      <c r="D293" s="39" t="s">
        <v>903</v>
      </c>
      <c r="E293" s="40" t="s">
        <v>477</v>
      </c>
      <c r="F293" s="54" t="s">
        <v>485</v>
      </c>
      <c r="G293" s="54" t="s">
        <v>485</v>
      </c>
      <c r="H293" s="54" t="s">
        <v>485</v>
      </c>
      <c r="I293" s="43">
        <f>'01_PARÂMETROS'!$B$9</f>
        <v>50</v>
      </c>
      <c r="J293" s="44">
        <f>1</f>
        <v>1</v>
      </c>
      <c r="K293" s="55">
        <f>MAX('01_PARÂMETROS'!$B$11,MIN('01_PARÂMETROS'!$B$12,J293))</f>
        <v>1</v>
      </c>
      <c r="L293" s="56">
        <f t="shared" si="14"/>
        <v>0</v>
      </c>
      <c r="M293" s="57" t="str">
        <f>IF(K293&lt;='01_PARÂMETROS'!$B$14,"Preferencial",IF(K293&lt;='01_PARÂMETROS'!$B$15,"Baixo",IF(K293&lt;='01_PARÂMETROS'!$B$16,"Médio",IF(K293&lt;='01_PARÂMETROS'!$B$17,"Alto","Elevado"))))</f>
        <v>Médio</v>
      </c>
      <c r="N293" s="58" t="s">
        <v>486</v>
      </c>
      <c r="O293" s="54"/>
    </row>
    <row r="294" spans="1:15" ht="13.5" customHeight="1" x14ac:dyDescent="0.25">
      <c r="A294" s="13" t="s">
        <v>910</v>
      </c>
      <c r="B294" s="49" t="s">
        <v>660</v>
      </c>
      <c r="C294" s="14" t="s">
        <v>911</v>
      </c>
      <c r="D294" s="50" t="s">
        <v>903</v>
      </c>
      <c r="E294" s="40" t="s">
        <v>477</v>
      </c>
      <c r="F294" s="54" t="s">
        <v>485</v>
      </c>
      <c r="G294" s="54" t="s">
        <v>485</v>
      </c>
      <c r="H294" s="54" t="s">
        <v>485</v>
      </c>
      <c r="I294" s="43">
        <f>'01_PARÂMETROS'!$B$9</f>
        <v>50</v>
      </c>
      <c r="J294" s="44">
        <f>1</f>
        <v>1</v>
      </c>
      <c r="K294" s="55">
        <f>MAX('01_PARÂMETROS'!$B$11,MIN('01_PARÂMETROS'!$B$12,J294))</f>
        <v>1</v>
      </c>
      <c r="L294" s="56">
        <f t="shared" si="14"/>
        <v>0</v>
      </c>
      <c r="M294" s="57" t="str">
        <f>IF(K294&lt;='01_PARÂMETROS'!$B$14,"Preferencial",IF(K294&lt;='01_PARÂMETROS'!$B$15,"Baixo",IF(K294&lt;='01_PARÂMETROS'!$B$16,"Médio",IF(K294&lt;='01_PARÂMETROS'!$B$17,"Alto","Elevado"))))</f>
        <v>Médio</v>
      </c>
      <c r="N294" s="58" t="s">
        <v>486</v>
      </c>
      <c r="O294" s="61"/>
    </row>
    <row r="295" spans="1:15" ht="13.5" customHeight="1" x14ac:dyDescent="0.25">
      <c r="A295" s="24" t="s">
        <v>912</v>
      </c>
      <c r="B295" s="38" t="s">
        <v>660</v>
      </c>
      <c r="C295" s="25" t="s">
        <v>913</v>
      </c>
      <c r="D295" s="39" t="s">
        <v>903</v>
      </c>
      <c r="E295" s="40" t="s">
        <v>477</v>
      </c>
      <c r="F295" s="54" t="s">
        <v>485</v>
      </c>
      <c r="G295" s="54" t="s">
        <v>485</v>
      </c>
      <c r="H295" s="54" t="s">
        <v>485</v>
      </c>
      <c r="I295" s="43">
        <f>'01_PARÂMETROS'!$B$9</f>
        <v>50</v>
      </c>
      <c r="J295" s="44">
        <f>1</f>
        <v>1</v>
      </c>
      <c r="K295" s="55">
        <f>MAX('01_PARÂMETROS'!$B$11,MIN('01_PARÂMETROS'!$B$12,J295))</f>
        <v>1</v>
      </c>
      <c r="L295" s="56">
        <f t="shared" si="14"/>
        <v>0</v>
      </c>
      <c r="M295" s="57" t="str">
        <f>IF(K295&lt;='01_PARÂMETROS'!$B$14,"Preferencial",IF(K295&lt;='01_PARÂMETROS'!$B$15,"Baixo",IF(K295&lt;='01_PARÂMETROS'!$B$16,"Médio",IF(K295&lt;='01_PARÂMETROS'!$B$17,"Alto","Elevado"))))</f>
        <v>Médio</v>
      </c>
      <c r="N295" s="58" t="s">
        <v>486</v>
      </c>
      <c r="O295" s="54"/>
    </row>
    <row r="296" spans="1:15" ht="13.5" customHeight="1" x14ac:dyDescent="0.25">
      <c r="A296" s="13" t="s">
        <v>914</v>
      </c>
      <c r="B296" s="49" t="s">
        <v>660</v>
      </c>
      <c r="C296" s="14" t="s">
        <v>915</v>
      </c>
      <c r="D296" s="50" t="s">
        <v>903</v>
      </c>
      <c r="E296" s="40" t="s">
        <v>477</v>
      </c>
      <c r="F296" s="54" t="s">
        <v>485</v>
      </c>
      <c r="G296" s="54" t="s">
        <v>485</v>
      </c>
      <c r="H296" s="54" t="s">
        <v>485</v>
      </c>
      <c r="I296" s="43">
        <f>'01_PARÂMETROS'!$B$9</f>
        <v>50</v>
      </c>
      <c r="J296" s="44">
        <f>1</f>
        <v>1</v>
      </c>
      <c r="K296" s="55">
        <f>MAX('01_PARÂMETROS'!$B$11,MIN('01_PARÂMETROS'!$B$12,J296))</f>
        <v>1</v>
      </c>
      <c r="L296" s="56">
        <f t="shared" si="14"/>
        <v>0</v>
      </c>
      <c r="M296" s="57" t="str">
        <f>IF(K296&lt;='01_PARÂMETROS'!$B$14,"Preferencial",IF(K296&lt;='01_PARÂMETROS'!$B$15,"Baixo",IF(K296&lt;='01_PARÂMETROS'!$B$16,"Médio",IF(K296&lt;='01_PARÂMETROS'!$B$17,"Alto","Elevado"))))</f>
        <v>Médio</v>
      </c>
      <c r="N296" s="58" t="s">
        <v>486</v>
      </c>
      <c r="O296" s="61"/>
    </row>
    <row r="297" spans="1:15" ht="13.5" customHeight="1" x14ac:dyDescent="0.25">
      <c r="A297" s="24" t="s">
        <v>916</v>
      </c>
      <c r="B297" s="38" t="s">
        <v>660</v>
      </c>
      <c r="C297" s="25" t="s">
        <v>917</v>
      </c>
      <c r="D297" s="39" t="s">
        <v>903</v>
      </c>
      <c r="E297" s="40" t="s">
        <v>477</v>
      </c>
      <c r="F297" s="54" t="s">
        <v>485</v>
      </c>
      <c r="G297" s="54" t="s">
        <v>485</v>
      </c>
      <c r="H297" s="54" t="s">
        <v>485</v>
      </c>
      <c r="I297" s="43">
        <f>'01_PARÂMETROS'!$B$9</f>
        <v>50</v>
      </c>
      <c r="J297" s="44">
        <f>1</f>
        <v>1</v>
      </c>
      <c r="K297" s="55">
        <f>MAX('01_PARÂMETROS'!$B$11,MIN('01_PARÂMETROS'!$B$12,J297))</f>
        <v>1</v>
      </c>
      <c r="L297" s="56">
        <f t="shared" si="14"/>
        <v>0</v>
      </c>
      <c r="M297" s="57" t="str">
        <f>IF(K297&lt;='01_PARÂMETROS'!$B$14,"Preferencial",IF(K297&lt;='01_PARÂMETROS'!$B$15,"Baixo",IF(K297&lt;='01_PARÂMETROS'!$B$16,"Médio",IF(K297&lt;='01_PARÂMETROS'!$B$17,"Alto","Elevado"))))</f>
        <v>Médio</v>
      </c>
      <c r="N297" s="58" t="s">
        <v>486</v>
      </c>
      <c r="O297" s="54"/>
    </row>
    <row r="298" spans="1:15" ht="13.5" customHeight="1" x14ac:dyDescent="0.25">
      <c r="A298" s="13" t="s">
        <v>918</v>
      </c>
      <c r="B298" s="49" t="s">
        <v>660</v>
      </c>
      <c r="C298" s="14" t="s">
        <v>919</v>
      </c>
      <c r="D298" s="50" t="s">
        <v>903</v>
      </c>
      <c r="E298" s="40" t="s">
        <v>477</v>
      </c>
      <c r="F298" s="54" t="s">
        <v>485</v>
      </c>
      <c r="G298" s="54" t="s">
        <v>485</v>
      </c>
      <c r="H298" s="54" t="s">
        <v>485</v>
      </c>
      <c r="I298" s="43">
        <f>'01_PARÂMETROS'!$B$9</f>
        <v>50</v>
      </c>
      <c r="J298" s="44">
        <f>1</f>
        <v>1</v>
      </c>
      <c r="K298" s="55">
        <f>MAX('01_PARÂMETROS'!$B$11,MIN('01_PARÂMETROS'!$B$12,J298))</f>
        <v>1</v>
      </c>
      <c r="L298" s="56">
        <f t="shared" si="14"/>
        <v>0</v>
      </c>
      <c r="M298" s="57" t="str">
        <f>IF(K298&lt;='01_PARÂMETROS'!$B$14,"Preferencial",IF(K298&lt;='01_PARÂMETROS'!$B$15,"Baixo",IF(K298&lt;='01_PARÂMETROS'!$B$16,"Médio",IF(K298&lt;='01_PARÂMETROS'!$B$17,"Alto","Elevado"))))</f>
        <v>Médio</v>
      </c>
      <c r="N298" s="58" t="s">
        <v>486</v>
      </c>
      <c r="O298" s="61"/>
    </row>
    <row r="299" spans="1:15" ht="13.5" customHeight="1" x14ac:dyDescent="0.25">
      <c r="A299" s="24" t="s">
        <v>920</v>
      </c>
      <c r="B299" s="38" t="s">
        <v>660</v>
      </c>
      <c r="C299" s="25" t="s">
        <v>921</v>
      </c>
      <c r="D299" s="39" t="s">
        <v>903</v>
      </c>
      <c r="E299" s="40" t="s">
        <v>477</v>
      </c>
      <c r="F299" s="54" t="s">
        <v>485</v>
      </c>
      <c r="G299" s="54" t="s">
        <v>485</v>
      </c>
      <c r="H299" s="54" t="s">
        <v>485</v>
      </c>
      <c r="I299" s="43">
        <f>'01_PARÂMETROS'!$B$9</f>
        <v>50</v>
      </c>
      <c r="J299" s="44">
        <f>1</f>
        <v>1</v>
      </c>
      <c r="K299" s="55">
        <f>MAX('01_PARÂMETROS'!$B$11,MIN('01_PARÂMETROS'!$B$12,J299))</f>
        <v>1</v>
      </c>
      <c r="L299" s="56">
        <f t="shared" si="14"/>
        <v>0</v>
      </c>
      <c r="M299" s="57" t="str">
        <f>IF(K299&lt;='01_PARÂMETROS'!$B$14,"Preferencial",IF(K299&lt;='01_PARÂMETROS'!$B$15,"Baixo",IF(K299&lt;='01_PARÂMETROS'!$B$16,"Médio",IF(K299&lt;='01_PARÂMETROS'!$B$17,"Alto","Elevado"))))</f>
        <v>Médio</v>
      </c>
      <c r="N299" s="58" t="s">
        <v>486</v>
      </c>
      <c r="O299" s="54"/>
    </row>
    <row r="300" spans="1:15" ht="13.5" customHeight="1" x14ac:dyDescent="0.25">
      <c r="A300" s="13" t="s">
        <v>922</v>
      </c>
      <c r="B300" s="49" t="s">
        <v>660</v>
      </c>
      <c r="C300" s="14" t="s">
        <v>923</v>
      </c>
      <c r="D300" s="50" t="s">
        <v>903</v>
      </c>
      <c r="E300" s="40" t="s">
        <v>477</v>
      </c>
      <c r="F300" s="54" t="s">
        <v>485</v>
      </c>
      <c r="G300" s="54" t="s">
        <v>485</v>
      </c>
      <c r="H300" s="54" t="s">
        <v>485</v>
      </c>
      <c r="I300" s="43">
        <f>'01_PARÂMETROS'!$B$9</f>
        <v>50</v>
      </c>
      <c r="J300" s="44">
        <f>1</f>
        <v>1</v>
      </c>
      <c r="K300" s="55">
        <f>MAX('01_PARÂMETROS'!$B$11,MIN('01_PARÂMETROS'!$B$12,J300))</f>
        <v>1</v>
      </c>
      <c r="L300" s="56">
        <f t="shared" si="14"/>
        <v>0</v>
      </c>
      <c r="M300" s="57" t="str">
        <f>IF(K300&lt;='01_PARÂMETROS'!$B$14,"Preferencial",IF(K300&lt;='01_PARÂMETROS'!$B$15,"Baixo",IF(K300&lt;='01_PARÂMETROS'!$B$16,"Médio",IF(K300&lt;='01_PARÂMETROS'!$B$17,"Alto","Elevado"))))</f>
        <v>Médio</v>
      </c>
      <c r="N300" s="58" t="s">
        <v>486</v>
      </c>
      <c r="O300" s="61"/>
    </row>
    <row r="301" spans="1:15" ht="13.5" customHeight="1" x14ac:dyDescent="0.25">
      <c r="A301" s="24" t="s">
        <v>924</v>
      </c>
      <c r="B301" s="38" t="s">
        <v>660</v>
      </c>
      <c r="C301" s="25" t="s">
        <v>925</v>
      </c>
      <c r="D301" s="39" t="s">
        <v>903</v>
      </c>
      <c r="E301" s="40" t="s">
        <v>477</v>
      </c>
      <c r="F301" s="54" t="s">
        <v>485</v>
      </c>
      <c r="G301" s="54" t="s">
        <v>485</v>
      </c>
      <c r="H301" s="54" t="s">
        <v>485</v>
      </c>
      <c r="I301" s="43">
        <f>'01_PARÂMETROS'!$B$9</f>
        <v>50</v>
      </c>
      <c r="J301" s="44">
        <f>1</f>
        <v>1</v>
      </c>
      <c r="K301" s="55">
        <f>MAX('01_PARÂMETROS'!$B$11,MIN('01_PARÂMETROS'!$B$12,J301))</f>
        <v>1</v>
      </c>
      <c r="L301" s="56">
        <f t="shared" si="14"/>
        <v>0</v>
      </c>
      <c r="M301" s="57" t="str">
        <f>IF(K301&lt;='01_PARÂMETROS'!$B$14,"Preferencial",IF(K301&lt;='01_PARÂMETROS'!$B$15,"Baixo",IF(K301&lt;='01_PARÂMETROS'!$B$16,"Médio",IF(K301&lt;='01_PARÂMETROS'!$B$17,"Alto","Elevado"))))</f>
        <v>Médio</v>
      </c>
      <c r="N301" s="58" t="s">
        <v>486</v>
      </c>
      <c r="O301" s="54"/>
    </row>
    <row r="302" spans="1:15" ht="13.5" customHeight="1" x14ac:dyDescent="0.25">
      <c r="A302" s="13" t="s">
        <v>926</v>
      </c>
      <c r="B302" s="49" t="s">
        <v>660</v>
      </c>
      <c r="C302" s="14" t="s">
        <v>927</v>
      </c>
      <c r="D302" s="50" t="s">
        <v>928</v>
      </c>
      <c r="E302" s="65" t="s">
        <v>841</v>
      </c>
      <c r="F302" s="54" t="s">
        <v>485</v>
      </c>
      <c r="G302" s="54" t="s">
        <v>485</v>
      </c>
      <c r="H302" s="54" t="s">
        <v>485</v>
      </c>
      <c r="I302" s="43">
        <f>'01_PARÂMETROS'!$B$9</f>
        <v>50</v>
      </c>
      <c r="J302" s="44">
        <f t="shared" ref="J302:J312" si="16">0.9</f>
        <v>0.9</v>
      </c>
      <c r="K302" s="62">
        <f>MAX('01_PARÂMETROS'!$B$11,MIN('01_PARÂMETROS'!$B$12,J302))</f>
        <v>0.9</v>
      </c>
      <c r="L302" s="63">
        <f t="shared" si="14"/>
        <v>-9.9999999999999978E-2</v>
      </c>
      <c r="M302" s="17" t="str">
        <f>IF(K302&lt;='01_PARÂMETROS'!$B$14,"Preferencial",IF(K302&lt;='01_PARÂMETROS'!$B$15,"Baixo",IF(K302&lt;='01_PARÂMETROS'!$B$16,"Médio",IF(K302&lt;='01_PARÂMETROS'!$B$17,"Alto","Elevado"))))</f>
        <v>Baixo</v>
      </c>
      <c r="N302" s="58" t="s">
        <v>486</v>
      </c>
      <c r="O302" s="61"/>
    </row>
    <row r="303" spans="1:15" ht="13.5" customHeight="1" x14ac:dyDescent="0.25">
      <c r="A303" s="24" t="s">
        <v>929</v>
      </c>
      <c r="B303" s="38" t="s">
        <v>660</v>
      </c>
      <c r="C303" s="25" t="s">
        <v>930</v>
      </c>
      <c r="D303" s="39" t="s">
        <v>928</v>
      </c>
      <c r="E303" s="65" t="s">
        <v>841</v>
      </c>
      <c r="F303" s="54" t="s">
        <v>485</v>
      </c>
      <c r="G303" s="54" t="s">
        <v>485</v>
      </c>
      <c r="H303" s="54" t="s">
        <v>485</v>
      </c>
      <c r="I303" s="43">
        <f>'01_PARÂMETROS'!$B$9</f>
        <v>50</v>
      </c>
      <c r="J303" s="44">
        <f t="shared" si="16"/>
        <v>0.9</v>
      </c>
      <c r="K303" s="62">
        <f>MAX('01_PARÂMETROS'!$B$11,MIN('01_PARÂMETROS'!$B$12,J303))</f>
        <v>0.9</v>
      </c>
      <c r="L303" s="63">
        <f t="shared" si="14"/>
        <v>-9.9999999999999978E-2</v>
      </c>
      <c r="M303" s="17" t="str">
        <f>IF(K303&lt;='01_PARÂMETROS'!$B$14,"Preferencial",IF(K303&lt;='01_PARÂMETROS'!$B$15,"Baixo",IF(K303&lt;='01_PARÂMETROS'!$B$16,"Médio",IF(K303&lt;='01_PARÂMETROS'!$B$17,"Alto","Elevado"))))</f>
        <v>Baixo</v>
      </c>
      <c r="N303" s="58" t="s">
        <v>486</v>
      </c>
      <c r="O303" s="54"/>
    </row>
    <row r="304" spans="1:15" ht="13.5" customHeight="1" x14ac:dyDescent="0.25">
      <c r="A304" s="13" t="s">
        <v>931</v>
      </c>
      <c r="B304" s="49" t="s">
        <v>660</v>
      </c>
      <c r="C304" s="14" t="s">
        <v>932</v>
      </c>
      <c r="D304" s="50" t="s">
        <v>928</v>
      </c>
      <c r="E304" s="65" t="s">
        <v>841</v>
      </c>
      <c r="F304" s="54" t="s">
        <v>485</v>
      </c>
      <c r="G304" s="54" t="s">
        <v>485</v>
      </c>
      <c r="H304" s="54" t="s">
        <v>485</v>
      </c>
      <c r="I304" s="43">
        <f>'01_PARÂMETROS'!$B$9</f>
        <v>50</v>
      </c>
      <c r="J304" s="44">
        <f t="shared" si="16"/>
        <v>0.9</v>
      </c>
      <c r="K304" s="62">
        <f>MAX('01_PARÂMETROS'!$B$11,MIN('01_PARÂMETROS'!$B$12,J304))</f>
        <v>0.9</v>
      </c>
      <c r="L304" s="63">
        <f t="shared" si="14"/>
        <v>-9.9999999999999978E-2</v>
      </c>
      <c r="M304" s="17" t="str">
        <f>IF(K304&lt;='01_PARÂMETROS'!$B$14,"Preferencial",IF(K304&lt;='01_PARÂMETROS'!$B$15,"Baixo",IF(K304&lt;='01_PARÂMETROS'!$B$16,"Médio",IF(K304&lt;='01_PARÂMETROS'!$B$17,"Alto","Elevado"))))</f>
        <v>Baixo</v>
      </c>
      <c r="N304" s="58" t="s">
        <v>486</v>
      </c>
      <c r="O304" s="61"/>
    </row>
    <row r="305" spans="1:15" ht="13.5" customHeight="1" x14ac:dyDescent="0.25">
      <c r="A305" s="24" t="s">
        <v>933</v>
      </c>
      <c r="B305" s="38" t="s">
        <v>660</v>
      </c>
      <c r="C305" s="25" t="s">
        <v>934</v>
      </c>
      <c r="D305" s="39" t="s">
        <v>928</v>
      </c>
      <c r="E305" s="65" t="s">
        <v>841</v>
      </c>
      <c r="F305" s="54" t="s">
        <v>485</v>
      </c>
      <c r="G305" s="54" t="s">
        <v>485</v>
      </c>
      <c r="H305" s="54" t="s">
        <v>485</v>
      </c>
      <c r="I305" s="43">
        <f>'01_PARÂMETROS'!$B$9</f>
        <v>50</v>
      </c>
      <c r="J305" s="44">
        <f t="shared" si="16"/>
        <v>0.9</v>
      </c>
      <c r="K305" s="62">
        <f>MAX('01_PARÂMETROS'!$B$11,MIN('01_PARÂMETROS'!$B$12,J305))</f>
        <v>0.9</v>
      </c>
      <c r="L305" s="63">
        <f t="shared" si="14"/>
        <v>-9.9999999999999978E-2</v>
      </c>
      <c r="M305" s="17" t="str">
        <f>IF(K305&lt;='01_PARÂMETROS'!$B$14,"Preferencial",IF(K305&lt;='01_PARÂMETROS'!$B$15,"Baixo",IF(K305&lt;='01_PARÂMETROS'!$B$16,"Médio",IF(K305&lt;='01_PARÂMETROS'!$B$17,"Alto","Elevado"))))</f>
        <v>Baixo</v>
      </c>
      <c r="N305" s="58" t="s">
        <v>486</v>
      </c>
      <c r="O305" s="54"/>
    </row>
    <row r="306" spans="1:15" ht="13.5" customHeight="1" x14ac:dyDescent="0.25">
      <c r="A306" s="13" t="s">
        <v>935</v>
      </c>
      <c r="B306" s="49" t="s">
        <v>660</v>
      </c>
      <c r="C306" s="14" t="s">
        <v>936</v>
      </c>
      <c r="D306" s="50" t="s">
        <v>928</v>
      </c>
      <c r="E306" s="65" t="s">
        <v>841</v>
      </c>
      <c r="F306" s="54" t="s">
        <v>485</v>
      </c>
      <c r="G306" s="54" t="s">
        <v>485</v>
      </c>
      <c r="H306" s="54" t="s">
        <v>485</v>
      </c>
      <c r="I306" s="43">
        <f>'01_PARÂMETROS'!$B$9</f>
        <v>50</v>
      </c>
      <c r="J306" s="44">
        <f t="shared" si="16"/>
        <v>0.9</v>
      </c>
      <c r="K306" s="62">
        <f>MAX('01_PARÂMETROS'!$B$11,MIN('01_PARÂMETROS'!$B$12,J306))</f>
        <v>0.9</v>
      </c>
      <c r="L306" s="63">
        <f t="shared" si="14"/>
        <v>-9.9999999999999978E-2</v>
      </c>
      <c r="M306" s="17" t="str">
        <f>IF(K306&lt;='01_PARÂMETROS'!$B$14,"Preferencial",IF(K306&lt;='01_PARÂMETROS'!$B$15,"Baixo",IF(K306&lt;='01_PARÂMETROS'!$B$16,"Médio",IF(K306&lt;='01_PARÂMETROS'!$B$17,"Alto","Elevado"))))</f>
        <v>Baixo</v>
      </c>
      <c r="N306" s="58" t="s">
        <v>486</v>
      </c>
      <c r="O306" s="61"/>
    </row>
    <row r="307" spans="1:15" ht="13.5" customHeight="1" x14ac:dyDescent="0.25">
      <c r="A307" s="24" t="s">
        <v>937</v>
      </c>
      <c r="B307" s="38" t="s">
        <v>660</v>
      </c>
      <c r="C307" s="25" t="s">
        <v>938</v>
      </c>
      <c r="D307" s="39" t="s">
        <v>928</v>
      </c>
      <c r="E307" s="65" t="s">
        <v>841</v>
      </c>
      <c r="F307" s="54" t="s">
        <v>485</v>
      </c>
      <c r="G307" s="54" t="s">
        <v>485</v>
      </c>
      <c r="H307" s="54" t="s">
        <v>485</v>
      </c>
      <c r="I307" s="43">
        <f>'01_PARÂMETROS'!$B$9</f>
        <v>50</v>
      </c>
      <c r="J307" s="44">
        <f t="shared" si="16"/>
        <v>0.9</v>
      </c>
      <c r="K307" s="62">
        <f>MAX('01_PARÂMETROS'!$B$11,MIN('01_PARÂMETROS'!$B$12,J307))</f>
        <v>0.9</v>
      </c>
      <c r="L307" s="63">
        <f t="shared" si="14"/>
        <v>-9.9999999999999978E-2</v>
      </c>
      <c r="M307" s="17" t="str">
        <f>IF(K307&lt;='01_PARÂMETROS'!$B$14,"Preferencial",IF(K307&lt;='01_PARÂMETROS'!$B$15,"Baixo",IF(K307&lt;='01_PARÂMETROS'!$B$16,"Médio",IF(K307&lt;='01_PARÂMETROS'!$B$17,"Alto","Elevado"))))</f>
        <v>Baixo</v>
      </c>
      <c r="N307" s="58" t="s">
        <v>486</v>
      </c>
      <c r="O307" s="54"/>
    </row>
    <row r="308" spans="1:15" ht="13.5" customHeight="1" x14ac:dyDescent="0.25">
      <c r="A308" s="13" t="s">
        <v>939</v>
      </c>
      <c r="B308" s="49" t="s">
        <v>660</v>
      </c>
      <c r="C308" s="14" t="s">
        <v>940</v>
      </c>
      <c r="D308" s="50" t="s">
        <v>928</v>
      </c>
      <c r="E308" s="65" t="s">
        <v>841</v>
      </c>
      <c r="F308" s="54" t="s">
        <v>485</v>
      </c>
      <c r="G308" s="54" t="s">
        <v>485</v>
      </c>
      <c r="H308" s="54" t="s">
        <v>485</v>
      </c>
      <c r="I308" s="43">
        <f>'01_PARÂMETROS'!$B$9</f>
        <v>50</v>
      </c>
      <c r="J308" s="44">
        <f t="shared" si="16"/>
        <v>0.9</v>
      </c>
      <c r="K308" s="62">
        <f>MAX('01_PARÂMETROS'!$B$11,MIN('01_PARÂMETROS'!$B$12,J308))</f>
        <v>0.9</v>
      </c>
      <c r="L308" s="63">
        <f t="shared" si="14"/>
        <v>-9.9999999999999978E-2</v>
      </c>
      <c r="M308" s="17" t="str">
        <f>IF(K308&lt;='01_PARÂMETROS'!$B$14,"Preferencial",IF(K308&lt;='01_PARÂMETROS'!$B$15,"Baixo",IF(K308&lt;='01_PARÂMETROS'!$B$16,"Médio",IF(K308&lt;='01_PARÂMETROS'!$B$17,"Alto","Elevado"))))</f>
        <v>Baixo</v>
      </c>
      <c r="N308" s="58" t="s">
        <v>486</v>
      </c>
      <c r="O308" s="61"/>
    </row>
    <row r="309" spans="1:15" ht="13.5" customHeight="1" x14ac:dyDescent="0.25">
      <c r="A309" s="24" t="s">
        <v>941</v>
      </c>
      <c r="B309" s="38" t="s">
        <v>660</v>
      </c>
      <c r="C309" s="25" t="s">
        <v>942</v>
      </c>
      <c r="D309" s="39" t="s">
        <v>928</v>
      </c>
      <c r="E309" s="65" t="s">
        <v>841</v>
      </c>
      <c r="F309" s="54" t="s">
        <v>485</v>
      </c>
      <c r="G309" s="54" t="s">
        <v>485</v>
      </c>
      <c r="H309" s="54" t="s">
        <v>485</v>
      </c>
      <c r="I309" s="43">
        <f>'01_PARÂMETROS'!$B$9</f>
        <v>50</v>
      </c>
      <c r="J309" s="44">
        <f t="shared" si="16"/>
        <v>0.9</v>
      </c>
      <c r="K309" s="62">
        <f>MAX('01_PARÂMETROS'!$B$11,MIN('01_PARÂMETROS'!$B$12,J309))</f>
        <v>0.9</v>
      </c>
      <c r="L309" s="63">
        <f t="shared" si="14"/>
        <v>-9.9999999999999978E-2</v>
      </c>
      <c r="M309" s="17" t="str">
        <f>IF(K309&lt;='01_PARÂMETROS'!$B$14,"Preferencial",IF(K309&lt;='01_PARÂMETROS'!$B$15,"Baixo",IF(K309&lt;='01_PARÂMETROS'!$B$16,"Médio",IF(K309&lt;='01_PARÂMETROS'!$B$17,"Alto","Elevado"))))</f>
        <v>Baixo</v>
      </c>
      <c r="N309" s="58" t="s">
        <v>486</v>
      </c>
      <c r="O309" s="54"/>
    </row>
    <row r="310" spans="1:15" ht="13.5" customHeight="1" x14ac:dyDescent="0.25">
      <c r="A310" s="13" t="s">
        <v>943</v>
      </c>
      <c r="B310" s="49" t="s">
        <v>660</v>
      </c>
      <c r="C310" s="14" t="s">
        <v>944</v>
      </c>
      <c r="D310" s="50" t="s">
        <v>928</v>
      </c>
      <c r="E310" s="65" t="s">
        <v>841</v>
      </c>
      <c r="F310" s="54" t="s">
        <v>485</v>
      </c>
      <c r="G310" s="54" t="s">
        <v>485</v>
      </c>
      <c r="H310" s="54" t="s">
        <v>485</v>
      </c>
      <c r="I310" s="43">
        <f>'01_PARÂMETROS'!$B$9</f>
        <v>50</v>
      </c>
      <c r="J310" s="44">
        <f t="shared" si="16"/>
        <v>0.9</v>
      </c>
      <c r="K310" s="62">
        <f>MAX('01_PARÂMETROS'!$B$11,MIN('01_PARÂMETROS'!$B$12,J310))</f>
        <v>0.9</v>
      </c>
      <c r="L310" s="63">
        <f t="shared" si="14"/>
        <v>-9.9999999999999978E-2</v>
      </c>
      <c r="M310" s="17" t="str">
        <f>IF(K310&lt;='01_PARÂMETROS'!$B$14,"Preferencial",IF(K310&lt;='01_PARÂMETROS'!$B$15,"Baixo",IF(K310&lt;='01_PARÂMETROS'!$B$16,"Médio",IF(K310&lt;='01_PARÂMETROS'!$B$17,"Alto","Elevado"))))</f>
        <v>Baixo</v>
      </c>
      <c r="N310" s="58" t="s">
        <v>486</v>
      </c>
      <c r="O310" s="61"/>
    </row>
    <row r="311" spans="1:15" ht="13.5" customHeight="1" x14ac:dyDescent="0.25">
      <c r="A311" s="24" t="s">
        <v>945</v>
      </c>
      <c r="B311" s="38" t="s">
        <v>660</v>
      </c>
      <c r="C311" s="25" t="s">
        <v>946</v>
      </c>
      <c r="D311" s="39" t="s">
        <v>928</v>
      </c>
      <c r="E311" s="65" t="s">
        <v>841</v>
      </c>
      <c r="F311" s="54" t="s">
        <v>485</v>
      </c>
      <c r="G311" s="54" t="s">
        <v>485</v>
      </c>
      <c r="H311" s="54" t="s">
        <v>485</v>
      </c>
      <c r="I311" s="43">
        <f>'01_PARÂMETROS'!$B$9</f>
        <v>50</v>
      </c>
      <c r="J311" s="44">
        <f t="shared" si="16"/>
        <v>0.9</v>
      </c>
      <c r="K311" s="62">
        <f>MAX('01_PARÂMETROS'!$B$11,MIN('01_PARÂMETROS'!$B$12,J311))</f>
        <v>0.9</v>
      </c>
      <c r="L311" s="63">
        <f t="shared" si="14"/>
        <v>-9.9999999999999978E-2</v>
      </c>
      <c r="M311" s="17" t="str">
        <f>IF(K311&lt;='01_PARÂMETROS'!$B$14,"Preferencial",IF(K311&lt;='01_PARÂMETROS'!$B$15,"Baixo",IF(K311&lt;='01_PARÂMETROS'!$B$16,"Médio",IF(K311&lt;='01_PARÂMETROS'!$B$17,"Alto","Elevado"))))</f>
        <v>Baixo</v>
      </c>
      <c r="N311" s="58" t="s">
        <v>486</v>
      </c>
      <c r="O311" s="54"/>
    </row>
    <row r="312" spans="1:15" ht="13.5" customHeight="1" x14ac:dyDescent="0.25">
      <c r="A312" s="13" t="s">
        <v>947</v>
      </c>
      <c r="B312" s="49" t="s">
        <v>660</v>
      </c>
      <c r="C312" s="14" t="s">
        <v>948</v>
      </c>
      <c r="D312" s="50" t="s">
        <v>928</v>
      </c>
      <c r="E312" s="65" t="s">
        <v>841</v>
      </c>
      <c r="F312" s="54" t="s">
        <v>485</v>
      </c>
      <c r="G312" s="54" t="s">
        <v>485</v>
      </c>
      <c r="H312" s="54" t="s">
        <v>485</v>
      </c>
      <c r="I312" s="43">
        <f>'01_PARÂMETROS'!$B$9</f>
        <v>50</v>
      </c>
      <c r="J312" s="44">
        <f t="shared" si="16"/>
        <v>0.9</v>
      </c>
      <c r="K312" s="62">
        <f>MAX('01_PARÂMETROS'!$B$11,MIN('01_PARÂMETROS'!$B$12,J312))</f>
        <v>0.9</v>
      </c>
      <c r="L312" s="63">
        <f t="shared" si="14"/>
        <v>-9.9999999999999978E-2</v>
      </c>
      <c r="M312" s="17" t="str">
        <f>IF(K312&lt;='01_PARÂMETROS'!$B$14,"Preferencial",IF(K312&lt;='01_PARÂMETROS'!$B$15,"Baixo",IF(K312&lt;='01_PARÂMETROS'!$B$16,"Médio",IF(K312&lt;='01_PARÂMETROS'!$B$17,"Alto","Elevado"))))</f>
        <v>Baixo</v>
      </c>
      <c r="N312" s="58" t="s">
        <v>486</v>
      </c>
      <c r="O312" s="61"/>
    </row>
    <row r="313" spans="1:15" ht="13.5" customHeight="1" x14ac:dyDescent="0.25">
      <c r="A313" s="24" t="s">
        <v>949</v>
      </c>
      <c r="B313" s="38" t="s">
        <v>660</v>
      </c>
      <c r="C313" s="25" t="s">
        <v>950</v>
      </c>
      <c r="D313" s="39" t="s">
        <v>951</v>
      </c>
      <c r="E313" s="64" t="s">
        <v>566</v>
      </c>
      <c r="F313" s="54" t="s">
        <v>485</v>
      </c>
      <c r="G313" s="54" t="s">
        <v>485</v>
      </c>
      <c r="H313" s="54" t="s">
        <v>485</v>
      </c>
      <c r="I313" s="43">
        <f>'01_PARÂMETROS'!$B$9</f>
        <v>50</v>
      </c>
      <c r="J313" s="44">
        <f t="shared" ref="J313:J349" si="17">1.15</f>
        <v>1.1499999999999999</v>
      </c>
      <c r="K313" s="45">
        <f>MAX('01_PARÂMETROS'!$B$11,MIN('01_PARÂMETROS'!$B$12,J313))</f>
        <v>1.1499999999999999</v>
      </c>
      <c r="L313" s="46">
        <f t="shared" si="14"/>
        <v>0.14999999999999991</v>
      </c>
      <c r="M313" s="47" t="str">
        <f>IF(K313&lt;='01_PARÂMETROS'!$B$14,"Preferencial",IF(K313&lt;='01_PARÂMETROS'!$B$15,"Baixo",IF(K313&lt;='01_PARÂMETROS'!$B$16,"Médio",IF(K313&lt;='01_PARÂMETROS'!$B$17,"Alto","Elevado"))))</f>
        <v>Alto</v>
      </c>
      <c r="N313" s="58" t="s">
        <v>486</v>
      </c>
      <c r="O313" s="54"/>
    </row>
    <row r="314" spans="1:15" ht="13.5" customHeight="1" x14ac:dyDescent="0.25">
      <c r="A314" s="13" t="s">
        <v>952</v>
      </c>
      <c r="B314" s="49" t="s">
        <v>660</v>
      </c>
      <c r="C314" s="14" t="s">
        <v>953</v>
      </c>
      <c r="D314" s="50" t="s">
        <v>951</v>
      </c>
      <c r="E314" s="64" t="s">
        <v>566</v>
      </c>
      <c r="F314" s="54" t="s">
        <v>485</v>
      </c>
      <c r="G314" s="54" t="s">
        <v>485</v>
      </c>
      <c r="H314" s="54" t="s">
        <v>485</v>
      </c>
      <c r="I314" s="43">
        <f>'01_PARÂMETROS'!$B$9</f>
        <v>50</v>
      </c>
      <c r="J314" s="44">
        <f t="shared" si="17"/>
        <v>1.1499999999999999</v>
      </c>
      <c r="K314" s="45">
        <f>MAX('01_PARÂMETROS'!$B$11,MIN('01_PARÂMETROS'!$B$12,J314))</f>
        <v>1.1499999999999999</v>
      </c>
      <c r="L314" s="46">
        <f t="shared" si="14"/>
        <v>0.14999999999999991</v>
      </c>
      <c r="M314" s="47" t="str">
        <f>IF(K314&lt;='01_PARÂMETROS'!$B$14,"Preferencial",IF(K314&lt;='01_PARÂMETROS'!$B$15,"Baixo",IF(K314&lt;='01_PARÂMETROS'!$B$16,"Médio",IF(K314&lt;='01_PARÂMETROS'!$B$17,"Alto","Elevado"))))</f>
        <v>Alto</v>
      </c>
      <c r="N314" s="58" t="s">
        <v>486</v>
      </c>
      <c r="O314" s="61"/>
    </row>
    <row r="315" spans="1:15" ht="13.5" customHeight="1" x14ac:dyDescent="0.25">
      <c r="A315" s="24" t="s">
        <v>954</v>
      </c>
      <c r="B315" s="38" t="s">
        <v>660</v>
      </c>
      <c r="C315" s="25" t="s">
        <v>955</v>
      </c>
      <c r="D315" s="39" t="s">
        <v>951</v>
      </c>
      <c r="E315" s="64" t="s">
        <v>566</v>
      </c>
      <c r="F315" s="54" t="s">
        <v>485</v>
      </c>
      <c r="G315" s="54" t="s">
        <v>485</v>
      </c>
      <c r="H315" s="54" t="s">
        <v>485</v>
      </c>
      <c r="I315" s="43">
        <f>'01_PARÂMETROS'!$B$9</f>
        <v>50</v>
      </c>
      <c r="J315" s="44">
        <f t="shared" si="17"/>
        <v>1.1499999999999999</v>
      </c>
      <c r="K315" s="45">
        <f>MAX('01_PARÂMETROS'!$B$11,MIN('01_PARÂMETROS'!$B$12,J315))</f>
        <v>1.1499999999999999</v>
      </c>
      <c r="L315" s="46">
        <f t="shared" si="14"/>
        <v>0.14999999999999991</v>
      </c>
      <c r="M315" s="47" t="str">
        <f>IF(K315&lt;='01_PARÂMETROS'!$B$14,"Preferencial",IF(K315&lt;='01_PARÂMETROS'!$B$15,"Baixo",IF(K315&lt;='01_PARÂMETROS'!$B$16,"Médio",IF(K315&lt;='01_PARÂMETROS'!$B$17,"Alto","Elevado"))))</f>
        <v>Alto</v>
      </c>
      <c r="N315" s="58" t="s">
        <v>486</v>
      </c>
      <c r="O315" s="54"/>
    </row>
    <row r="316" spans="1:15" ht="13.5" customHeight="1" x14ac:dyDescent="0.25">
      <c r="A316" s="13" t="s">
        <v>956</v>
      </c>
      <c r="B316" s="49" t="s">
        <v>660</v>
      </c>
      <c r="C316" s="14" t="s">
        <v>957</v>
      </c>
      <c r="D316" s="50" t="s">
        <v>951</v>
      </c>
      <c r="E316" s="64" t="s">
        <v>566</v>
      </c>
      <c r="F316" s="54" t="s">
        <v>485</v>
      </c>
      <c r="G316" s="54" t="s">
        <v>485</v>
      </c>
      <c r="H316" s="54" t="s">
        <v>485</v>
      </c>
      <c r="I316" s="43">
        <f>'01_PARÂMETROS'!$B$9</f>
        <v>50</v>
      </c>
      <c r="J316" s="44">
        <f t="shared" si="17"/>
        <v>1.1499999999999999</v>
      </c>
      <c r="K316" s="45">
        <f>MAX('01_PARÂMETROS'!$B$11,MIN('01_PARÂMETROS'!$B$12,J316))</f>
        <v>1.1499999999999999</v>
      </c>
      <c r="L316" s="46">
        <f t="shared" si="14"/>
        <v>0.14999999999999991</v>
      </c>
      <c r="M316" s="47" t="str">
        <f>IF(K316&lt;='01_PARÂMETROS'!$B$14,"Preferencial",IF(K316&lt;='01_PARÂMETROS'!$B$15,"Baixo",IF(K316&lt;='01_PARÂMETROS'!$B$16,"Médio",IF(K316&lt;='01_PARÂMETROS'!$B$17,"Alto","Elevado"))))</f>
        <v>Alto</v>
      </c>
      <c r="N316" s="58" t="s">
        <v>486</v>
      </c>
      <c r="O316" s="61"/>
    </row>
    <row r="317" spans="1:15" ht="13.5" customHeight="1" x14ac:dyDescent="0.25">
      <c r="A317" s="24" t="s">
        <v>958</v>
      </c>
      <c r="B317" s="38" t="s">
        <v>660</v>
      </c>
      <c r="C317" s="25" t="s">
        <v>959</v>
      </c>
      <c r="D317" s="39" t="s">
        <v>951</v>
      </c>
      <c r="E317" s="64" t="s">
        <v>566</v>
      </c>
      <c r="F317" s="54" t="s">
        <v>485</v>
      </c>
      <c r="G317" s="54" t="s">
        <v>485</v>
      </c>
      <c r="H317" s="54" t="s">
        <v>485</v>
      </c>
      <c r="I317" s="43">
        <f>'01_PARÂMETROS'!$B$9</f>
        <v>50</v>
      </c>
      <c r="J317" s="44">
        <f t="shared" si="17"/>
        <v>1.1499999999999999</v>
      </c>
      <c r="K317" s="45">
        <f>MAX('01_PARÂMETROS'!$B$11,MIN('01_PARÂMETROS'!$B$12,J317))</f>
        <v>1.1499999999999999</v>
      </c>
      <c r="L317" s="46">
        <f t="shared" si="14"/>
        <v>0.14999999999999991</v>
      </c>
      <c r="M317" s="47" t="str">
        <f>IF(K317&lt;='01_PARÂMETROS'!$B$14,"Preferencial",IF(K317&lt;='01_PARÂMETROS'!$B$15,"Baixo",IF(K317&lt;='01_PARÂMETROS'!$B$16,"Médio",IF(K317&lt;='01_PARÂMETROS'!$B$17,"Alto","Elevado"))))</f>
        <v>Alto</v>
      </c>
      <c r="N317" s="58" t="s">
        <v>486</v>
      </c>
      <c r="O317" s="54"/>
    </row>
    <row r="318" spans="1:15" ht="13.5" customHeight="1" x14ac:dyDescent="0.25">
      <c r="A318" s="13" t="s">
        <v>960</v>
      </c>
      <c r="B318" s="49" t="s">
        <v>660</v>
      </c>
      <c r="C318" s="14" t="s">
        <v>961</v>
      </c>
      <c r="D318" s="50" t="s">
        <v>951</v>
      </c>
      <c r="E318" s="64" t="s">
        <v>566</v>
      </c>
      <c r="F318" s="54" t="s">
        <v>485</v>
      </c>
      <c r="G318" s="54" t="s">
        <v>485</v>
      </c>
      <c r="H318" s="54" t="s">
        <v>485</v>
      </c>
      <c r="I318" s="43">
        <f>'01_PARÂMETROS'!$B$9</f>
        <v>50</v>
      </c>
      <c r="J318" s="44">
        <f t="shared" si="17"/>
        <v>1.1499999999999999</v>
      </c>
      <c r="K318" s="45">
        <f>MAX('01_PARÂMETROS'!$B$11,MIN('01_PARÂMETROS'!$B$12,J318))</f>
        <v>1.1499999999999999</v>
      </c>
      <c r="L318" s="46">
        <f t="shared" si="14"/>
        <v>0.14999999999999991</v>
      </c>
      <c r="M318" s="47" t="str">
        <f>IF(K318&lt;='01_PARÂMETROS'!$B$14,"Preferencial",IF(K318&lt;='01_PARÂMETROS'!$B$15,"Baixo",IF(K318&lt;='01_PARÂMETROS'!$B$16,"Médio",IF(K318&lt;='01_PARÂMETROS'!$B$17,"Alto","Elevado"))))</f>
        <v>Alto</v>
      </c>
      <c r="N318" s="58" t="s">
        <v>486</v>
      </c>
      <c r="O318" s="61"/>
    </row>
    <row r="319" spans="1:15" ht="13.5" customHeight="1" x14ac:dyDescent="0.25">
      <c r="A319" s="24" t="s">
        <v>962</v>
      </c>
      <c r="B319" s="38" t="s">
        <v>660</v>
      </c>
      <c r="C319" s="25" t="s">
        <v>963</v>
      </c>
      <c r="D319" s="39" t="s">
        <v>951</v>
      </c>
      <c r="E319" s="64" t="s">
        <v>566</v>
      </c>
      <c r="F319" s="54" t="s">
        <v>485</v>
      </c>
      <c r="G319" s="54" t="s">
        <v>485</v>
      </c>
      <c r="H319" s="54" t="s">
        <v>485</v>
      </c>
      <c r="I319" s="43">
        <f>'01_PARÂMETROS'!$B$9</f>
        <v>50</v>
      </c>
      <c r="J319" s="44">
        <f t="shared" si="17"/>
        <v>1.1499999999999999</v>
      </c>
      <c r="K319" s="45">
        <f>MAX('01_PARÂMETROS'!$B$11,MIN('01_PARÂMETROS'!$B$12,J319))</f>
        <v>1.1499999999999999</v>
      </c>
      <c r="L319" s="46">
        <f t="shared" si="14"/>
        <v>0.14999999999999991</v>
      </c>
      <c r="M319" s="47" t="str">
        <f>IF(K319&lt;='01_PARÂMETROS'!$B$14,"Preferencial",IF(K319&lt;='01_PARÂMETROS'!$B$15,"Baixo",IF(K319&lt;='01_PARÂMETROS'!$B$16,"Médio",IF(K319&lt;='01_PARÂMETROS'!$B$17,"Alto","Elevado"))))</f>
        <v>Alto</v>
      </c>
      <c r="N319" s="58" t="s">
        <v>486</v>
      </c>
      <c r="O319" s="54"/>
    </row>
    <row r="320" spans="1:15" ht="13.5" customHeight="1" x14ac:dyDescent="0.25">
      <c r="A320" s="13" t="s">
        <v>964</v>
      </c>
      <c r="B320" s="49" t="s">
        <v>660</v>
      </c>
      <c r="C320" s="14" t="s">
        <v>965</v>
      </c>
      <c r="D320" s="50" t="s">
        <v>662</v>
      </c>
      <c r="E320" s="64" t="s">
        <v>566</v>
      </c>
      <c r="F320" s="54" t="s">
        <v>485</v>
      </c>
      <c r="G320" s="54" t="s">
        <v>485</v>
      </c>
      <c r="H320" s="54" t="s">
        <v>485</v>
      </c>
      <c r="I320" s="43">
        <f>'01_PARÂMETROS'!$B$9</f>
        <v>50</v>
      </c>
      <c r="J320" s="44">
        <f t="shared" si="17"/>
        <v>1.1499999999999999</v>
      </c>
      <c r="K320" s="45">
        <f>MAX('01_PARÂMETROS'!$B$11,MIN('01_PARÂMETROS'!$B$12,J320))</f>
        <v>1.1499999999999999</v>
      </c>
      <c r="L320" s="46">
        <f t="shared" si="14"/>
        <v>0.14999999999999991</v>
      </c>
      <c r="M320" s="47" t="str">
        <f>IF(K320&lt;='01_PARÂMETROS'!$B$14,"Preferencial",IF(K320&lt;='01_PARÂMETROS'!$B$15,"Baixo",IF(K320&lt;='01_PARÂMETROS'!$B$16,"Médio",IF(K320&lt;='01_PARÂMETROS'!$B$17,"Alto","Elevado"))))</f>
        <v>Alto</v>
      </c>
      <c r="N320" s="58" t="s">
        <v>486</v>
      </c>
      <c r="O320" s="61"/>
    </row>
    <row r="321" spans="1:15" ht="13.5" customHeight="1" x14ac:dyDescent="0.25">
      <c r="A321" s="24" t="s">
        <v>966</v>
      </c>
      <c r="B321" s="38" t="s">
        <v>660</v>
      </c>
      <c r="C321" s="25" t="s">
        <v>967</v>
      </c>
      <c r="D321" s="39" t="s">
        <v>662</v>
      </c>
      <c r="E321" s="64" t="s">
        <v>566</v>
      </c>
      <c r="F321" s="54" t="s">
        <v>485</v>
      </c>
      <c r="G321" s="54" t="s">
        <v>485</v>
      </c>
      <c r="H321" s="54" t="s">
        <v>485</v>
      </c>
      <c r="I321" s="43">
        <f>'01_PARÂMETROS'!$B$9</f>
        <v>50</v>
      </c>
      <c r="J321" s="44">
        <f t="shared" si="17"/>
        <v>1.1499999999999999</v>
      </c>
      <c r="K321" s="45">
        <f>MAX('01_PARÂMETROS'!$B$11,MIN('01_PARÂMETROS'!$B$12,J321))</f>
        <v>1.1499999999999999</v>
      </c>
      <c r="L321" s="46">
        <f t="shared" si="14"/>
        <v>0.14999999999999991</v>
      </c>
      <c r="M321" s="47" t="str">
        <f>IF(K321&lt;='01_PARÂMETROS'!$B$14,"Preferencial",IF(K321&lt;='01_PARÂMETROS'!$B$15,"Baixo",IF(K321&lt;='01_PARÂMETROS'!$B$16,"Médio",IF(K321&lt;='01_PARÂMETROS'!$B$17,"Alto","Elevado"))))</f>
        <v>Alto</v>
      </c>
      <c r="N321" s="58" t="s">
        <v>486</v>
      </c>
      <c r="O321" s="54"/>
    </row>
    <row r="322" spans="1:15" ht="13.5" customHeight="1" x14ac:dyDescent="0.25">
      <c r="A322" s="13" t="s">
        <v>968</v>
      </c>
      <c r="B322" s="49" t="s">
        <v>660</v>
      </c>
      <c r="C322" s="14" t="s">
        <v>969</v>
      </c>
      <c r="D322" s="50" t="s">
        <v>662</v>
      </c>
      <c r="E322" s="64" t="s">
        <v>566</v>
      </c>
      <c r="F322" s="54" t="s">
        <v>485</v>
      </c>
      <c r="G322" s="54" t="s">
        <v>485</v>
      </c>
      <c r="H322" s="54" t="s">
        <v>485</v>
      </c>
      <c r="I322" s="43">
        <f>'01_PARÂMETROS'!$B$9</f>
        <v>50</v>
      </c>
      <c r="J322" s="44">
        <f t="shared" si="17"/>
        <v>1.1499999999999999</v>
      </c>
      <c r="K322" s="45">
        <f>MAX('01_PARÂMETROS'!$B$11,MIN('01_PARÂMETROS'!$B$12,J322))</f>
        <v>1.1499999999999999</v>
      </c>
      <c r="L322" s="46">
        <f t="shared" si="14"/>
        <v>0.14999999999999991</v>
      </c>
      <c r="M322" s="47" t="str">
        <f>IF(K322&lt;='01_PARÂMETROS'!$B$14,"Preferencial",IF(K322&lt;='01_PARÂMETROS'!$B$15,"Baixo",IF(K322&lt;='01_PARÂMETROS'!$B$16,"Médio",IF(K322&lt;='01_PARÂMETROS'!$B$17,"Alto","Elevado"))))</f>
        <v>Alto</v>
      </c>
      <c r="N322" s="58" t="s">
        <v>486</v>
      </c>
      <c r="O322" s="61"/>
    </row>
    <row r="323" spans="1:15" ht="13.5" customHeight="1" x14ac:dyDescent="0.25">
      <c r="A323" s="24" t="s">
        <v>970</v>
      </c>
      <c r="B323" s="38" t="s">
        <v>660</v>
      </c>
      <c r="C323" s="25" t="s">
        <v>971</v>
      </c>
      <c r="D323" s="39" t="s">
        <v>662</v>
      </c>
      <c r="E323" s="64" t="s">
        <v>566</v>
      </c>
      <c r="F323" s="54" t="s">
        <v>485</v>
      </c>
      <c r="G323" s="54" t="s">
        <v>485</v>
      </c>
      <c r="H323" s="54" t="s">
        <v>485</v>
      </c>
      <c r="I323" s="43">
        <f>'01_PARÂMETROS'!$B$9</f>
        <v>50</v>
      </c>
      <c r="J323" s="44">
        <f t="shared" si="17"/>
        <v>1.1499999999999999</v>
      </c>
      <c r="K323" s="45">
        <f>MAX('01_PARÂMETROS'!$B$11,MIN('01_PARÂMETROS'!$B$12,J323))</f>
        <v>1.1499999999999999</v>
      </c>
      <c r="L323" s="46">
        <f t="shared" si="14"/>
        <v>0.14999999999999991</v>
      </c>
      <c r="M323" s="47" t="str">
        <f>IF(K323&lt;='01_PARÂMETROS'!$B$14,"Preferencial",IF(K323&lt;='01_PARÂMETROS'!$B$15,"Baixo",IF(K323&lt;='01_PARÂMETROS'!$B$16,"Médio",IF(K323&lt;='01_PARÂMETROS'!$B$17,"Alto","Elevado"))))</f>
        <v>Alto</v>
      </c>
      <c r="N323" s="58" t="s">
        <v>486</v>
      </c>
      <c r="O323" s="54"/>
    </row>
    <row r="324" spans="1:15" ht="13.5" customHeight="1" x14ac:dyDescent="0.25">
      <c r="A324" s="13" t="s">
        <v>972</v>
      </c>
      <c r="B324" s="49" t="s">
        <v>660</v>
      </c>
      <c r="C324" s="14" t="s">
        <v>973</v>
      </c>
      <c r="D324" s="50" t="s">
        <v>662</v>
      </c>
      <c r="E324" s="64" t="s">
        <v>566</v>
      </c>
      <c r="F324" s="54" t="s">
        <v>485</v>
      </c>
      <c r="G324" s="54" t="s">
        <v>485</v>
      </c>
      <c r="H324" s="54" t="s">
        <v>485</v>
      </c>
      <c r="I324" s="43">
        <f>'01_PARÂMETROS'!$B$9</f>
        <v>50</v>
      </c>
      <c r="J324" s="44">
        <f t="shared" si="17"/>
        <v>1.1499999999999999</v>
      </c>
      <c r="K324" s="45">
        <f>MAX('01_PARÂMETROS'!$B$11,MIN('01_PARÂMETROS'!$B$12,J324))</f>
        <v>1.1499999999999999</v>
      </c>
      <c r="L324" s="46">
        <f t="shared" si="14"/>
        <v>0.14999999999999991</v>
      </c>
      <c r="M324" s="47" t="str">
        <f>IF(K324&lt;='01_PARÂMETROS'!$B$14,"Preferencial",IF(K324&lt;='01_PARÂMETROS'!$B$15,"Baixo",IF(K324&lt;='01_PARÂMETROS'!$B$16,"Médio",IF(K324&lt;='01_PARÂMETROS'!$B$17,"Alto","Elevado"))))</f>
        <v>Alto</v>
      </c>
      <c r="N324" s="58" t="s">
        <v>486</v>
      </c>
      <c r="O324" s="61"/>
    </row>
    <row r="325" spans="1:15" ht="13.5" customHeight="1" x14ac:dyDescent="0.25">
      <c r="A325" s="24" t="s">
        <v>974</v>
      </c>
      <c r="B325" s="38" t="s">
        <v>660</v>
      </c>
      <c r="C325" s="25" t="s">
        <v>975</v>
      </c>
      <c r="D325" s="39" t="s">
        <v>662</v>
      </c>
      <c r="E325" s="64" t="s">
        <v>566</v>
      </c>
      <c r="F325" s="54" t="s">
        <v>485</v>
      </c>
      <c r="G325" s="54" t="s">
        <v>485</v>
      </c>
      <c r="H325" s="54" t="s">
        <v>485</v>
      </c>
      <c r="I325" s="43">
        <f>'01_PARÂMETROS'!$B$9</f>
        <v>50</v>
      </c>
      <c r="J325" s="44">
        <f t="shared" si="17"/>
        <v>1.1499999999999999</v>
      </c>
      <c r="K325" s="45">
        <f>MAX('01_PARÂMETROS'!$B$11,MIN('01_PARÂMETROS'!$B$12,J325))</f>
        <v>1.1499999999999999</v>
      </c>
      <c r="L325" s="46">
        <f t="shared" ref="L325:L388" si="18">(K325-1)</f>
        <v>0.14999999999999991</v>
      </c>
      <c r="M325" s="47" t="str">
        <f>IF(K325&lt;='01_PARÂMETROS'!$B$14,"Preferencial",IF(K325&lt;='01_PARÂMETROS'!$B$15,"Baixo",IF(K325&lt;='01_PARÂMETROS'!$B$16,"Médio",IF(K325&lt;='01_PARÂMETROS'!$B$17,"Alto","Elevado"))))</f>
        <v>Alto</v>
      </c>
      <c r="N325" s="58" t="s">
        <v>486</v>
      </c>
      <c r="O325" s="54"/>
    </row>
    <row r="326" spans="1:15" ht="13.5" customHeight="1" x14ac:dyDescent="0.25">
      <c r="A326" s="13" t="s">
        <v>976</v>
      </c>
      <c r="B326" s="49" t="s">
        <v>660</v>
      </c>
      <c r="C326" s="14" t="s">
        <v>977</v>
      </c>
      <c r="D326" s="50" t="s">
        <v>662</v>
      </c>
      <c r="E326" s="64" t="s">
        <v>566</v>
      </c>
      <c r="F326" s="54" t="s">
        <v>485</v>
      </c>
      <c r="G326" s="54" t="s">
        <v>485</v>
      </c>
      <c r="H326" s="54" t="s">
        <v>485</v>
      </c>
      <c r="I326" s="43">
        <f>'01_PARÂMETROS'!$B$9</f>
        <v>50</v>
      </c>
      <c r="J326" s="44">
        <f t="shared" si="17"/>
        <v>1.1499999999999999</v>
      </c>
      <c r="K326" s="45">
        <f>MAX('01_PARÂMETROS'!$B$11,MIN('01_PARÂMETROS'!$B$12,J326))</f>
        <v>1.1499999999999999</v>
      </c>
      <c r="L326" s="46">
        <f t="shared" si="18"/>
        <v>0.14999999999999991</v>
      </c>
      <c r="M326" s="47" t="str">
        <f>IF(K326&lt;='01_PARÂMETROS'!$B$14,"Preferencial",IF(K326&lt;='01_PARÂMETROS'!$B$15,"Baixo",IF(K326&lt;='01_PARÂMETROS'!$B$16,"Médio",IF(K326&lt;='01_PARÂMETROS'!$B$17,"Alto","Elevado"))))</f>
        <v>Alto</v>
      </c>
      <c r="N326" s="58" t="s">
        <v>486</v>
      </c>
      <c r="O326" s="61"/>
    </row>
    <row r="327" spans="1:15" ht="13.5" customHeight="1" x14ac:dyDescent="0.25">
      <c r="A327" s="24" t="s">
        <v>978</v>
      </c>
      <c r="B327" s="38" t="s">
        <v>660</v>
      </c>
      <c r="C327" s="25" t="s">
        <v>979</v>
      </c>
      <c r="D327" s="39" t="s">
        <v>662</v>
      </c>
      <c r="E327" s="64" t="s">
        <v>566</v>
      </c>
      <c r="F327" s="54" t="s">
        <v>485</v>
      </c>
      <c r="G327" s="54" t="s">
        <v>485</v>
      </c>
      <c r="H327" s="54" t="s">
        <v>485</v>
      </c>
      <c r="I327" s="43">
        <f>'01_PARÂMETROS'!$B$9</f>
        <v>50</v>
      </c>
      <c r="J327" s="44">
        <f t="shared" si="17"/>
        <v>1.1499999999999999</v>
      </c>
      <c r="K327" s="45">
        <f>MAX('01_PARÂMETROS'!$B$11,MIN('01_PARÂMETROS'!$B$12,J327))</f>
        <v>1.1499999999999999</v>
      </c>
      <c r="L327" s="46">
        <f t="shared" si="18"/>
        <v>0.14999999999999991</v>
      </c>
      <c r="M327" s="47" t="str">
        <f>IF(K327&lt;='01_PARÂMETROS'!$B$14,"Preferencial",IF(K327&lt;='01_PARÂMETROS'!$B$15,"Baixo",IF(K327&lt;='01_PARÂMETROS'!$B$16,"Médio",IF(K327&lt;='01_PARÂMETROS'!$B$17,"Alto","Elevado"))))</f>
        <v>Alto</v>
      </c>
      <c r="N327" s="58" t="s">
        <v>486</v>
      </c>
      <c r="O327" s="54"/>
    </row>
    <row r="328" spans="1:15" ht="13.5" customHeight="1" x14ac:dyDescent="0.25">
      <c r="A328" s="13" t="s">
        <v>980</v>
      </c>
      <c r="B328" s="49" t="s">
        <v>660</v>
      </c>
      <c r="C328" s="14" t="s">
        <v>981</v>
      </c>
      <c r="D328" s="50" t="s">
        <v>662</v>
      </c>
      <c r="E328" s="64" t="s">
        <v>566</v>
      </c>
      <c r="F328" s="54" t="s">
        <v>485</v>
      </c>
      <c r="G328" s="54" t="s">
        <v>485</v>
      </c>
      <c r="H328" s="54" t="s">
        <v>485</v>
      </c>
      <c r="I328" s="43">
        <f>'01_PARÂMETROS'!$B$9</f>
        <v>50</v>
      </c>
      <c r="J328" s="44">
        <f t="shared" si="17"/>
        <v>1.1499999999999999</v>
      </c>
      <c r="K328" s="45">
        <f>MAX('01_PARÂMETROS'!$B$11,MIN('01_PARÂMETROS'!$B$12,J328))</f>
        <v>1.1499999999999999</v>
      </c>
      <c r="L328" s="46">
        <f t="shared" si="18"/>
        <v>0.14999999999999991</v>
      </c>
      <c r="M328" s="47" t="str">
        <f>IF(K328&lt;='01_PARÂMETROS'!$B$14,"Preferencial",IF(K328&lt;='01_PARÂMETROS'!$B$15,"Baixo",IF(K328&lt;='01_PARÂMETROS'!$B$16,"Médio",IF(K328&lt;='01_PARÂMETROS'!$B$17,"Alto","Elevado"))))</f>
        <v>Alto</v>
      </c>
      <c r="N328" s="58" t="s">
        <v>486</v>
      </c>
      <c r="O328" s="61"/>
    </row>
    <row r="329" spans="1:15" ht="13.5" customHeight="1" x14ac:dyDescent="0.25">
      <c r="A329" s="24" t="s">
        <v>982</v>
      </c>
      <c r="B329" s="38" t="s">
        <v>660</v>
      </c>
      <c r="C329" s="25" t="s">
        <v>983</v>
      </c>
      <c r="D329" s="39" t="s">
        <v>662</v>
      </c>
      <c r="E329" s="64" t="s">
        <v>566</v>
      </c>
      <c r="F329" s="54" t="s">
        <v>485</v>
      </c>
      <c r="G329" s="54" t="s">
        <v>485</v>
      </c>
      <c r="H329" s="54" t="s">
        <v>485</v>
      </c>
      <c r="I329" s="43">
        <f>'01_PARÂMETROS'!$B$9</f>
        <v>50</v>
      </c>
      <c r="J329" s="44">
        <f t="shared" si="17"/>
        <v>1.1499999999999999</v>
      </c>
      <c r="K329" s="45">
        <f>MAX('01_PARÂMETROS'!$B$11,MIN('01_PARÂMETROS'!$B$12,J329))</f>
        <v>1.1499999999999999</v>
      </c>
      <c r="L329" s="46">
        <f t="shared" si="18"/>
        <v>0.14999999999999991</v>
      </c>
      <c r="M329" s="47" t="str">
        <f>IF(K329&lt;='01_PARÂMETROS'!$B$14,"Preferencial",IF(K329&lt;='01_PARÂMETROS'!$B$15,"Baixo",IF(K329&lt;='01_PARÂMETROS'!$B$16,"Médio",IF(K329&lt;='01_PARÂMETROS'!$B$17,"Alto","Elevado"))))</f>
        <v>Alto</v>
      </c>
      <c r="N329" s="58" t="s">
        <v>486</v>
      </c>
      <c r="O329" s="54"/>
    </row>
    <row r="330" spans="1:15" ht="13.5" customHeight="1" x14ac:dyDescent="0.25">
      <c r="A330" s="13" t="s">
        <v>984</v>
      </c>
      <c r="B330" s="49" t="s">
        <v>660</v>
      </c>
      <c r="C330" s="14" t="s">
        <v>985</v>
      </c>
      <c r="D330" s="50" t="s">
        <v>662</v>
      </c>
      <c r="E330" s="64" t="s">
        <v>566</v>
      </c>
      <c r="F330" s="54" t="s">
        <v>485</v>
      </c>
      <c r="G330" s="54" t="s">
        <v>485</v>
      </c>
      <c r="H330" s="54" t="s">
        <v>485</v>
      </c>
      <c r="I330" s="43">
        <f>'01_PARÂMETROS'!$B$9</f>
        <v>50</v>
      </c>
      <c r="J330" s="44">
        <f t="shared" si="17"/>
        <v>1.1499999999999999</v>
      </c>
      <c r="K330" s="45">
        <f>MAX('01_PARÂMETROS'!$B$11,MIN('01_PARÂMETROS'!$B$12,J330))</f>
        <v>1.1499999999999999</v>
      </c>
      <c r="L330" s="46">
        <f t="shared" si="18"/>
        <v>0.14999999999999991</v>
      </c>
      <c r="M330" s="47" t="str">
        <f>IF(K330&lt;='01_PARÂMETROS'!$B$14,"Preferencial",IF(K330&lt;='01_PARÂMETROS'!$B$15,"Baixo",IF(K330&lt;='01_PARÂMETROS'!$B$16,"Médio",IF(K330&lt;='01_PARÂMETROS'!$B$17,"Alto","Elevado"))))</f>
        <v>Alto</v>
      </c>
      <c r="N330" s="58" t="s">
        <v>486</v>
      </c>
      <c r="O330" s="61"/>
    </row>
    <row r="331" spans="1:15" ht="13.5" customHeight="1" x14ac:dyDescent="0.25">
      <c r="A331" s="24" t="s">
        <v>986</v>
      </c>
      <c r="B331" s="38" t="s">
        <v>660</v>
      </c>
      <c r="C331" s="25" t="s">
        <v>987</v>
      </c>
      <c r="D331" s="39" t="s">
        <v>662</v>
      </c>
      <c r="E331" s="64" t="s">
        <v>566</v>
      </c>
      <c r="F331" s="54" t="s">
        <v>485</v>
      </c>
      <c r="G331" s="54" t="s">
        <v>485</v>
      </c>
      <c r="H331" s="54" t="s">
        <v>485</v>
      </c>
      <c r="I331" s="43">
        <f>'01_PARÂMETROS'!$B$9</f>
        <v>50</v>
      </c>
      <c r="J331" s="44">
        <f t="shared" si="17"/>
        <v>1.1499999999999999</v>
      </c>
      <c r="K331" s="45">
        <f>MAX('01_PARÂMETROS'!$B$11,MIN('01_PARÂMETROS'!$B$12,J331))</f>
        <v>1.1499999999999999</v>
      </c>
      <c r="L331" s="46">
        <f t="shared" si="18"/>
        <v>0.14999999999999991</v>
      </c>
      <c r="M331" s="47" t="str">
        <f>IF(K331&lt;='01_PARÂMETROS'!$B$14,"Preferencial",IF(K331&lt;='01_PARÂMETROS'!$B$15,"Baixo",IF(K331&lt;='01_PARÂMETROS'!$B$16,"Médio",IF(K331&lt;='01_PARÂMETROS'!$B$17,"Alto","Elevado"))))</f>
        <v>Alto</v>
      </c>
      <c r="N331" s="58" t="s">
        <v>486</v>
      </c>
      <c r="O331" s="54"/>
    </row>
    <row r="332" spans="1:15" ht="13.5" customHeight="1" x14ac:dyDescent="0.25">
      <c r="A332" s="13" t="s">
        <v>988</v>
      </c>
      <c r="B332" s="49" t="s">
        <v>660</v>
      </c>
      <c r="C332" s="14" t="s">
        <v>989</v>
      </c>
      <c r="D332" s="50" t="s">
        <v>662</v>
      </c>
      <c r="E332" s="64" t="s">
        <v>566</v>
      </c>
      <c r="F332" s="54" t="s">
        <v>485</v>
      </c>
      <c r="G332" s="54" t="s">
        <v>485</v>
      </c>
      <c r="H332" s="54" t="s">
        <v>485</v>
      </c>
      <c r="I332" s="43">
        <f>'01_PARÂMETROS'!$B$9</f>
        <v>50</v>
      </c>
      <c r="J332" s="44">
        <f t="shared" si="17"/>
        <v>1.1499999999999999</v>
      </c>
      <c r="K332" s="45">
        <f>MAX('01_PARÂMETROS'!$B$11,MIN('01_PARÂMETROS'!$B$12,J332))</f>
        <v>1.1499999999999999</v>
      </c>
      <c r="L332" s="46">
        <f t="shared" si="18"/>
        <v>0.14999999999999991</v>
      </c>
      <c r="M332" s="47" t="str">
        <f>IF(K332&lt;='01_PARÂMETROS'!$B$14,"Preferencial",IF(K332&lt;='01_PARÂMETROS'!$B$15,"Baixo",IF(K332&lt;='01_PARÂMETROS'!$B$16,"Médio",IF(K332&lt;='01_PARÂMETROS'!$B$17,"Alto","Elevado"))))</f>
        <v>Alto</v>
      </c>
      <c r="N332" s="58" t="s">
        <v>486</v>
      </c>
      <c r="O332" s="61"/>
    </row>
    <row r="333" spans="1:15" ht="13.5" customHeight="1" x14ac:dyDescent="0.25">
      <c r="A333" s="24" t="s">
        <v>990</v>
      </c>
      <c r="B333" s="38" t="s">
        <v>660</v>
      </c>
      <c r="C333" s="25" t="s">
        <v>991</v>
      </c>
      <c r="D333" s="39" t="s">
        <v>662</v>
      </c>
      <c r="E333" s="64" t="s">
        <v>566</v>
      </c>
      <c r="F333" s="54" t="s">
        <v>485</v>
      </c>
      <c r="G333" s="54" t="s">
        <v>485</v>
      </c>
      <c r="H333" s="54" t="s">
        <v>485</v>
      </c>
      <c r="I333" s="43">
        <f>'01_PARÂMETROS'!$B$9</f>
        <v>50</v>
      </c>
      <c r="J333" s="44">
        <f t="shared" si="17"/>
        <v>1.1499999999999999</v>
      </c>
      <c r="K333" s="45">
        <f>MAX('01_PARÂMETROS'!$B$11,MIN('01_PARÂMETROS'!$B$12,J333))</f>
        <v>1.1499999999999999</v>
      </c>
      <c r="L333" s="46">
        <f t="shared" si="18"/>
        <v>0.14999999999999991</v>
      </c>
      <c r="M333" s="47" t="str">
        <f>IF(K333&lt;='01_PARÂMETROS'!$B$14,"Preferencial",IF(K333&lt;='01_PARÂMETROS'!$B$15,"Baixo",IF(K333&lt;='01_PARÂMETROS'!$B$16,"Médio",IF(K333&lt;='01_PARÂMETROS'!$B$17,"Alto","Elevado"))))</f>
        <v>Alto</v>
      </c>
      <c r="N333" s="58" t="s">
        <v>486</v>
      </c>
      <c r="O333" s="54"/>
    </row>
    <row r="334" spans="1:15" ht="13.5" customHeight="1" x14ac:dyDescent="0.25">
      <c r="A334" s="13" t="s">
        <v>992</v>
      </c>
      <c r="B334" s="49" t="s">
        <v>660</v>
      </c>
      <c r="C334" s="14" t="s">
        <v>993</v>
      </c>
      <c r="D334" s="50" t="s">
        <v>662</v>
      </c>
      <c r="E334" s="64" t="s">
        <v>566</v>
      </c>
      <c r="F334" s="54" t="s">
        <v>485</v>
      </c>
      <c r="G334" s="54" t="s">
        <v>485</v>
      </c>
      <c r="H334" s="54" t="s">
        <v>485</v>
      </c>
      <c r="I334" s="43">
        <f>'01_PARÂMETROS'!$B$9</f>
        <v>50</v>
      </c>
      <c r="J334" s="44">
        <f t="shared" si="17"/>
        <v>1.1499999999999999</v>
      </c>
      <c r="K334" s="45">
        <f>MAX('01_PARÂMETROS'!$B$11,MIN('01_PARÂMETROS'!$B$12,J334))</f>
        <v>1.1499999999999999</v>
      </c>
      <c r="L334" s="46">
        <f t="shared" si="18"/>
        <v>0.14999999999999991</v>
      </c>
      <c r="M334" s="47" t="str">
        <f>IF(K334&lt;='01_PARÂMETROS'!$B$14,"Preferencial",IF(K334&lt;='01_PARÂMETROS'!$B$15,"Baixo",IF(K334&lt;='01_PARÂMETROS'!$B$16,"Médio",IF(K334&lt;='01_PARÂMETROS'!$B$17,"Alto","Elevado"))))</f>
        <v>Alto</v>
      </c>
      <c r="N334" s="58" t="s">
        <v>486</v>
      </c>
      <c r="O334" s="61"/>
    </row>
    <row r="335" spans="1:15" ht="13.5" customHeight="1" x14ac:dyDescent="0.25">
      <c r="A335" s="24" t="s">
        <v>994</v>
      </c>
      <c r="B335" s="38" t="s">
        <v>660</v>
      </c>
      <c r="C335" s="25" t="s">
        <v>995</v>
      </c>
      <c r="D335" s="39" t="s">
        <v>662</v>
      </c>
      <c r="E335" s="64" t="s">
        <v>566</v>
      </c>
      <c r="F335" s="54" t="s">
        <v>485</v>
      </c>
      <c r="G335" s="54" t="s">
        <v>485</v>
      </c>
      <c r="H335" s="54" t="s">
        <v>485</v>
      </c>
      <c r="I335" s="43">
        <f>'01_PARÂMETROS'!$B$9</f>
        <v>50</v>
      </c>
      <c r="J335" s="44">
        <f t="shared" si="17"/>
        <v>1.1499999999999999</v>
      </c>
      <c r="K335" s="45">
        <f>MAX('01_PARÂMETROS'!$B$11,MIN('01_PARÂMETROS'!$B$12,J335))</f>
        <v>1.1499999999999999</v>
      </c>
      <c r="L335" s="46">
        <f t="shared" si="18"/>
        <v>0.14999999999999991</v>
      </c>
      <c r="M335" s="47" t="str">
        <f>IF(K335&lt;='01_PARÂMETROS'!$B$14,"Preferencial",IF(K335&lt;='01_PARÂMETROS'!$B$15,"Baixo",IF(K335&lt;='01_PARÂMETROS'!$B$16,"Médio",IF(K335&lt;='01_PARÂMETROS'!$B$17,"Alto","Elevado"))))</f>
        <v>Alto</v>
      </c>
      <c r="N335" s="58" t="s">
        <v>486</v>
      </c>
      <c r="O335" s="54"/>
    </row>
    <row r="336" spans="1:15" ht="13.5" customHeight="1" x14ac:dyDescent="0.25">
      <c r="A336" s="13" t="s">
        <v>996</v>
      </c>
      <c r="B336" s="49" t="s">
        <v>660</v>
      </c>
      <c r="C336" s="14" t="s">
        <v>997</v>
      </c>
      <c r="D336" s="50" t="s">
        <v>662</v>
      </c>
      <c r="E336" s="64" t="s">
        <v>566</v>
      </c>
      <c r="F336" s="54" t="s">
        <v>485</v>
      </c>
      <c r="G336" s="54" t="s">
        <v>485</v>
      </c>
      <c r="H336" s="54" t="s">
        <v>485</v>
      </c>
      <c r="I336" s="43">
        <f>'01_PARÂMETROS'!$B$9</f>
        <v>50</v>
      </c>
      <c r="J336" s="44">
        <f t="shared" si="17"/>
        <v>1.1499999999999999</v>
      </c>
      <c r="K336" s="45">
        <f>MAX('01_PARÂMETROS'!$B$11,MIN('01_PARÂMETROS'!$B$12,J336))</f>
        <v>1.1499999999999999</v>
      </c>
      <c r="L336" s="46">
        <f t="shared" si="18"/>
        <v>0.14999999999999991</v>
      </c>
      <c r="M336" s="47" t="str">
        <f>IF(K336&lt;='01_PARÂMETROS'!$B$14,"Preferencial",IF(K336&lt;='01_PARÂMETROS'!$B$15,"Baixo",IF(K336&lt;='01_PARÂMETROS'!$B$16,"Médio",IF(K336&lt;='01_PARÂMETROS'!$B$17,"Alto","Elevado"))))</f>
        <v>Alto</v>
      </c>
      <c r="N336" s="58" t="s">
        <v>486</v>
      </c>
      <c r="O336" s="61"/>
    </row>
    <row r="337" spans="1:15" ht="13.5" customHeight="1" x14ac:dyDescent="0.25">
      <c r="A337" s="24" t="s">
        <v>998</v>
      </c>
      <c r="B337" s="38" t="s">
        <v>660</v>
      </c>
      <c r="C337" s="25" t="s">
        <v>999</v>
      </c>
      <c r="D337" s="39" t="s">
        <v>662</v>
      </c>
      <c r="E337" s="64" t="s">
        <v>566</v>
      </c>
      <c r="F337" s="54" t="s">
        <v>485</v>
      </c>
      <c r="G337" s="54" t="s">
        <v>485</v>
      </c>
      <c r="H337" s="54" t="s">
        <v>485</v>
      </c>
      <c r="I337" s="43">
        <f>'01_PARÂMETROS'!$B$9</f>
        <v>50</v>
      </c>
      <c r="J337" s="44">
        <f t="shared" si="17"/>
        <v>1.1499999999999999</v>
      </c>
      <c r="K337" s="45">
        <f>MAX('01_PARÂMETROS'!$B$11,MIN('01_PARÂMETROS'!$B$12,J337))</f>
        <v>1.1499999999999999</v>
      </c>
      <c r="L337" s="46">
        <f t="shared" si="18"/>
        <v>0.14999999999999991</v>
      </c>
      <c r="M337" s="47" t="str">
        <f>IF(K337&lt;='01_PARÂMETROS'!$B$14,"Preferencial",IF(K337&lt;='01_PARÂMETROS'!$B$15,"Baixo",IF(K337&lt;='01_PARÂMETROS'!$B$16,"Médio",IF(K337&lt;='01_PARÂMETROS'!$B$17,"Alto","Elevado"))))</f>
        <v>Alto</v>
      </c>
      <c r="N337" s="58" t="s">
        <v>486</v>
      </c>
      <c r="O337" s="54"/>
    </row>
    <row r="338" spans="1:15" ht="13.5" customHeight="1" x14ac:dyDescent="0.25">
      <c r="A338" s="13" t="s">
        <v>1000</v>
      </c>
      <c r="B338" s="49" t="s">
        <v>660</v>
      </c>
      <c r="C338" s="14" t="s">
        <v>1001</v>
      </c>
      <c r="D338" s="50" t="s">
        <v>662</v>
      </c>
      <c r="E338" s="64" t="s">
        <v>566</v>
      </c>
      <c r="F338" s="54" t="s">
        <v>485</v>
      </c>
      <c r="G338" s="54" t="s">
        <v>485</v>
      </c>
      <c r="H338" s="54" t="s">
        <v>485</v>
      </c>
      <c r="I338" s="43">
        <f>'01_PARÂMETROS'!$B$9</f>
        <v>50</v>
      </c>
      <c r="J338" s="44">
        <f t="shared" si="17"/>
        <v>1.1499999999999999</v>
      </c>
      <c r="K338" s="45">
        <f>MAX('01_PARÂMETROS'!$B$11,MIN('01_PARÂMETROS'!$B$12,J338))</f>
        <v>1.1499999999999999</v>
      </c>
      <c r="L338" s="46">
        <f t="shared" si="18"/>
        <v>0.14999999999999991</v>
      </c>
      <c r="M338" s="47" t="str">
        <f>IF(K338&lt;='01_PARÂMETROS'!$B$14,"Preferencial",IF(K338&lt;='01_PARÂMETROS'!$B$15,"Baixo",IF(K338&lt;='01_PARÂMETROS'!$B$16,"Médio",IF(K338&lt;='01_PARÂMETROS'!$B$17,"Alto","Elevado"))))</f>
        <v>Alto</v>
      </c>
      <c r="N338" s="58" t="s">
        <v>486</v>
      </c>
      <c r="O338" s="61"/>
    </row>
    <row r="339" spans="1:15" ht="13.5" customHeight="1" x14ac:dyDescent="0.25">
      <c r="A339" s="24" t="s">
        <v>1002</v>
      </c>
      <c r="B339" s="38" t="s">
        <v>660</v>
      </c>
      <c r="C339" s="25" t="s">
        <v>1003</v>
      </c>
      <c r="D339" s="39" t="s">
        <v>662</v>
      </c>
      <c r="E339" s="64" t="s">
        <v>566</v>
      </c>
      <c r="F339" s="54" t="s">
        <v>485</v>
      </c>
      <c r="G339" s="54" t="s">
        <v>485</v>
      </c>
      <c r="H339" s="54" t="s">
        <v>485</v>
      </c>
      <c r="I339" s="43">
        <f>'01_PARÂMETROS'!$B$9</f>
        <v>50</v>
      </c>
      <c r="J339" s="44">
        <f t="shared" si="17"/>
        <v>1.1499999999999999</v>
      </c>
      <c r="K339" s="45">
        <f>MAX('01_PARÂMETROS'!$B$11,MIN('01_PARÂMETROS'!$B$12,J339))</f>
        <v>1.1499999999999999</v>
      </c>
      <c r="L339" s="46">
        <f t="shared" si="18"/>
        <v>0.14999999999999991</v>
      </c>
      <c r="M339" s="47" t="str">
        <f>IF(K339&lt;='01_PARÂMETROS'!$B$14,"Preferencial",IF(K339&lt;='01_PARÂMETROS'!$B$15,"Baixo",IF(K339&lt;='01_PARÂMETROS'!$B$16,"Médio",IF(K339&lt;='01_PARÂMETROS'!$B$17,"Alto","Elevado"))))</f>
        <v>Alto</v>
      </c>
      <c r="N339" s="58" t="s">
        <v>486</v>
      </c>
      <c r="O339" s="54"/>
    </row>
    <row r="340" spans="1:15" ht="13.5" customHeight="1" x14ac:dyDescent="0.25">
      <c r="A340" s="13" t="s">
        <v>1004</v>
      </c>
      <c r="B340" s="49" t="s">
        <v>660</v>
      </c>
      <c r="C340" s="14" t="s">
        <v>1005</v>
      </c>
      <c r="D340" s="50" t="s">
        <v>662</v>
      </c>
      <c r="E340" s="64" t="s">
        <v>566</v>
      </c>
      <c r="F340" s="54" t="s">
        <v>485</v>
      </c>
      <c r="G340" s="54" t="s">
        <v>485</v>
      </c>
      <c r="H340" s="54" t="s">
        <v>485</v>
      </c>
      <c r="I340" s="43">
        <f>'01_PARÂMETROS'!$B$9</f>
        <v>50</v>
      </c>
      <c r="J340" s="44">
        <f t="shared" si="17"/>
        <v>1.1499999999999999</v>
      </c>
      <c r="K340" s="45">
        <f>MAX('01_PARÂMETROS'!$B$11,MIN('01_PARÂMETROS'!$B$12,J340))</f>
        <v>1.1499999999999999</v>
      </c>
      <c r="L340" s="46">
        <f t="shared" si="18"/>
        <v>0.14999999999999991</v>
      </c>
      <c r="M340" s="47" t="str">
        <f>IF(K340&lt;='01_PARÂMETROS'!$B$14,"Preferencial",IF(K340&lt;='01_PARÂMETROS'!$B$15,"Baixo",IF(K340&lt;='01_PARÂMETROS'!$B$16,"Médio",IF(K340&lt;='01_PARÂMETROS'!$B$17,"Alto","Elevado"))))</f>
        <v>Alto</v>
      </c>
      <c r="N340" s="58" t="s">
        <v>486</v>
      </c>
      <c r="O340" s="61"/>
    </row>
    <row r="341" spans="1:15" ht="13.5" customHeight="1" x14ac:dyDescent="0.25">
      <c r="A341" s="24" t="s">
        <v>1006</v>
      </c>
      <c r="B341" s="38" t="s">
        <v>660</v>
      </c>
      <c r="C341" s="25" t="s">
        <v>1007</v>
      </c>
      <c r="D341" s="39" t="s">
        <v>662</v>
      </c>
      <c r="E341" s="64" t="s">
        <v>566</v>
      </c>
      <c r="F341" s="54" t="s">
        <v>485</v>
      </c>
      <c r="G341" s="54" t="s">
        <v>485</v>
      </c>
      <c r="H341" s="54" t="s">
        <v>485</v>
      </c>
      <c r="I341" s="43">
        <f>'01_PARÂMETROS'!$B$9</f>
        <v>50</v>
      </c>
      <c r="J341" s="44">
        <f t="shared" si="17"/>
        <v>1.1499999999999999</v>
      </c>
      <c r="K341" s="45">
        <f>MAX('01_PARÂMETROS'!$B$11,MIN('01_PARÂMETROS'!$B$12,J341))</f>
        <v>1.1499999999999999</v>
      </c>
      <c r="L341" s="46">
        <f t="shared" si="18"/>
        <v>0.14999999999999991</v>
      </c>
      <c r="M341" s="47" t="str">
        <f>IF(K341&lt;='01_PARÂMETROS'!$B$14,"Preferencial",IF(K341&lt;='01_PARÂMETROS'!$B$15,"Baixo",IF(K341&lt;='01_PARÂMETROS'!$B$16,"Médio",IF(K341&lt;='01_PARÂMETROS'!$B$17,"Alto","Elevado"))))</f>
        <v>Alto</v>
      </c>
      <c r="N341" s="58" t="s">
        <v>486</v>
      </c>
      <c r="O341" s="54"/>
    </row>
    <row r="342" spans="1:15" ht="13.5" customHeight="1" x14ac:dyDescent="0.25">
      <c r="A342" s="13" t="s">
        <v>1008</v>
      </c>
      <c r="B342" s="49" t="s">
        <v>660</v>
      </c>
      <c r="C342" s="14" t="s">
        <v>1009</v>
      </c>
      <c r="D342" s="50" t="s">
        <v>662</v>
      </c>
      <c r="E342" s="64" t="s">
        <v>566</v>
      </c>
      <c r="F342" s="54" t="s">
        <v>485</v>
      </c>
      <c r="G342" s="54" t="s">
        <v>485</v>
      </c>
      <c r="H342" s="54" t="s">
        <v>485</v>
      </c>
      <c r="I342" s="43">
        <f>'01_PARÂMETROS'!$B$9</f>
        <v>50</v>
      </c>
      <c r="J342" s="44">
        <f t="shared" si="17"/>
        <v>1.1499999999999999</v>
      </c>
      <c r="K342" s="45">
        <f>MAX('01_PARÂMETROS'!$B$11,MIN('01_PARÂMETROS'!$B$12,J342))</f>
        <v>1.1499999999999999</v>
      </c>
      <c r="L342" s="46">
        <f t="shared" si="18"/>
        <v>0.14999999999999991</v>
      </c>
      <c r="M342" s="47" t="str">
        <f>IF(K342&lt;='01_PARÂMETROS'!$B$14,"Preferencial",IF(K342&lt;='01_PARÂMETROS'!$B$15,"Baixo",IF(K342&lt;='01_PARÂMETROS'!$B$16,"Médio",IF(K342&lt;='01_PARÂMETROS'!$B$17,"Alto","Elevado"))))</f>
        <v>Alto</v>
      </c>
      <c r="N342" s="58" t="s">
        <v>486</v>
      </c>
      <c r="O342" s="61"/>
    </row>
    <row r="343" spans="1:15" ht="13.5" customHeight="1" x14ac:dyDescent="0.25">
      <c r="A343" s="24" t="s">
        <v>1010</v>
      </c>
      <c r="B343" s="38" t="s">
        <v>660</v>
      </c>
      <c r="C343" s="25" t="s">
        <v>1011</v>
      </c>
      <c r="D343" s="39" t="s">
        <v>662</v>
      </c>
      <c r="E343" s="64" t="s">
        <v>566</v>
      </c>
      <c r="F343" s="54" t="s">
        <v>485</v>
      </c>
      <c r="G343" s="54" t="s">
        <v>485</v>
      </c>
      <c r="H343" s="54" t="s">
        <v>485</v>
      </c>
      <c r="I343" s="43">
        <f>'01_PARÂMETROS'!$B$9</f>
        <v>50</v>
      </c>
      <c r="J343" s="44">
        <f t="shared" si="17"/>
        <v>1.1499999999999999</v>
      </c>
      <c r="K343" s="45">
        <f>MAX('01_PARÂMETROS'!$B$11,MIN('01_PARÂMETROS'!$B$12,J343))</f>
        <v>1.1499999999999999</v>
      </c>
      <c r="L343" s="46">
        <f t="shared" si="18"/>
        <v>0.14999999999999991</v>
      </c>
      <c r="M343" s="47" t="str">
        <f>IF(K343&lt;='01_PARÂMETROS'!$B$14,"Preferencial",IF(K343&lt;='01_PARÂMETROS'!$B$15,"Baixo",IF(K343&lt;='01_PARÂMETROS'!$B$16,"Médio",IF(K343&lt;='01_PARÂMETROS'!$B$17,"Alto","Elevado"))))</f>
        <v>Alto</v>
      </c>
      <c r="N343" s="58" t="s">
        <v>486</v>
      </c>
      <c r="O343" s="54"/>
    </row>
    <row r="344" spans="1:15" ht="13.5" customHeight="1" x14ac:dyDescent="0.25">
      <c r="A344" s="13" t="s">
        <v>1012</v>
      </c>
      <c r="B344" s="49" t="s">
        <v>660</v>
      </c>
      <c r="C344" s="14" t="s">
        <v>1013</v>
      </c>
      <c r="D344" s="50" t="s">
        <v>662</v>
      </c>
      <c r="E344" s="64" t="s">
        <v>566</v>
      </c>
      <c r="F344" s="54" t="s">
        <v>485</v>
      </c>
      <c r="G344" s="54" t="s">
        <v>485</v>
      </c>
      <c r="H344" s="54" t="s">
        <v>485</v>
      </c>
      <c r="I344" s="43">
        <f>'01_PARÂMETROS'!$B$9</f>
        <v>50</v>
      </c>
      <c r="J344" s="44">
        <f t="shared" si="17"/>
        <v>1.1499999999999999</v>
      </c>
      <c r="K344" s="45">
        <f>MAX('01_PARÂMETROS'!$B$11,MIN('01_PARÂMETROS'!$B$12,J344))</f>
        <v>1.1499999999999999</v>
      </c>
      <c r="L344" s="46">
        <f t="shared" si="18"/>
        <v>0.14999999999999991</v>
      </c>
      <c r="M344" s="47" t="str">
        <f>IF(K344&lt;='01_PARÂMETROS'!$B$14,"Preferencial",IF(K344&lt;='01_PARÂMETROS'!$B$15,"Baixo",IF(K344&lt;='01_PARÂMETROS'!$B$16,"Médio",IF(K344&lt;='01_PARÂMETROS'!$B$17,"Alto","Elevado"))))</f>
        <v>Alto</v>
      </c>
      <c r="N344" s="58" t="s">
        <v>486</v>
      </c>
      <c r="O344" s="61"/>
    </row>
    <row r="345" spans="1:15" ht="13.5" customHeight="1" x14ac:dyDescent="0.25">
      <c r="A345" s="24" t="s">
        <v>1014</v>
      </c>
      <c r="B345" s="38" t="s">
        <v>660</v>
      </c>
      <c r="C345" s="25" t="s">
        <v>1015</v>
      </c>
      <c r="D345" s="39" t="s">
        <v>662</v>
      </c>
      <c r="E345" s="64" t="s">
        <v>566</v>
      </c>
      <c r="F345" s="54" t="s">
        <v>485</v>
      </c>
      <c r="G345" s="54" t="s">
        <v>485</v>
      </c>
      <c r="H345" s="54" t="s">
        <v>485</v>
      </c>
      <c r="I345" s="43">
        <f>'01_PARÂMETROS'!$B$9</f>
        <v>50</v>
      </c>
      <c r="J345" s="44">
        <f t="shared" si="17"/>
        <v>1.1499999999999999</v>
      </c>
      <c r="K345" s="45">
        <f>MAX('01_PARÂMETROS'!$B$11,MIN('01_PARÂMETROS'!$B$12,J345))</f>
        <v>1.1499999999999999</v>
      </c>
      <c r="L345" s="46">
        <f t="shared" si="18"/>
        <v>0.14999999999999991</v>
      </c>
      <c r="M345" s="47" t="str">
        <f>IF(K345&lt;='01_PARÂMETROS'!$B$14,"Preferencial",IF(K345&lt;='01_PARÂMETROS'!$B$15,"Baixo",IF(K345&lt;='01_PARÂMETROS'!$B$16,"Médio",IF(K345&lt;='01_PARÂMETROS'!$B$17,"Alto","Elevado"))))</f>
        <v>Alto</v>
      </c>
      <c r="N345" s="58" t="s">
        <v>486</v>
      </c>
      <c r="O345" s="54"/>
    </row>
    <row r="346" spans="1:15" ht="13.5" customHeight="1" x14ac:dyDescent="0.25">
      <c r="A346" s="13" t="s">
        <v>1016</v>
      </c>
      <c r="B346" s="49" t="s">
        <v>660</v>
      </c>
      <c r="C346" s="14" t="s">
        <v>1017</v>
      </c>
      <c r="D346" s="50" t="s">
        <v>662</v>
      </c>
      <c r="E346" s="64" t="s">
        <v>566</v>
      </c>
      <c r="F346" s="54" t="s">
        <v>485</v>
      </c>
      <c r="G346" s="54" t="s">
        <v>485</v>
      </c>
      <c r="H346" s="54" t="s">
        <v>485</v>
      </c>
      <c r="I346" s="43">
        <f>'01_PARÂMETROS'!$B$9</f>
        <v>50</v>
      </c>
      <c r="J346" s="44">
        <f t="shared" si="17"/>
        <v>1.1499999999999999</v>
      </c>
      <c r="K346" s="45">
        <f>MAX('01_PARÂMETROS'!$B$11,MIN('01_PARÂMETROS'!$B$12,J346))</f>
        <v>1.1499999999999999</v>
      </c>
      <c r="L346" s="46">
        <f t="shared" si="18"/>
        <v>0.14999999999999991</v>
      </c>
      <c r="M346" s="47" t="str">
        <f>IF(K346&lt;='01_PARÂMETROS'!$B$14,"Preferencial",IF(K346&lt;='01_PARÂMETROS'!$B$15,"Baixo",IF(K346&lt;='01_PARÂMETROS'!$B$16,"Médio",IF(K346&lt;='01_PARÂMETROS'!$B$17,"Alto","Elevado"))))</f>
        <v>Alto</v>
      </c>
      <c r="N346" s="58" t="s">
        <v>486</v>
      </c>
      <c r="O346" s="61"/>
    </row>
    <row r="347" spans="1:15" ht="13.5" customHeight="1" x14ac:dyDescent="0.25">
      <c r="A347" s="24" t="s">
        <v>1018</v>
      </c>
      <c r="B347" s="38" t="s">
        <v>660</v>
      </c>
      <c r="C347" s="25" t="s">
        <v>1019</v>
      </c>
      <c r="D347" s="39" t="s">
        <v>662</v>
      </c>
      <c r="E347" s="64" t="s">
        <v>566</v>
      </c>
      <c r="F347" s="54" t="s">
        <v>485</v>
      </c>
      <c r="G347" s="54" t="s">
        <v>485</v>
      </c>
      <c r="H347" s="54" t="s">
        <v>485</v>
      </c>
      <c r="I347" s="43">
        <f>'01_PARÂMETROS'!$B$9</f>
        <v>50</v>
      </c>
      <c r="J347" s="44">
        <f t="shared" si="17"/>
        <v>1.1499999999999999</v>
      </c>
      <c r="K347" s="45">
        <f>MAX('01_PARÂMETROS'!$B$11,MIN('01_PARÂMETROS'!$B$12,J347))</f>
        <v>1.1499999999999999</v>
      </c>
      <c r="L347" s="46">
        <f t="shared" si="18"/>
        <v>0.14999999999999991</v>
      </c>
      <c r="M347" s="47" t="str">
        <f>IF(K347&lt;='01_PARÂMETROS'!$B$14,"Preferencial",IF(K347&lt;='01_PARÂMETROS'!$B$15,"Baixo",IF(K347&lt;='01_PARÂMETROS'!$B$16,"Médio",IF(K347&lt;='01_PARÂMETROS'!$B$17,"Alto","Elevado"))))</f>
        <v>Alto</v>
      </c>
      <c r="N347" s="58" t="s">
        <v>486</v>
      </c>
      <c r="O347" s="54"/>
    </row>
    <row r="348" spans="1:15" ht="13.5" customHeight="1" x14ac:dyDescent="0.25">
      <c r="A348" s="13" t="s">
        <v>1020</v>
      </c>
      <c r="B348" s="49" t="s">
        <v>660</v>
      </c>
      <c r="C348" s="14" t="s">
        <v>1021</v>
      </c>
      <c r="D348" s="50" t="s">
        <v>662</v>
      </c>
      <c r="E348" s="64" t="s">
        <v>566</v>
      </c>
      <c r="F348" s="54" t="s">
        <v>485</v>
      </c>
      <c r="G348" s="54" t="s">
        <v>485</v>
      </c>
      <c r="H348" s="54" t="s">
        <v>485</v>
      </c>
      <c r="I348" s="43">
        <f>'01_PARÂMETROS'!$B$9</f>
        <v>50</v>
      </c>
      <c r="J348" s="44">
        <f t="shared" si="17"/>
        <v>1.1499999999999999</v>
      </c>
      <c r="K348" s="45">
        <f>MAX('01_PARÂMETROS'!$B$11,MIN('01_PARÂMETROS'!$B$12,J348))</f>
        <v>1.1499999999999999</v>
      </c>
      <c r="L348" s="46">
        <f t="shared" si="18"/>
        <v>0.14999999999999991</v>
      </c>
      <c r="M348" s="47" t="str">
        <f>IF(K348&lt;='01_PARÂMETROS'!$B$14,"Preferencial",IF(K348&lt;='01_PARÂMETROS'!$B$15,"Baixo",IF(K348&lt;='01_PARÂMETROS'!$B$16,"Médio",IF(K348&lt;='01_PARÂMETROS'!$B$17,"Alto","Elevado"))))</f>
        <v>Alto</v>
      </c>
      <c r="N348" s="58" t="s">
        <v>486</v>
      </c>
      <c r="O348" s="61"/>
    </row>
    <row r="349" spans="1:15" ht="13.5" customHeight="1" x14ac:dyDescent="0.25">
      <c r="A349" s="24" t="s">
        <v>1022</v>
      </c>
      <c r="B349" s="38" t="s">
        <v>660</v>
      </c>
      <c r="C349" s="25" t="s">
        <v>1023</v>
      </c>
      <c r="D349" s="39" t="s">
        <v>662</v>
      </c>
      <c r="E349" s="64" t="s">
        <v>566</v>
      </c>
      <c r="F349" s="54" t="s">
        <v>485</v>
      </c>
      <c r="G349" s="54" t="s">
        <v>485</v>
      </c>
      <c r="H349" s="54" t="s">
        <v>485</v>
      </c>
      <c r="I349" s="43">
        <f>'01_PARÂMETROS'!$B$9</f>
        <v>50</v>
      </c>
      <c r="J349" s="44">
        <f t="shared" si="17"/>
        <v>1.1499999999999999</v>
      </c>
      <c r="K349" s="45">
        <f>MAX('01_PARÂMETROS'!$B$11,MIN('01_PARÂMETROS'!$B$12,J349))</f>
        <v>1.1499999999999999</v>
      </c>
      <c r="L349" s="46">
        <f t="shared" si="18"/>
        <v>0.14999999999999991</v>
      </c>
      <c r="M349" s="47" t="str">
        <f>IF(K349&lt;='01_PARÂMETROS'!$B$14,"Preferencial",IF(K349&lt;='01_PARÂMETROS'!$B$15,"Baixo",IF(K349&lt;='01_PARÂMETROS'!$B$16,"Médio",IF(K349&lt;='01_PARÂMETROS'!$B$17,"Alto","Elevado"))))</f>
        <v>Alto</v>
      </c>
      <c r="N349" s="58" t="s">
        <v>486</v>
      </c>
      <c r="O349" s="54"/>
    </row>
    <row r="350" spans="1:15" ht="13.5" customHeight="1" x14ac:dyDescent="0.25">
      <c r="A350" s="13" t="s">
        <v>1024</v>
      </c>
      <c r="B350" s="49" t="s">
        <v>660</v>
      </c>
      <c r="C350" s="14" t="s">
        <v>1025</v>
      </c>
      <c r="D350" s="50" t="s">
        <v>662</v>
      </c>
      <c r="E350" s="40" t="s">
        <v>477</v>
      </c>
      <c r="F350" s="54" t="s">
        <v>485</v>
      </c>
      <c r="G350" s="54" t="s">
        <v>485</v>
      </c>
      <c r="H350" s="54" t="s">
        <v>485</v>
      </c>
      <c r="I350" s="43">
        <f>'01_PARÂMETROS'!$B$9</f>
        <v>50</v>
      </c>
      <c r="J350" s="44">
        <f>1</f>
        <v>1</v>
      </c>
      <c r="K350" s="55">
        <f>MAX('01_PARÂMETROS'!$B$11,MIN('01_PARÂMETROS'!$B$12,J350))</f>
        <v>1</v>
      </c>
      <c r="L350" s="56">
        <f t="shared" si="18"/>
        <v>0</v>
      </c>
      <c r="M350" s="57" t="str">
        <f>IF(K350&lt;='01_PARÂMETROS'!$B$14,"Preferencial",IF(K350&lt;='01_PARÂMETROS'!$B$15,"Baixo",IF(K350&lt;='01_PARÂMETROS'!$B$16,"Médio",IF(K350&lt;='01_PARÂMETROS'!$B$17,"Alto","Elevado"))))</f>
        <v>Médio</v>
      </c>
      <c r="N350" s="58" t="s">
        <v>486</v>
      </c>
      <c r="O350" s="61"/>
    </row>
    <row r="351" spans="1:15" ht="13.5" customHeight="1" x14ac:dyDescent="0.25">
      <c r="A351" s="24" t="s">
        <v>1026</v>
      </c>
      <c r="B351" s="38" t="s">
        <v>660</v>
      </c>
      <c r="C351" s="25" t="s">
        <v>1027</v>
      </c>
      <c r="D351" s="39" t="s">
        <v>662</v>
      </c>
      <c r="E351" s="40" t="s">
        <v>477</v>
      </c>
      <c r="F351" s="54" t="s">
        <v>485</v>
      </c>
      <c r="G351" s="54" t="s">
        <v>485</v>
      </c>
      <c r="H351" s="54" t="s">
        <v>485</v>
      </c>
      <c r="I351" s="43">
        <f>'01_PARÂMETROS'!$B$9</f>
        <v>50</v>
      </c>
      <c r="J351" s="44">
        <f>1</f>
        <v>1</v>
      </c>
      <c r="K351" s="55">
        <f>MAX('01_PARÂMETROS'!$B$11,MIN('01_PARÂMETROS'!$B$12,J351))</f>
        <v>1</v>
      </c>
      <c r="L351" s="56">
        <f t="shared" si="18"/>
        <v>0</v>
      </c>
      <c r="M351" s="57" t="str">
        <f>IF(K351&lt;='01_PARÂMETROS'!$B$14,"Preferencial",IF(K351&lt;='01_PARÂMETROS'!$B$15,"Baixo",IF(K351&lt;='01_PARÂMETROS'!$B$16,"Médio",IF(K351&lt;='01_PARÂMETROS'!$B$17,"Alto","Elevado"))))</f>
        <v>Médio</v>
      </c>
      <c r="N351" s="58" t="s">
        <v>486</v>
      </c>
      <c r="O351" s="54"/>
    </row>
    <row r="352" spans="1:15" ht="13.5" customHeight="1" x14ac:dyDescent="0.25">
      <c r="A352" s="13" t="s">
        <v>1028</v>
      </c>
      <c r="B352" s="49" t="s">
        <v>660</v>
      </c>
      <c r="C352" s="14" t="s">
        <v>1029</v>
      </c>
      <c r="D352" s="50" t="s">
        <v>662</v>
      </c>
      <c r="E352" s="40" t="s">
        <v>477</v>
      </c>
      <c r="F352" s="54" t="s">
        <v>485</v>
      </c>
      <c r="G352" s="54" t="s">
        <v>485</v>
      </c>
      <c r="H352" s="54" t="s">
        <v>485</v>
      </c>
      <c r="I352" s="43">
        <f>'01_PARÂMETROS'!$B$9</f>
        <v>50</v>
      </c>
      <c r="J352" s="44">
        <f>1</f>
        <v>1</v>
      </c>
      <c r="K352" s="55">
        <f>MAX('01_PARÂMETROS'!$B$11,MIN('01_PARÂMETROS'!$B$12,J352))</f>
        <v>1</v>
      </c>
      <c r="L352" s="56">
        <f t="shared" si="18"/>
        <v>0</v>
      </c>
      <c r="M352" s="57" t="str">
        <f>IF(K352&lt;='01_PARÂMETROS'!$B$14,"Preferencial",IF(K352&lt;='01_PARÂMETROS'!$B$15,"Baixo",IF(K352&lt;='01_PARÂMETROS'!$B$16,"Médio",IF(K352&lt;='01_PARÂMETROS'!$B$17,"Alto","Elevado"))))</f>
        <v>Médio</v>
      </c>
      <c r="N352" s="58" t="s">
        <v>486</v>
      </c>
      <c r="O352" s="61"/>
    </row>
    <row r="353" spans="1:15" ht="13.5" customHeight="1" x14ac:dyDescent="0.25">
      <c r="A353" s="24" t="s">
        <v>1030</v>
      </c>
      <c r="B353" s="38" t="s">
        <v>660</v>
      </c>
      <c r="C353" s="25" t="s">
        <v>1031</v>
      </c>
      <c r="D353" s="39" t="s">
        <v>662</v>
      </c>
      <c r="E353" s="40" t="s">
        <v>477</v>
      </c>
      <c r="F353" s="54" t="s">
        <v>485</v>
      </c>
      <c r="G353" s="54" t="s">
        <v>485</v>
      </c>
      <c r="H353" s="54" t="s">
        <v>485</v>
      </c>
      <c r="I353" s="43">
        <f>'01_PARÂMETROS'!$B$9</f>
        <v>50</v>
      </c>
      <c r="J353" s="44">
        <f>1</f>
        <v>1</v>
      </c>
      <c r="K353" s="55">
        <f>MAX('01_PARÂMETROS'!$B$11,MIN('01_PARÂMETROS'!$B$12,J353))</f>
        <v>1</v>
      </c>
      <c r="L353" s="56">
        <f t="shared" si="18"/>
        <v>0</v>
      </c>
      <c r="M353" s="57" t="str">
        <f>IF(K353&lt;='01_PARÂMETROS'!$B$14,"Preferencial",IF(K353&lt;='01_PARÂMETROS'!$B$15,"Baixo",IF(K353&lt;='01_PARÂMETROS'!$B$16,"Médio",IF(K353&lt;='01_PARÂMETROS'!$B$17,"Alto","Elevado"))))</f>
        <v>Médio</v>
      </c>
      <c r="N353" s="58" t="s">
        <v>486</v>
      </c>
      <c r="O353" s="54"/>
    </row>
    <row r="354" spans="1:15" ht="13.5" customHeight="1" x14ac:dyDescent="0.25">
      <c r="A354" s="13" t="s">
        <v>1032</v>
      </c>
      <c r="B354" s="49" t="s">
        <v>660</v>
      </c>
      <c r="C354" s="14" t="s">
        <v>1033</v>
      </c>
      <c r="D354" s="50" t="s">
        <v>662</v>
      </c>
      <c r="E354" s="40" t="s">
        <v>477</v>
      </c>
      <c r="F354" s="54" t="s">
        <v>485</v>
      </c>
      <c r="G354" s="54" t="s">
        <v>485</v>
      </c>
      <c r="H354" s="54" t="s">
        <v>485</v>
      </c>
      <c r="I354" s="43">
        <f>'01_PARÂMETROS'!$B$9</f>
        <v>50</v>
      </c>
      <c r="J354" s="44">
        <f>1</f>
        <v>1</v>
      </c>
      <c r="K354" s="55">
        <f>MAX('01_PARÂMETROS'!$B$11,MIN('01_PARÂMETROS'!$B$12,J354))</f>
        <v>1</v>
      </c>
      <c r="L354" s="56">
        <f t="shared" si="18"/>
        <v>0</v>
      </c>
      <c r="M354" s="57" t="str">
        <f>IF(K354&lt;='01_PARÂMETROS'!$B$14,"Preferencial",IF(K354&lt;='01_PARÂMETROS'!$B$15,"Baixo",IF(K354&lt;='01_PARÂMETROS'!$B$16,"Médio",IF(K354&lt;='01_PARÂMETROS'!$B$17,"Alto","Elevado"))))</f>
        <v>Médio</v>
      </c>
      <c r="N354" s="58" t="s">
        <v>486</v>
      </c>
      <c r="O354" s="61"/>
    </row>
    <row r="355" spans="1:15" ht="13.5" customHeight="1" x14ac:dyDescent="0.25">
      <c r="A355" s="24" t="s">
        <v>1034</v>
      </c>
      <c r="B355" s="38" t="s">
        <v>660</v>
      </c>
      <c r="C355" s="25" t="s">
        <v>1035</v>
      </c>
      <c r="D355" s="39" t="s">
        <v>662</v>
      </c>
      <c r="E355" s="40" t="s">
        <v>477</v>
      </c>
      <c r="F355" s="54" t="s">
        <v>485</v>
      </c>
      <c r="G355" s="54" t="s">
        <v>485</v>
      </c>
      <c r="H355" s="54" t="s">
        <v>485</v>
      </c>
      <c r="I355" s="43">
        <f>'01_PARÂMETROS'!$B$9</f>
        <v>50</v>
      </c>
      <c r="J355" s="44">
        <f>1</f>
        <v>1</v>
      </c>
      <c r="K355" s="55">
        <f>MAX('01_PARÂMETROS'!$B$11,MIN('01_PARÂMETROS'!$B$12,J355))</f>
        <v>1</v>
      </c>
      <c r="L355" s="56">
        <f t="shared" si="18"/>
        <v>0</v>
      </c>
      <c r="M355" s="57" t="str">
        <f>IF(K355&lt;='01_PARÂMETROS'!$B$14,"Preferencial",IF(K355&lt;='01_PARÂMETROS'!$B$15,"Baixo",IF(K355&lt;='01_PARÂMETROS'!$B$16,"Médio",IF(K355&lt;='01_PARÂMETROS'!$B$17,"Alto","Elevado"))))</f>
        <v>Médio</v>
      </c>
      <c r="N355" s="58" t="s">
        <v>486</v>
      </c>
      <c r="O355" s="54"/>
    </row>
    <row r="356" spans="1:15" ht="13.5" customHeight="1" x14ac:dyDescent="0.25">
      <c r="A356" s="13" t="s">
        <v>1036</v>
      </c>
      <c r="B356" s="49" t="s">
        <v>660</v>
      </c>
      <c r="C356" s="14" t="s">
        <v>1037</v>
      </c>
      <c r="D356" s="50" t="s">
        <v>662</v>
      </c>
      <c r="E356" s="40" t="s">
        <v>477</v>
      </c>
      <c r="F356" s="54" t="s">
        <v>485</v>
      </c>
      <c r="G356" s="54" t="s">
        <v>485</v>
      </c>
      <c r="H356" s="54" t="s">
        <v>485</v>
      </c>
      <c r="I356" s="43">
        <f>'01_PARÂMETROS'!$B$9</f>
        <v>50</v>
      </c>
      <c r="J356" s="44">
        <f>1</f>
        <v>1</v>
      </c>
      <c r="K356" s="55">
        <f>MAX('01_PARÂMETROS'!$B$11,MIN('01_PARÂMETROS'!$B$12,J356))</f>
        <v>1</v>
      </c>
      <c r="L356" s="56">
        <f t="shared" si="18"/>
        <v>0</v>
      </c>
      <c r="M356" s="57" t="str">
        <f>IF(K356&lt;='01_PARÂMETROS'!$B$14,"Preferencial",IF(K356&lt;='01_PARÂMETROS'!$B$15,"Baixo",IF(K356&lt;='01_PARÂMETROS'!$B$16,"Médio",IF(K356&lt;='01_PARÂMETROS'!$B$17,"Alto","Elevado"))))</f>
        <v>Médio</v>
      </c>
      <c r="N356" s="58" t="s">
        <v>486</v>
      </c>
      <c r="O356" s="61"/>
    </row>
    <row r="357" spans="1:15" ht="13.5" customHeight="1" x14ac:dyDescent="0.25">
      <c r="A357" s="24" t="s">
        <v>1038</v>
      </c>
      <c r="B357" s="38" t="s">
        <v>660</v>
      </c>
      <c r="C357" s="25" t="s">
        <v>1039</v>
      </c>
      <c r="D357" s="39" t="s">
        <v>662</v>
      </c>
      <c r="E357" s="40" t="s">
        <v>477</v>
      </c>
      <c r="F357" s="54" t="s">
        <v>485</v>
      </c>
      <c r="G357" s="54" t="s">
        <v>485</v>
      </c>
      <c r="H357" s="54" t="s">
        <v>485</v>
      </c>
      <c r="I357" s="43">
        <f>'01_PARÂMETROS'!$B$9</f>
        <v>50</v>
      </c>
      <c r="J357" s="44">
        <f>1</f>
        <v>1</v>
      </c>
      <c r="K357" s="55">
        <f>MAX('01_PARÂMETROS'!$B$11,MIN('01_PARÂMETROS'!$B$12,J357))</f>
        <v>1</v>
      </c>
      <c r="L357" s="56">
        <f t="shared" si="18"/>
        <v>0</v>
      </c>
      <c r="M357" s="57" t="str">
        <f>IF(K357&lt;='01_PARÂMETROS'!$B$14,"Preferencial",IF(K357&lt;='01_PARÂMETROS'!$B$15,"Baixo",IF(K357&lt;='01_PARÂMETROS'!$B$16,"Médio",IF(K357&lt;='01_PARÂMETROS'!$B$17,"Alto","Elevado"))))</f>
        <v>Médio</v>
      </c>
      <c r="N357" s="58" t="s">
        <v>486</v>
      </c>
      <c r="O357" s="54"/>
    </row>
    <row r="358" spans="1:15" ht="13.5" customHeight="1" x14ac:dyDescent="0.25">
      <c r="A358" s="13" t="s">
        <v>1040</v>
      </c>
      <c r="B358" s="49" t="s">
        <v>660</v>
      </c>
      <c r="C358" s="14" t="s">
        <v>1041</v>
      </c>
      <c r="D358" s="50" t="s">
        <v>662</v>
      </c>
      <c r="E358" s="40" t="s">
        <v>477</v>
      </c>
      <c r="F358" s="54" t="s">
        <v>485</v>
      </c>
      <c r="G358" s="54" t="s">
        <v>485</v>
      </c>
      <c r="H358" s="54" t="s">
        <v>485</v>
      </c>
      <c r="I358" s="43">
        <f>'01_PARÂMETROS'!$B$9</f>
        <v>50</v>
      </c>
      <c r="J358" s="44">
        <f>1</f>
        <v>1</v>
      </c>
      <c r="K358" s="55">
        <f>MAX('01_PARÂMETROS'!$B$11,MIN('01_PARÂMETROS'!$B$12,J358))</f>
        <v>1</v>
      </c>
      <c r="L358" s="56">
        <f t="shared" si="18"/>
        <v>0</v>
      </c>
      <c r="M358" s="57" t="str">
        <f>IF(K358&lt;='01_PARÂMETROS'!$B$14,"Preferencial",IF(K358&lt;='01_PARÂMETROS'!$B$15,"Baixo",IF(K358&lt;='01_PARÂMETROS'!$B$16,"Médio",IF(K358&lt;='01_PARÂMETROS'!$B$17,"Alto","Elevado"))))</f>
        <v>Médio</v>
      </c>
      <c r="N358" s="58" t="s">
        <v>486</v>
      </c>
      <c r="O358" s="61"/>
    </row>
    <row r="359" spans="1:15" ht="13.5" customHeight="1" x14ac:dyDescent="0.25">
      <c r="A359" s="24" t="s">
        <v>1042</v>
      </c>
      <c r="B359" s="38" t="s">
        <v>660</v>
      </c>
      <c r="C359" s="25" t="s">
        <v>1043</v>
      </c>
      <c r="D359" s="39" t="s">
        <v>662</v>
      </c>
      <c r="E359" s="40" t="s">
        <v>477</v>
      </c>
      <c r="F359" s="54" t="s">
        <v>485</v>
      </c>
      <c r="G359" s="54" t="s">
        <v>485</v>
      </c>
      <c r="H359" s="54" t="s">
        <v>485</v>
      </c>
      <c r="I359" s="43">
        <f>'01_PARÂMETROS'!$B$9</f>
        <v>50</v>
      </c>
      <c r="J359" s="44">
        <f>1</f>
        <v>1</v>
      </c>
      <c r="K359" s="55">
        <f>MAX('01_PARÂMETROS'!$B$11,MIN('01_PARÂMETROS'!$B$12,J359))</f>
        <v>1</v>
      </c>
      <c r="L359" s="56">
        <f t="shared" si="18"/>
        <v>0</v>
      </c>
      <c r="M359" s="57" t="str">
        <f>IF(K359&lt;='01_PARÂMETROS'!$B$14,"Preferencial",IF(K359&lt;='01_PARÂMETROS'!$B$15,"Baixo",IF(K359&lt;='01_PARÂMETROS'!$B$16,"Médio",IF(K359&lt;='01_PARÂMETROS'!$B$17,"Alto","Elevado"))))</f>
        <v>Médio</v>
      </c>
      <c r="N359" s="58" t="s">
        <v>486</v>
      </c>
      <c r="O359" s="54"/>
    </row>
    <row r="360" spans="1:15" ht="13.5" customHeight="1" x14ac:dyDescent="0.25">
      <c r="A360" s="13" t="s">
        <v>1044</v>
      </c>
      <c r="B360" s="49" t="s">
        <v>660</v>
      </c>
      <c r="C360" s="14" t="s">
        <v>1045</v>
      </c>
      <c r="D360" s="50" t="s">
        <v>662</v>
      </c>
      <c r="E360" s="40" t="s">
        <v>477</v>
      </c>
      <c r="F360" s="54" t="s">
        <v>485</v>
      </c>
      <c r="G360" s="54" t="s">
        <v>485</v>
      </c>
      <c r="H360" s="54" t="s">
        <v>485</v>
      </c>
      <c r="I360" s="43">
        <f>'01_PARÂMETROS'!$B$9</f>
        <v>50</v>
      </c>
      <c r="J360" s="44">
        <f>1</f>
        <v>1</v>
      </c>
      <c r="K360" s="55">
        <f>MAX('01_PARÂMETROS'!$B$11,MIN('01_PARÂMETROS'!$B$12,J360))</f>
        <v>1</v>
      </c>
      <c r="L360" s="56">
        <f t="shared" si="18"/>
        <v>0</v>
      </c>
      <c r="M360" s="57" t="str">
        <f>IF(K360&lt;='01_PARÂMETROS'!$B$14,"Preferencial",IF(K360&lt;='01_PARÂMETROS'!$B$15,"Baixo",IF(K360&lt;='01_PARÂMETROS'!$B$16,"Médio",IF(K360&lt;='01_PARÂMETROS'!$B$17,"Alto","Elevado"))))</f>
        <v>Médio</v>
      </c>
      <c r="N360" s="58" t="s">
        <v>486</v>
      </c>
      <c r="O360" s="61"/>
    </row>
    <row r="361" spans="1:15" ht="13.5" customHeight="1" x14ac:dyDescent="0.25">
      <c r="A361" s="24" t="s">
        <v>1046</v>
      </c>
      <c r="B361" s="38" t="s">
        <v>660</v>
      </c>
      <c r="C361" s="25" t="s">
        <v>1047</v>
      </c>
      <c r="D361" s="39" t="s">
        <v>662</v>
      </c>
      <c r="E361" s="40" t="s">
        <v>477</v>
      </c>
      <c r="F361" s="54" t="s">
        <v>485</v>
      </c>
      <c r="G361" s="54" t="s">
        <v>485</v>
      </c>
      <c r="H361" s="54" t="s">
        <v>485</v>
      </c>
      <c r="I361" s="43">
        <f>'01_PARÂMETROS'!$B$9</f>
        <v>50</v>
      </c>
      <c r="J361" s="44">
        <f>1</f>
        <v>1</v>
      </c>
      <c r="K361" s="55">
        <f>MAX('01_PARÂMETROS'!$B$11,MIN('01_PARÂMETROS'!$B$12,J361))</f>
        <v>1</v>
      </c>
      <c r="L361" s="56">
        <f t="shared" si="18"/>
        <v>0</v>
      </c>
      <c r="M361" s="57" t="str">
        <f>IF(K361&lt;='01_PARÂMETROS'!$B$14,"Preferencial",IF(K361&lt;='01_PARÂMETROS'!$B$15,"Baixo",IF(K361&lt;='01_PARÂMETROS'!$B$16,"Médio",IF(K361&lt;='01_PARÂMETROS'!$B$17,"Alto","Elevado"))))</f>
        <v>Médio</v>
      </c>
      <c r="N361" s="58" t="s">
        <v>486</v>
      </c>
      <c r="O361" s="54"/>
    </row>
    <row r="362" spans="1:15" ht="13.5" customHeight="1" x14ac:dyDescent="0.25">
      <c r="A362" s="13" t="s">
        <v>1048</v>
      </c>
      <c r="B362" s="49" t="s">
        <v>660</v>
      </c>
      <c r="C362" s="14" t="s">
        <v>1049</v>
      </c>
      <c r="D362" s="50" t="s">
        <v>662</v>
      </c>
      <c r="E362" s="40" t="s">
        <v>477</v>
      </c>
      <c r="F362" s="54" t="s">
        <v>485</v>
      </c>
      <c r="G362" s="54" t="s">
        <v>485</v>
      </c>
      <c r="H362" s="54" t="s">
        <v>485</v>
      </c>
      <c r="I362" s="43">
        <f>'01_PARÂMETROS'!$B$9</f>
        <v>50</v>
      </c>
      <c r="J362" s="44">
        <f>1</f>
        <v>1</v>
      </c>
      <c r="K362" s="55">
        <f>MAX('01_PARÂMETROS'!$B$11,MIN('01_PARÂMETROS'!$B$12,J362))</f>
        <v>1</v>
      </c>
      <c r="L362" s="56">
        <f t="shared" si="18"/>
        <v>0</v>
      </c>
      <c r="M362" s="57" t="str">
        <f>IF(K362&lt;='01_PARÂMETROS'!$B$14,"Preferencial",IF(K362&lt;='01_PARÂMETROS'!$B$15,"Baixo",IF(K362&lt;='01_PARÂMETROS'!$B$16,"Médio",IF(K362&lt;='01_PARÂMETROS'!$B$17,"Alto","Elevado"))))</f>
        <v>Médio</v>
      </c>
      <c r="N362" s="58" t="s">
        <v>486</v>
      </c>
      <c r="O362" s="61"/>
    </row>
    <row r="363" spans="1:15" ht="13.5" customHeight="1" x14ac:dyDescent="0.25">
      <c r="A363" s="24" t="s">
        <v>1050</v>
      </c>
      <c r="B363" s="38" t="s">
        <v>660</v>
      </c>
      <c r="C363" s="25" t="s">
        <v>1051</v>
      </c>
      <c r="D363" s="39" t="s">
        <v>662</v>
      </c>
      <c r="E363" s="40" t="s">
        <v>477</v>
      </c>
      <c r="F363" s="54" t="s">
        <v>485</v>
      </c>
      <c r="G363" s="54" t="s">
        <v>485</v>
      </c>
      <c r="H363" s="54" t="s">
        <v>485</v>
      </c>
      <c r="I363" s="43">
        <f>'01_PARÂMETROS'!$B$9</f>
        <v>50</v>
      </c>
      <c r="J363" s="44">
        <f>1</f>
        <v>1</v>
      </c>
      <c r="K363" s="55">
        <f>MAX('01_PARÂMETROS'!$B$11,MIN('01_PARÂMETROS'!$B$12,J363))</f>
        <v>1</v>
      </c>
      <c r="L363" s="56">
        <f t="shared" si="18"/>
        <v>0</v>
      </c>
      <c r="M363" s="57" t="str">
        <f>IF(K363&lt;='01_PARÂMETROS'!$B$14,"Preferencial",IF(K363&lt;='01_PARÂMETROS'!$B$15,"Baixo",IF(K363&lt;='01_PARÂMETROS'!$B$16,"Médio",IF(K363&lt;='01_PARÂMETROS'!$B$17,"Alto","Elevado"))))</f>
        <v>Médio</v>
      </c>
      <c r="N363" s="58" t="s">
        <v>486</v>
      </c>
      <c r="O363" s="54"/>
    </row>
    <row r="364" spans="1:15" ht="13.5" customHeight="1" x14ac:dyDescent="0.25">
      <c r="A364" s="13" t="s">
        <v>1052</v>
      </c>
      <c r="B364" s="49" t="s">
        <v>660</v>
      </c>
      <c r="C364" s="14" t="s">
        <v>1053</v>
      </c>
      <c r="D364" s="50" t="s">
        <v>662</v>
      </c>
      <c r="E364" s="40" t="s">
        <v>477</v>
      </c>
      <c r="F364" s="54" t="s">
        <v>485</v>
      </c>
      <c r="G364" s="54" t="s">
        <v>485</v>
      </c>
      <c r="H364" s="54" t="s">
        <v>485</v>
      </c>
      <c r="I364" s="43">
        <f>'01_PARÂMETROS'!$B$9</f>
        <v>50</v>
      </c>
      <c r="J364" s="44">
        <f>1</f>
        <v>1</v>
      </c>
      <c r="K364" s="55">
        <f>MAX('01_PARÂMETROS'!$B$11,MIN('01_PARÂMETROS'!$B$12,J364))</f>
        <v>1</v>
      </c>
      <c r="L364" s="56">
        <f t="shared" si="18"/>
        <v>0</v>
      </c>
      <c r="M364" s="57" t="str">
        <f>IF(K364&lt;='01_PARÂMETROS'!$B$14,"Preferencial",IF(K364&lt;='01_PARÂMETROS'!$B$15,"Baixo",IF(K364&lt;='01_PARÂMETROS'!$B$16,"Médio",IF(K364&lt;='01_PARÂMETROS'!$B$17,"Alto","Elevado"))))</f>
        <v>Médio</v>
      </c>
      <c r="N364" s="58" t="s">
        <v>486</v>
      </c>
      <c r="O364" s="61"/>
    </row>
    <row r="365" spans="1:15" ht="13.5" customHeight="1" x14ac:dyDescent="0.25">
      <c r="A365" s="24" t="s">
        <v>1054</v>
      </c>
      <c r="B365" s="38" t="s">
        <v>660</v>
      </c>
      <c r="C365" s="25" t="s">
        <v>1055</v>
      </c>
      <c r="D365" s="39" t="s">
        <v>662</v>
      </c>
      <c r="E365" s="40" t="s">
        <v>477</v>
      </c>
      <c r="F365" s="54" t="s">
        <v>485</v>
      </c>
      <c r="G365" s="54" t="s">
        <v>485</v>
      </c>
      <c r="H365" s="54" t="s">
        <v>485</v>
      </c>
      <c r="I365" s="43">
        <f>'01_PARÂMETROS'!$B$9</f>
        <v>50</v>
      </c>
      <c r="J365" s="44">
        <f>1</f>
        <v>1</v>
      </c>
      <c r="K365" s="55">
        <f>MAX('01_PARÂMETROS'!$B$11,MIN('01_PARÂMETROS'!$B$12,J365))</f>
        <v>1</v>
      </c>
      <c r="L365" s="56">
        <f t="shared" si="18"/>
        <v>0</v>
      </c>
      <c r="M365" s="57" t="str">
        <f>IF(K365&lt;='01_PARÂMETROS'!$B$14,"Preferencial",IF(K365&lt;='01_PARÂMETROS'!$B$15,"Baixo",IF(K365&lt;='01_PARÂMETROS'!$B$16,"Médio",IF(K365&lt;='01_PARÂMETROS'!$B$17,"Alto","Elevado"))))</f>
        <v>Médio</v>
      </c>
      <c r="N365" s="58" t="s">
        <v>486</v>
      </c>
      <c r="O365" s="54"/>
    </row>
    <row r="366" spans="1:15" ht="13.5" customHeight="1" x14ac:dyDescent="0.25">
      <c r="A366" s="13" t="s">
        <v>1056</v>
      </c>
      <c r="B366" s="49" t="s">
        <v>660</v>
      </c>
      <c r="C366" s="14" t="s">
        <v>1057</v>
      </c>
      <c r="D366" s="50" t="s">
        <v>662</v>
      </c>
      <c r="E366" s="64" t="s">
        <v>566</v>
      </c>
      <c r="F366" s="54" t="s">
        <v>485</v>
      </c>
      <c r="G366" s="54" t="s">
        <v>485</v>
      </c>
      <c r="H366" s="54" t="s">
        <v>485</v>
      </c>
      <c r="I366" s="43">
        <f>'01_PARÂMETROS'!$B$9</f>
        <v>50</v>
      </c>
      <c r="J366" s="44">
        <f t="shared" ref="J366:J397" si="19">1.15</f>
        <v>1.1499999999999999</v>
      </c>
      <c r="K366" s="45">
        <f>MAX('01_PARÂMETROS'!$B$11,MIN('01_PARÂMETROS'!$B$12,J366))</f>
        <v>1.1499999999999999</v>
      </c>
      <c r="L366" s="46">
        <f t="shared" si="18"/>
        <v>0.14999999999999991</v>
      </c>
      <c r="M366" s="47" t="str">
        <f>IF(K366&lt;='01_PARÂMETROS'!$B$14,"Preferencial",IF(K366&lt;='01_PARÂMETROS'!$B$15,"Baixo",IF(K366&lt;='01_PARÂMETROS'!$B$16,"Médio",IF(K366&lt;='01_PARÂMETROS'!$B$17,"Alto","Elevado"))))</f>
        <v>Alto</v>
      </c>
      <c r="N366" s="58" t="s">
        <v>486</v>
      </c>
      <c r="O366" s="61"/>
    </row>
    <row r="367" spans="1:15" ht="13.5" customHeight="1" x14ac:dyDescent="0.25">
      <c r="A367" s="24" t="s">
        <v>1058</v>
      </c>
      <c r="B367" s="38" t="s">
        <v>660</v>
      </c>
      <c r="C367" s="25" t="s">
        <v>1059</v>
      </c>
      <c r="D367" s="39" t="s">
        <v>662</v>
      </c>
      <c r="E367" s="64" t="s">
        <v>566</v>
      </c>
      <c r="F367" s="54" t="s">
        <v>485</v>
      </c>
      <c r="G367" s="54" t="s">
        <v>485</v>
      </c>
      <c r="H367" s="54" t="s">
        <v>485</v>
      </c>
      <c r="I367" s="43">
        <f>'01_PARÂMETROS'!$B$9</f>
        <v>50</v>
      </c>
      <c r="J367" s="44">
        <f t="shared" si="19"/>
        <v>1.1499999999999999</v>
      </c>
      <c r="K367" s="45">
        <f>MAX('01_PARÂMETROS'!$B$11,MIN('01_PARÂMETROS'!$B$12,J367))</f>
        <v>1.1499999999999999</v>
      </c>
      <c r="L367" s="46">
        <f t="shared" si="18"/>
        <v>0.14999999999999991</v>
      </c>
      <c r="M367" s="47" t="str">
        <f>IF(K367&lt;='01_PARÂMETROS'!$B$14,"Preferencial",IF(K367&lt;='01_PARÂMETROS'!$B$15,"Baixo",IF(K367&lt;='01_PARÂMETROS'!$B$16,"Médio",IF(K367&lt;='01_PARÂMETROS'!$B$17,"Alto","Elevado"))))</f>
        <v>Alto</v>
      </c>
      <c r="N367" s="58" t="s">
        <v>486</v>
      </c>
      <c r="O367" s="54"/>
    </row>
    <row r="368" spans="1:15" ht="13.5" customHeight="1" x14ac:dyDescent="0.25">
      <c r="A368" s="13" t="s">
        <v>1060</v>
      </c>
      <c r="B368" s="49" t="s">
        <v>660</v>
      </c>
      <c r="C368" s="14" t="s">
        <v>1061</v>
      </c>
      <c r="D368" s="50" t="s">
        <v>662</v>
      </c>
      <c r="E368" s="64" t="s">
        <v>566</v>
      </c>
      <c r="F368" s="54" t="s">
        <v>485</v>
      </c>
      <c r="G368" s="54" t="s">
        <v>485</v>
      </c>
      <c r="H368" s="54" t="s">
        <v>485</v>
      </c>
      <c r="I368" s="43">
        <f>'01_PARÂMETROS'!$B$9</f>
        <v>50</v>
      </c>
      <c r="J368" s="44">
        <f t="shared" si="19"/>
        <v>1.1499999999999999</v>
      </c>
      <c r="K368" s="45">
        <f>MAX('01_PARÂMETROS'!$B$11,MIN('01_PARÂMETROS'!$B$12,J368))</f>
        <v>1.1499999999999999</v>
      </c>
      <c r="L368" s="46">
        <f t="shared" si="18"/>
        <v>0.14999999999999991</v>
      </c>
      <c r="M368" s="47" t="str">
        <f>IF(K368&lt;='01_PARÂMETROS'!$B$14,"Preferencial",IF(K368&lt;='01_PARÂMETROS'!$B$15,"Baixo",IF(K368&lt;='01_PARÂMETROS'!$B$16,"Médio",IF(K368&lt;='01_PARÂMETROS'!$B$17,"Alto","Elevado"))))</f>
        <v>Alto</v>
      </c>
      <c r="N368" s="58" t="s">
        <v>486</v>
      </c>
      <c r="O368" s="61"/>
    </row>
    <row r="369" spans="1:15" ht="13.5" customHeight="1" x14ac:dyDescent="0.25">
      <c r="A369" s="24" t="s">
        <v>1062</v>
      </c>
      <c r="B369" s="38" t="s">
        <v>660</v>
      </c>
      <c r="C369" s="25" t="s">
        <v>1063</v>
      </c>
      <c r="D369" s="39" t="s">
        <v>662</v>
      </c>
      <c r="E369" s="64" t="s">
        <v>566</v>
      </c>
      <c r="F369" s="54" t="s">
        <v>485</v>
      </c>
      <c r="G369" s="54" t="s">
        <v>485</v>
      </c>
      <c r="H369" s="54" t="s">
        <v>485</v>
      </c>
      <c r="I369" s="43">
        <f>'01_PARÂMETROS'!$B$9</f>
        <v>50</v>
      </c>
      <c r="J369" s="44">
        <f t="shared" si="19"/>
        <v>1.1499999999999999</v>
      </c>
      <c r="K369" s="45">
        <f>MAX('01_PARÂMETROS'!$B$11,MIN('01_PARÂMETROS'!$B$12,J369))</f>
        <v>1.1499999999999999</v>
      </c>
      <c r="L369" s="46">
        <f t="shared" si="18"/>
        <v>0.14999999999999991</v>
      </c>
      <c r="M369" s="47" t="str">
        <f>IF(K369&lt;='01_PARÂMETROS'!$B$14,"Preferencial",IF(K369&lt;='01_PARÂMETROS'!$B$15,"Baixo",IF(K369&lt;='01_PARÂMETROS'!$B$16,"Médio",IF(K369&lt;='01_PARÂMETROS'!$B$17,"Alto","Elevado"))))</f>
        <v>Alto</v>
      </c>
      <c r="N369" s="58" t="s">
        <v>486</v>
      </c>
      <c r="O369" s="54"/>
    </row>
    <row r="370" spans="1:15" ht="13.5" customHeight="1" x14ac:dyDescent="0.25">
      <c r="A370" s="13" t="s">
        <v>1064</v>
      </c>
      <c r="B370" s="49" t="s">
        <v>660</v>
      </c>
      <c r="C370" s="14" t="s">
        <v>1065</v>
      </c>
      <c r="D370" s="50" t="s">
        <v>662</v>
      </c>
      <c r="E370" s="64" t="s">
        <v>566</v>
      </c>
      <c r="F370" s="54" t="s">
        <v>485</v>
      </c>
      <c r="G370" s="54" t="s">
        <v>485</v>
      </c>
      <c r="H370" s="54" t="s">
        <v>485</v>
      </c>
      <c r="I370" s="43">
        <f>'01_PARÂMETROS'!$B$9</f>
        <v>50</v>
      </c>
      <c r="J370" s="44">
        <f t="shared" si="19"/>
        <v>1.1499999999999999</v>
      </c>
      <c r="K370" s="45">
        <f>MAX('01_PARÂMETROS'!$B$11,MIN('01_PARÂMETROS'!$B$12,J370))</f>
        <v>1.1499999999999999</v>
      </c>
      <c r="L370" s="46">
        <f t="shared" si="18"/>
        <v>0.14999999999999991</v>
      </c>
      <c r="M370" s="47" t="str">
        <f>IF(K370&lt;='01_PARÂMETROS'!$B$14,"Preferencial",IF(K370&lt;='01_PARÂMETROS'!$B$15,"Baixo",IF(K370&lt;='01_PARÂMETROS'!$B$16,"Médio",IF(K370&lt;='01_PARÂMETROS'!$B$17,"Alto","Elevado"))))</f>
        <v>Alto</v>
      </c>
      <c r="N370" s="58" t="s">
        <v>486</v>
      </c>
      <c r="O370" s="61"/>
    </row>
    <row r="371" spans="1:15" ht="13.5" customHeight="1" x14ac:dyDescent="0.25">
      <c r="A371" s="24" t="s">
        <v>1066</v>
      </c>
      <c r="B371" s="38" t="s">
        <v>660</v>
      </c>
      <c r="C371" s="25" t="s">
        <v>1067</v>
      </c>
      <c r="D371" s="39" t="s">
        <v>662</v>
      </c>
      <c r="E371" s="64" t="s">
        <v>566</v>
      </c>
      <c r="F371" s="54" t="s">
        <v>485</v>
      </c>
      <c r="G371" s="54" t="s">
        <v>485</v>
      </c>
      <c r="H371" s="54" t="s">
        <v>485</v>
      </c>
      <c r="I371" s="43">
        <f>'01_PARÂMETROS'!$B$9</f>
        <v>50</v>
      </c>
      <c r="J371" s="44">
        <f t="shared" si="19"/>
        <v>1.1499999999999999</v>
      </c>
      <c r="K371" s="45">
        <f>MAX('01_PARÂMETROS'!$B$11,MIN('01_PARÂMETROS'!$B$12,J371))</f>
        <v>1.1499999999999999</v>
      </c>
      <c r="L371" s="46">
        <f t="shared" si="18"/>
        <v>0.14999999999999991</v>
      </c>
      <c r="M371" s="47" t="str">
        <f>IF(K371&lt;='01_PARÂMETROS'!$B$14,"Preferencial",IF(K371&lt;='01_PARÂMETROS'!$B$15,"Baixo",IF(K371&lt;='01_PARÂMETROS'!$B$16,"Médio",IF(K371&lt;='01_PARÂMETROS'!$B$17,"Alto","Elevado"))))</f>
        <v>Alto</v>
      </c>
      <c r="N371" s="58" t="s">
        <v>486</v>
      </c>
      <c r="O371" s="54"/>
    </row>
    <row r="372" spans="1:15" ht="13.5" customHeight="1" x14ac:dyDescent="0.25">
      <c r="A372" s="13" t="s">
        <v>1068</v>
      </c>
      <c r="B372" s="49" t="s">
        <v>660</v>
      </c>
      <c r="C372" s="14" t="s">
        <v>1069</v>
      </c>
      <c r="D372" s="50" t="s">
        <v>662</v>
      </c>
      <c r="E372" s="64" t="s">
        <v>566</v>
      </c>
      <c r="F372" s="54" t="s">
        <v>485</v>
      </c>
      <c r="G372" s="54" t="s">
        <v>485</v>
      </c>
      <c r="H372" s="54" t="s">
        <v>485</v>
      </c>
      <c r="I372" s="43">
        <f>'01_PARÂMETROS'!$B$9</f>
        <v>50</v>
      </c>
      <c r="J372" s="44">
        <f t="shared" si="19"/>
        <v>1.1499999999999999</v>
      </c>
      <c r="K372" s="45">
        <f>MAX('01_PARÂMETROS'!$B$11,MIN('01_PARÂMETROS'!$B$12,J372))</f>
        <v>1.1499999999999999</v>
      </c>
      <c r="L372" s="46">
        <f t="shared" si="18"/>
        <v>0.14999999999999991</v>
      </c>
      <c r="M372" s="47" t="str">
        <f>IF(K372&lt;='01_PARÂMETROS'!$B$14,"Preferencial",IF(K372&lt;='01_PARÂMETROS'!$B$15,"Baixo",IF(K372&lt;='01_PARÂMETROS'!$B$16,"Médio",IF(K372&lt;='01_PARÂMETROS'!$B$17,"Alto","Elevado"))))</f>
        <v>Alto</v>
      </c>
      <c r="N372" s="58" t="s">
        <v>486</v>
      </c>
      <c r="O372" s="61"/>
    </row>
    <row r="373" spans="1:15" ht="13.5" customHeight="1" x14ac:dyDescent="0.25">
      <c r="A373" s="24" t="s">
        <v>1070</v>
      </c>
      <c r="B373" s="38" t="s">
        <v>660</v>
      </c>
      <c r="C373" s="25" t="s">
        <v>1071</v>
      </c>
      <c r="D373" s="39" t="s">
        <v>662</v>
      </c>
      <c r="E373" s="64" t="s">
        <v>566</v>
      </c>
      <c r="F373" s="54" t="s">
        <v>485</v>
      </c>
      <c r="G373" s="54" t="s">
        <v>485</v>
      </c>
      <c r="H373" s="54" t="s">
        <v>485</v>
      </c>
      <c r="I373" s="43">
        <f>'01_PARÂMETROS'!$B$9</f>
        <v>50</v>
      </c>
      <c r="J373" s="44">
        <f t="shared" si="19"/>
        <v>1.1499999999999999</v>
      </c>
      <c r="K373" s="45">
        <f>MAX('01_PARÂMETROS'!$B$11,MIN('01_PARÂMETROS'!$B$12,J373))</f>
        <v>1.1499999999999999</v>
      </c>
      <c r="L373" s="46">
        <f t="shared" si="18"/>
        <v>0.14999999999999991</v>
      </c>
      <c r="M373" s="47" t="str">
        <f>IF(K373&lt;='01_PARÂMETROS'!$B$14,"Preferencial",IF(K373&lt;='01_PARÂMETROS'!$B$15,"Baixo",IF(K373&lt;='01_PARÂMETROS'!$B$16,"Médio",IF(K373&lt;='01_PARÂMETROS'!$B$17,"Alto","Elevado"))))</f>
        <v>Alto</v>
      </c>
      <c r="N373" s="58" t="s">
        <v>486</v>
      </c>
      <c r="O373" s="54"/>
    </row>
    <row r="374" spans="1:15" ht="13.5" customHeight="1" x14ac:dyDescent="0.25">
      <c r="A374" s="13" t="s">
        <v>1072</v>
      </c>
      <c r="B374" s="49" t="s">
        <v>660</v>
      </c>
      <c r="C374" s="14" t="s">
        <v>1073</v>
      </c>
      <c r="D374" s="50" t="s">
        <v>662</v>
      </c>
      <c r="E374" s="64" t="s">
        <v>566</v>
      </c>
      <c r="F374" s="54" t="s">
        <v>485</v>
      </c>
      <c r="G374" s="54" t="s">
        <v>485</v>
      </c>
      <c r="H374" s="54" t="s">
        <v>485</v>
      </c>
      <c r="I374" s="43">
        <f>'01_PARÂMETROS'!$B$9</f>
        <v>50</v>
      </c>
      <c r="J374" s="44">
        <f t="shared" si="19"/>
        <v>1.1499999999999999</v>
      </c>
      <c r="K374" s="45">
        <f>MAX('01_PARÂMETROS'!$B$11,MIN('01_PARÂMETROS'!$B$12,J374))</f>
        <v>1.1499999999999999</v>
      </c>
      <c r="L374" s="46">
        <f t="shared" si="18"/>
        <v>0.14999999999999991</v>
      </c>
      <c r="M374" s="47" t="str">
        <f>IF(K374&lt;='01_PARÂMETROS'!$B$14,"Preferencial",IF(K374&lt;='01_PARÂMETROS'!$B$15,"Baixo",IF(K374&lt;='01_PARÂMETROS'!$B$16,"Médio",IF(K374&lt;='01_PARÂMETROS'!$B$17,"Alto","Elevado"))))</f>
        <v>Alto</v>
      </c>
      <c r="N374" s="58" t="s">
        <v>486</v>
      </c>
      <c r="O374" s="61"/>
    </row>
    <row r="375" spans="1:15" ht="13.5" customHeight="1" x14ac:dyDescent="0.25">
      <c r="A375" s="24" t="s">
        <v>1074</v>
      </c>
      <c r="B375" s="38" t="s">
        <v>660</v>
      </c>
      <c r="C375" s="25" t="s">
        <v>1075</v>
      </c>
      <c r="D375" s="39" t="s">
        <v>662</v>
      </c>
      <c r="E375" s="64" t="s">
        <v>566</v>
      </c>
      <c r="F375" s="54" t="s">
        <v>485</v>
      </c>
      <c r="G375" s="54" t="s">
        <v>485</v>
      </c>
      <c r="H375" s="54" t="s">
        <v>485</v>
      </c>
      <c r="I375" s="43">
        <f>'01_PARÂMETROS'!$B$9</f>
        <v>50</v>
      </c>
      <c r="J375" s="44">
        <f t="shared" si="19"/>
        <v>1.1499999999999999</v>
      </c>
      <c r="K375" s="45">
        <f>MAX('01_PARÂMETROS'!$B$11,MIN('01_PARÂMETROS'!$B$12,J375))</f>
        <v>1.1499999999999999</v>
      </c>
      <c r="L375" s="46">
        <f t="shared" si="18"/>
        <v>0.14999999999999991</v>
      </c>
      <c r="M375" s="47" t="str">
        <f>IF(K375&lt;='01_PARÂMETROS'!$B$14,"Preferencial",IF(K375&lt;='01_PARÂMETROS'!$B$15,"Baixo",IF(K375&lt;='01_PARÂMETROS'!$B$16,"Médio",IF(K375&lt;='01_PARÂMETROS'!$B$17,"Alto","Elevado"))))</f>
        <v>Alto</v>
      </c>
      <c r="N375" s="58" t="s">
        <v>486</v>
      </c>
      <c r="O375" s="54"/>
    </row>
    <row r="376" spans="1:15" ht="13.5" customHeight="1" x14ac:dyDescent="0.25">
      <c r="A376" s="13" t="s">
        <v>1076</v>
      </c>
      <c r="B376" s="49" t="s">
        <v>660</v>
      </c>
      <c r="C376" s="14" t="s">
        <v>1077</v>
      </c>
      <c r="D376" s="50" t="s">
        <v>662</v>
      </c>
      <c r="E376" s="64" t="s">
        <v>566</v>
      </c>
      <c r="F376" s="54" t="s">
        <v>485</v>
      </c>
      <c r="G376" s="54" t="s">
        <v>485</v>
      </c>
      <c r="H376" s="54" t="s">
        <v>485</v>
      </c>
      <c r="I376" s="43">
        <f>'01_PARÂMETROS'!$B$9</f>
        <v>50</v>
      </c>
      <c r="J376" s="44">
        <f t="shared" si="19"/>
        <v>1.1499999999999999</v>
      </c>
      <c r="K376" s="45">
        <f>MAX('01_PARÂMETROS'!$B$11,MIN('01_PARÂMETROS'!$B$12,J376))</f>
        <v>1.1499999999999999</v>
      </c>
      <c r="L376" s="46">
        <f t="shared" si="18"/>
        <v>0.14999999999999991</v>
      </c>
      <c r="M376" s="47" t="str">
        <f>IF(K376&lt;='01_PARÂMETROS'!$B$14,"Preferencial",IF(K376&lt;='01_PARÂMETROS'!$B$15,"Baixo",IF(K376&lt;='01_PARÂMETROS'!$B$16,"Médio",IF(K376&lt;='01_PARÂMETROS'!$B$17,"Alto","Elevado"))))</f>
        <v>Alto</v>
      </c>
      <c r="N376" s="58" t="s">
        <v>486</v>
      </c>
      <c r="O376" s="61"/>
    </row>
    <row r="377" spans="1:15" ht="13.5" customHeight="1" x14ac:dyDescent="0.25">
      <c r="A377" s="24" t="s">
        <v>1078</v>
      </c>
      <c r="B377" s="38" t="s">
        <v>660</v>
      </c>
      <c r="C377" s="25" t="s">
        <v>1079</v>
      </c>
      <c r="D377" s="39" t="s">
        <v>662</v>
      </c>
      <c r="E377" s="64" t="s">
        <v>566</v>
      </c>
      <c r="F377" s="54" t="s">
        <v>485</v>
      </c>
      <c r="G377" s="54" t="s">
        <v>485</v>
      </c>
      <c r="H377" s="54" t="s">
        <v>485</v>
      </c>
      <c r="I377" s="43">
        <f>'01_PARÂMETROS'!$B$9</f>
        <v>50</v>
      </c>
      <c r="J377" s="44">
        <f t="shared" si="19"/>
        <v>1.1499999999999999</v>
      </c>
      <c r="K377" s="45">
        <f>MAX('01_PARÂMETROS'!$B$11,MIN('01_PARÂMETROS'!$B$12,J377))</f>
        <v>1.1499999999999999</v>
      </c>
      <c r="L377" s="46">
        <f t="shared" si="18"/>
        <v>0.14999999999999991</v>
      </c>
      <c r="M377" s="47" t="str">
        <f>IF(K377&lt;='01_PARÂMETROS'!$B$14,"Preferencial",IF(K377&lt;='01_PARÂMETROS'!$B$15,"Baixo",IF(K377&lt;='01_PARÂMETROS'!$B$16,"Médio",IF(K377&lt;='01_PARÂMETROS'!$B$17,"Alto","Elevado"))))</f>
        <v>Alto</v>
      </c>
      <c r="N377" s="58" t="s">
        <v>486</v>
      </c>
      <c r="O377" s="54"/>
    </row>
    <row r="378" spans="1:15" ht="13.5" customHeight="1" x14ac:dyDescent="0.25">
      <c r="A378" s="13" t="s">
        <v>1080</v>
      </c>
      <c r="B378" s="49" t="s">
        <v>660</v>
      </c>
      <c r="C378" s="14" t="s">
        <v>1081</v>
      </c>
      <c r="D378" s="50" t="s">
        <v>662</v>
      </c>
      <c r="E378" s="64" t="s">
        <v>566</v>
      </c>
      <c r="F378" s="54" t="s">
        <v>485</v>
      </c>
      <c r="G378" s="54" t="s">
        <v>485</v>
      </c>
      <c r="H378" s="54" t="s">
        <v>485</v>
      </c>
      <c r="I378" s="43">
        <f>'01_PARÂMETROS'!$B$9</f>
        <v>50</v>
      </c>
      <c r="J378" s="44">
        <f t="shared" si="19"/>
        <v>1.1499999999999999</v>
      </c>
      <c r="K378" s="45">
        <f>MAX('01_PARÂMETROS'!$B$11,MIN('01_PARÂMETROS'!$B$12,J378))</f>
        <v>1.1499999999999999</v>
      </c>
      <c r="L378" s="46">
        <f t="shared" si="18"/>
        <v>0.14999999999999991</v>
      </c>
      <c r="M378" s="47" t="str">
        <f>IF(K378&lt;='01_PARÂMETROS'!$B$14,"Preferencial",IF(K378&lt;='01_PARÂMETROS'!$B$15,"Baixo",IF(K378&lt;='01_PARÂMETROS'!$B$16,"Médio",IF(K378&lt;='01_PARÂMETROS'!$B$17,"Alto","Elevado"))))</f>
        <v>Alto</v>
      </c>
      <c r="N378" s="58" t="s">
        <v>486</v>
      </c>
      <c r="O378" s="61"/>
    </row>
    <row r="379" spans="1:15" ht="13.5" customHeight="1" x14ac:dyDescent="0.25">
      <c r="A379" s="24" t="s">
        <v>1082</v>
      </c>
      <c r="B379" s="38" t="s">
        <v>660</v>
      </c>
      <c r="C379" s="25" t="s">
        <v>1083</v>
      </c>
      <c r="D379" s="39" t="s">
        <v>662</v>
      </c>
      <c r="E379" s="64" t="s">
        <v>566</v>
      </c>
      <c r="F379" s="54" t="s">
        <v>485</v>
      </c>
      <c r="G379" s="54" t="s">
        <v>485</v>
      </c>
      <c r="H379" s="54" t="s">
        <v>485</v>
      </c>
      <c r="I379" s="43">
        <f>'01_PARÂMETROS'!$B$9</f>
        <v>50</v>
      </c>
      <c r="J379" s="44">
        <f t="shared" si="19"/>
        <v>1.1499999999999999</v>
      </c>
      <c r="K379" s="45">
        <f>MAX('01_PARÂMETROS'!$B$11,MIN('01_PARÂMETROS'!$B$12,J379))</f>
        <v>1.1499999999999999</v>
      </c>
      <c r="L379" s="46">
        <f t="shared" si="18"/>
        <v>0.14999999999999991</v>
      </c>
      <c r="M379" s="47" t="str">
        <f>IF(K379&lt;='01_PARÂMETROS'!$B$14,"Preferencial",IF(K379&lt;='01_PARÂMETROS'!$B$15,"Baixo",IF(K379&lt;='01_PARÂMETROS'!$B$16,"Médio",IF(K379&lt;='01_PARÂMETROS'!$B$17,"Alto","Elevado"))))</f>
        <v>Alto</v>
      </c>
      <c r="N379" s="58" t="s">
        <v>486</v>
      </c>
      <c r="O379" s="54"/>
    </row>
    <row r="380" spans="1:15" ht="13.5" customHeight="1" x14ac:dyDescent="0.25">
      <c r="A380" s="13" t="s">
        <v>1084</v>
      </c>
      <c r="B380" s="49" t="s">
        <v>660</v>
      </c>
      <c r="C380" s="14" t="s">
        <v>1085</v>
      </c>
      <c r="D380" s="50" t="s">
        <v>662</v>
      </c>
      <c r="E380" s="64" t="s">
        <v>566</v>
      </c>
      <c r="F380" s="54" t="s">
        <v>485</v>
      </c>
      <c r="G380" s="54" t="s">
        <v>485</v>
      </c>
      <c r="H380" s="54" t="s">
        <v>485</v>
      </c>
      <c r="I380" s="43">
        <f>'01_PARÂMETROS'!$B$9</f>
        <v>50</v>
      </c>
      <c r="J380" s="44">
        <f t="shared" si="19"/>
        <v>1.1499999999999999</v>
      </c>
      <c r="K380" s="45">
        <f>MAX('01_PARÂMETROS'!$B$11,MIN('01_PARÂMETROS'!$B$12,J380))</f>
        <v>1.1499999999999999</v>
      </c>
      <c r="L380" s="46">
        <f t="shared" si="18"/>
        <v>0.14999999999999991</v>
      </c>
      <c r="M380" s="47" t="str">
        <f>IF(K380&lt;='01_PARÂMETROS'!$B$14,"Preferencial",IF(K380&lt;='01_PARÂMETROS'!$B$15,"Baixo",IF(K380&lt;='01_PARÂMETROS'!$B$16,"Médio",IF(K380&lt;='01_PARÂMETROS'!$B$17,"Alto","Elevado"))))</f>
        <v>Alto</v>
      </c>
      <c r="N380" s="58" t="s">
        <v>486</v>
      </c>
      <c r="O380" s="61"/>
    </row>
    <row r="381" spans="1:15" ht="13.5" customHeight="1" x14ac:dyDescent="0.25">
      <c r="A381" s="24" t="s">
        <v>1086</v>
      </c>
      <c r="B381" s="38" t="s">
        <v>660</v>
      </c>
      <c r="C381" s="25" t="s">
        <v>1087</v>
      </c>
      <c r="D381" s="39" t="s">
        <v>662</v>
      </c>
      <c r="E381" s="64" t="s">
        <v>566</v>
      </c>
      <c r="F381" s="54" t="s">
        <v>485</v>
      </c>
      <c r="G381" s="54" t="s">
        <v>485</v>
      </c>
      <c r="H381" s="54" t="s">
        <v>485</v>
      </c>
      <c r="I381" s="43">
        <f>'01_PARÂMETROS'!$B$9</f>
        <v>50</v>
      </c>
      <c r="J381" s="44">
        <f t="shared" si="19"/>
        <v>1.1499999999999999</v>
      </c>
      <c r="K381" s="45">
        <f>MAX('01_PARÂMETROS'!$B$11,MIN('01_PARÂMETROS'!$B$12,J381))</f>
        <v>1.1499999999999999</v>
      </c>
      <c r="L381" s="46">
        <f t="shared" si="18"/>
        <v>0.14999999999999991</v>
      </c>
      <c r="M381" s="47" t="str">
        <f>IF(K381&lt;='01_PARÂMETROS'!$B$14,"Preferencial",IF(K381&lt;='01_PARÂMETROS'!$B$15,"Baixo",IF(K381&lt;='01_PARÂMETROS'!$B$16,"Médio",IF(K381&lt;='01_PARÂMETROS'!$B$17,"Alto","Elevado"))))</f>
        <v>Alto</v>
      </c>
      <c r="N381" s="58" t="s">
        <v>486</v>
      </c>
      <c r="O381" s="54"/>
    </row>
    <row r="382" spans="1:15" ht="13.5" customHeight="1" x14ac:dyDescent="0.25">
      <c r="A382" s="13" t="s">
        <v>1088</v>
      </c>
      <c r="B382" s="49" t="s">
        <v>660</v>
      </c>
      <c r="C382" s="14" t="s">
        <v>1089</v>
      </c>
      <c r="D382" s="50" t="s">
        <v>662</v>
      </c>
      <c r="E382" s="64" t="s">
        <v>566</v>
      </c>
      <c r="F382" s="54" t="s">
        <v>485</v>
      </c>
      <c r="G382" s="54" t="s">
        <v>485</v>
      </c>
      <c r="H382" s="54" t="s">
        <v>485</v>
      </c>
      <c r="I382" s="43">
        <f>'01_PARÂMETROS'!$B$9</f>
        <v>50</v>
      </c>
      <c r="J382" s="44">
        <f t="shared" si="19"/>
        <v>1.1499999999999999</v>
      </c>
      <c r="K382" s="45">
        <f>MAX('01_PARÂMETROS'!$B$11,MIN('01_PARÂMETROS'!$B$12,J382))</f>
        <v>1.1499999999999999</v>
      </c>
      <c r="L382" s="46">
        <f t="shared" si="18"/>
        <v>0.14999999999999991</v>
      </c>
      <c r="M382" s="47" t="str">
        <f>IF(K382&lt;='01_PARÂMETROS'!$B$14,"Preferencial",IF(K382&lt;='01_PARÂMETROS'!$B$15,"Baixo",IF(K382&lt;='01_PARÂMETROS'!$B$16,"Médio",IF(K382&lt;='01_PARÂMETROS'!$B$17,"Alto","Elevado"))))</f>
        <v>Alto</v>
      </c>
      <c r="N382" s="58" t="s">
        <v>486</v>
      </c>
      <c r="O382" s="61"/>
    </row>
    <row r="383" spans="1:15" ht="13.5" customHeight="1" x14ac:dyDescent="0.25">
      <c r="A383" s="24" t="s">
        <v>1090</v>
      </c>
      <c r="B383" s="38" t="s">
        <v>660</v>
      </c>
      <c r="C383" s="25" t="s">
        <v>1091</v>
      </c>
      <c r="D383" s="39" t="s">
        <v>662</v>
      </c>
      <c r="E383" s="64" t="s">
        <v>566</v>
      </c>
      <c r="F383" s="54" t="s">
        <v>485</v>
      </c>
      <c r="G383" s="54" t="s">
        <v>485</v>
      </c>
      <c r="H383" s="54" t="s">
        <v>485</v>
      </c>
      <c r="I383" s="43">
        <f>'01_PARÂMETROS'!$B$9</f>
        <v>50</v>
      </c>
      <c r="J383" s="44">
        <f t="shared" si="19"/>
        <v>1.1499999999999999</v>
      </c>
      <c r="K383" s="45">
        <f>MAX('01_PARÂMETROS'!$B$11,MIN('01_PARÂMETROS'!$B$12,J383))</f>
        <v>1.1499999999999999</v>
      </c>
      <c r="L383" s="46">
        <f t="shared" si="18"/>
        <v>0.14999999999999991</v>
      </c>
      <c r="M383" s="47" t="str">
        <f>IF(K383&lt;='01_PARÂMETROS'!$B$14,"Preferencial",IF(K383&lt;='01_PARÂMETROS'!$B$15,"Baixo",IF(K383&lt;='01_PARÂMETROS'!$B$16,"Médio",IF(K383&lt;='01_PARÂMETROS'!$B$17,"Alto","Elevado"))))</f>
        <v>Alto</v>
      </c>
      <c r="N383" s="58" t="s">
        <v>486</v>
      </c>
      <c r="O383" s="54"/>
    </row>
    <row r="384" spans="1:15" ht="13.5" customHeight="1" x14ac:dyDescent="0.25">
      <c r="A384" s="13" t="s">
        <v>1092</v>
      </c>
      <c r="B384" s="49" t="s">
        <v>660</v>
      </c>
      <c r="C384" s="14" t="s">
        <v>1093</v>
      </c>
      <c r="D384" s="50" t="s">
        <v>662</v>
      </c>
      <c r="E384" s="64" t="s">
        <v>566</v>
      </c>
      <c r="F384" s="54" t="s">
        <v>485</v>
      </c>
      <c r="G384" s="54" t="s">
        <v>485</v>
      </c>
      <c r="H384" s="54" t="s">
        <v>485</v>
      </c>
      <c r="I384" s="43">
        <f>'01_PARÂMETROS'!$B$9</f>
        <v>50</v>
      </c>
      <c r="J384" s="44">
        <f t="shared" si="19"/>
        <v>1.1499999999999999</v>
      </c>
      <c r="K384" s="45">
        <f>MAX('01_PARÂMETROS'!$B$11,MIN('01_PARÂMETROS'!$B$12,J384))</f>
        <v>1.1499999999999999</v>
      </c>
      <c r="L384" s="46">
        <f t="shared" si="18"/>
        <v>0.14999999999999991</v>
      </c>
      <c r="M384" s="47" t="str">
        <f>IF(K384&lt;='01_PARÂMETROS'!$B$14,"Preferencial",IF(K384&lt;='01_PARÂMETROS'!$B$15,"Baixo",IF(K384&lt;='01_PARÂMETROS'!$B$16,"Médio",IF(K384&lt;='01_PARÂMETROS'!$B$17,"Alto","Elevado"))))</f>
        <v>Alto</v>
      </c>
      <c r="N384" s="58" t="s">
        <v>486</v>
      </c>
      <c r="O384" s="61"/>
    </row>
    <row r="385" spans="1:15" ht="13.5" customHeight="1" x14ac:dyDescent="0.25">
      <c r="A385" s="24" t="s">
        <v>1094</v>
      </c>
      <c r="B385" s="38" t="s">
        <v>660</v>
      </c>
      <c r="C385" s="25" t="s">
        <v>1095</v>
      </c>
      <c r="D385" s="39" t="s">
        <v>662</v>
      </c>
      <c r="E385" s="64" t="s">
        <v>566</v>
      </c>
      <c r="F385" s="54" t="s">
        <v>485</v>
      </c>
      <c r="G385" s="54" t="s">
        <v>485</v>
      </c>
      <c r="H385" s="54" t="s">
        <v>485</v>
      </c>
      <c r="I385" s="43">
        <f>'01_PARÂMETROS'!$B$9</f>
        <v>50</v>
      </c>
      <c r="J385" s="44">
        <f t="shared" si="19"/>
        <v>1.1499999999999999</v>
      </c>
      <c r="K385" s="45">
        <f>MAX('01_PARÂMETROS'!$B$11,MIN('01_PARÂMETROS'!$B$12,J385))</f>
        <v>1.1499999999999999</v>
      </c>
      <c r="L385" s="46">
        <f t="shared" si="18"/>
        <v>0.14999999999999991</v>
      </c>
      <c r="M385" s="47" t="str">
        <f>IF(K385&lt;='01_PARÂMETROS'!$B$14,"Preferencial",IF(K385&lt;='01_PARÂMETROS'!$B$15,"Baixo",IF(K385&lt;='01_PARÂMETROS'!$B$16,"Médio",IF(K385&lt;='01_PARÂMETROS'!$B$17,"Alto","Elevado"))))</f>
        <v>Alto</v>
      </c>
      <c r="N385" s="58" t="s">
        <v>486</v>
      </c>
      <c r="O385" s="54"/>
    </row>
    <row r="386" spans="1:15" ht="13.5" customHeight="1" x14ac:dyDescent="0.25">
      <c r="A386" s="13" t="s">
        <v>1096</v>
      </c>
      <c r="B386" s="49" t="s">
        <v>660</v>
      </c>
      <c r="C386" s="14" t="s">
        <v>1097</v>
      </c>
      <c r="D386" s="50" t="s">
        <v>662</v>
      </c>
      <c r="E386" s="64" t="s">
        <v>566</v>
      </c>
      <c r="F386" s="54" t="s">
        <v>485</v>
      </c>
      <c r="G386" s="54" t="s">
        <v>485</v>
      </c>
      <c r="H386" s="54" t="s">
        <v>485</v>
      </c>
      <c r="I386" s="43">
        <f>'01_PARÂMETROS'!$B$9</f>
        <v>50</v>
      </c>
      <c r="J386" s="44">
        <f t="shared" si="19"/>
        <v>1.1499999999999999</v>
      </c>
      <c r="K386" s="45">
        <f>MAX('01_PARÂMETROS'!$B$11,MIN('01_PARÂMETROS'!$B$12,J386))</f>
        <v>1.1499999999999999</v>
      </c>
      <c r="L386" s="46">
        <f t="shared" si="18"/>
        <v>0.14999999999999991</v>
      </c>
      <c r="M386" s="47" t="str">
        <f>IF(K386&lt;='01_PARÂMETROS'!$B$14,"Preferencial",IF(K386&lt;='01_PARÂMETROS'!$B$15,"Baixo",IF(K386&lt;='01_PARÂMETROS'!$B$16,"Médio",IF(K386&lt;='01_PARÂMETROS'!$B$17,"Alto","Elevado"))))</f>
        <v>Alto</v>
      </c>
      <c r="N386" s="58" t="s">
        <v>486</v>
      </c>
      <c r="O386" s="61"/>
    </row>
    <row r="387" spans="1:15" ht="13.5" customHeight="1" x14ac:dyDescent="0.25">
      <c r="A387" s="24" t="s">
        <v>1098</v>
      </c>
      <c r="B387" s="38" t="s">
        <v>660</v>
      </c>
      <c r="C387" s="25" t="s">
        <v>1099</v>
      </c>
      <c r="D387" s="39" t="s">
        <v>662</v>
      </c>
      <c r="E387" s="64" t="s">
        <v>566</v>
      </c>
      <c r="F387" s="54" t="s">
        <v>485</v>
      </c>
      <c r="G387" s="54" t="s">
        <v>485</v>
      </c>
      <c r="H387" s="54" t="s">
        <v>485</v>
      </c>
      <c r="I387" s="43">
        <f>'01_PARÂMETROS'!$B$9</f>
        <v>50</v>
      </c>
      <c r="J387" s="44">
        <f t="shared" si="19"/>
        <v>1.1499999999999999</v>
      </c>
      <c r="K387" s="45">
        <f>MAX('01_PARÂMETROS'!$B$11,MIN('01_PARÂMETROS'!$B$12,J387))</f>
        <v>1.1499999999999999</v>
      </c>
      <c r="L387" s="46">
        <f t="shared" si="18"/>
        <v>0.14999999999999991</v>
      </c>
      <c r="M387" s="47" t="str">
        <f>IF(K387&lt;='01_PARÂMETROS'!$B$14,"Preferencial",IF(K387&lt;='01_PARÂMETROS'!$B$15,"Baixo",IF(K387&lt;='01_PARÂMETROS'!$B$16,"Médio",IF(K387&lt;='01_PARÂMETROS'!$B$17,"Alto","Elevado"))))</f>
        <v>Alto</v>
      </c>
      <c r="N387" s="58" t="s">
        <v>486</v>
      </c>
      <c r="O387" s="54"/>
    </row>
    <row r="388" spans="1:15" ht="13.5" customHeight="1" x14ac:dyDescent="0.25">
      <c r="A388" s="13" t="s">
        <v>1100</v>
      </c>
      <c r="B388" s="49" t="s">
        <v>660</v>
      </c>
      <c r="C388" s="14" t="s">
        <v>1101</v>
      </c>
      <c r="D388" s="50" t="s">
        <v>1102</v>
      </c>
      <c r="E388" s="64" t="s">
        <v>566</v>
      </c>
      <c r="F388" s="54" t="s">
        <v>485</v>
      </c>
      <c r="G388" s="54" t="s">
        <v>485</v>
      </c>
      <c r="H388" s="54" t="s">
        <v>485</v>
      </c>
      <c r="I388" s="43">
        <f>'01_PARÂMETROS'!$B$9</f>
        <v>50</v>
      </c>
      <c r="J388" s="44">
        <f t="shared" si="19"/>
        <v>1.1499999999999999</v>
      </c>
      <c r="K388" s="45">
        <f>MAX('01_PARÂMETROS'!$B$11,MIN('01_PARÂMETROS'!$B$12,J388))</f>
        <v>1.1499999999999999</v>
      </c>
      <c r="L388" s="46">
        <f t="shared" si="18"/>
        <v>0.14999999999999991</v>
      </c>
      <c r="M388" s="47" t="str">
        <f>IF(K388&lt;='01_PARÂMETROS'!$B$14,"Preferencial",IF(K388&lt;='01_PARÂMETROS'!$B$15,"Baixo",IF(K388&lt;='01_PARÂMETROS'!$B$16,"Médio",IF(K388&lt;='01_PARÂMETROS'!$B$17,"Alto","Elevado"))))</f>
        <v>Alto</v>
      </c>
      <c r="N388" s="58" t="s">
        <v>486</v>
      </c>
      <c r="O388" s="61"/>
    </row>
    <row r="389" spans="1:15" ht="13.5" customHeight="1" x14ac:dyDescent="0.25">
      <c r="A389" s="24" t="s">
        <v>1103</v>
      </c>
      <c r="B389" s="38" t="s">
        <v>660</v>
      </c>
      <c r="C389" s="25" t="s">
        <v>1104</v>
      </c>
      <c r="D389" s="39" t="s">
        <v>1102</v>
      </c>
      <c r="E389" s="64" t="s">
        <v>566</v>
      </c>
      <c r="F389" s="54" t="s">
        <v>485</v>
      </c>
      <c r="G389" s="54" t="s">
        <v>485</v>
      </c>
      <c r="H389" s="54" t="s">
        <v>485</v>
      </c>
      <c r="I389" s="43">
        <f>'01_PARÂMETROS'!$B$9</f>
        <v>50</v>
      </c>
      <c r="J389" s="44">
        <f t="shared" si="19"/>
        <v>1.1499999999999999</v>
      </c>
      <c r="K389" s="45">
        <f>MAX('01_PARÂMETROS'!$B$11,MIN('01_PARÂMETROS'!$B$12,J389))</f>
        <v>1.1499999999999999</v>
      </c>
      <c r="L389" s="46">
        <f t="shared" ref="L389:L452" si="20">(K389-1)</f>
        <v>0.14999999999999991</v>
      </c>
      <c r="M389" s="47" t="str">
        <f>IF(K389&lt;='01_PARÂMETROS'!$B$14,"Preferencial",IF(K389&lt;='01_PARÂMETROS'!$B$15,"Baixo",IF(K389&lt;='01_PARÂMETROS'!$B$16,"Médio",IF(K389&lt;='01_PARÂMETROS'!$B$17,"Alto","Elevado"))))</f>
        <v>Alto</v>
      </c>
      <c r="N389" s="58" t="s">
        <v>486</v>
      </c>
      <c r="O389" s="54"/>
    </row>
    <row r="390" spans="1:15" ht="13.5" customHeight="1" x14ac:dyDescent="0.25">
      <c r="A390" s="13" t="s">
        <v>1105</v>
      </c>
      <c r="B390" s="49" t="s">
        <v>660</v>
      </c>
      <c r="C390" s="14" t="s">
        <v>1106</v>
      </c>
      <c r="D390" s="50" t="s">
        <v>1102</v>
      </c>
      <c r="E390" s="64" t="s">
        <v>566</v>
      </c>
      <c r="F390" s="54" t="s">
        <v>485</v>
      </c>
      <c r="G390" s="54" t="s">
        <v>485</v>
      </c>
      <c r="H390" s="54" t="s">
        <v>485</v>
      </c>
      <c r="I390" s="43">
        <f>'01_PARÂMETROS'!$B$9</f>
        <v>50</v>
      </c>
      <c r="J390" s="44">
        <f t="shared" si="19"/>
        <v>1.1499999999999999</v>
      </c>
      <c r="K390" s="45">
        <f>MAX('01_PARÂMETROS'!$B$11,MIN('01_PARÂMETROS'!$B$12,J390))</f>
        <v>1.1499999999999999</v>
      </c>
      <c r="L390" s="46">
        <f t="shared" si="20"/>
        <v>0.14999999999999991</v>
      </c>
      <c r="M390" s="47" t="str">
        <f>IF(K390&lt;='01_PARÂMETROS'!$B$14,"Preferencial",IF(K390&lt;='01_PARÂMETROS'!$B$15,"Baixo",IF(K390&lt;='01_PARÂMETROS'!$B$16,"Médio",IF(K390&lt;='01_PARÂMETROS'!$B$17,"Alto","Elevado"))))</f>
        <v>Alto</v>
      </c>
      <c r="N390" s="58" t="s">
        <v>486</v>
      </c>
      <c r="O390" s="61"/>
    </row>
    <row r="391" spans="1:15" ht="13.5" customHeight="1" x14ac:dyDescent="0.25">
      <c r="A391" s="24" t="s">
        <v>1107</v>
      </c>
      <c r="B391" s="38" t="s">
        <v>660</v>
      </c>
      <c r="C391" s="25" t="s">
        <v>1108</v>
      </c>
      <c r="D391" s="39" t="s">
        <v>1102</v>
      </c>
      <c r="E391" s="64" t="s">
        <v>566</v>
      </c>
      <c r="F391" s="54" t="s">
        <v>485</v>
      </c>
      <c r="G391" s="54" t="s">
        <v>485</v>
      </c>
      <c r="H391" s="54" t="s">
        <v>485</v>
      </c>
      <c r="I391" s="43">
        <f>'01_PARÂMETROS'!$B$9</f>
        <v>50</v>
      </c>
      <c r="J391" s="44">
        <f t="shared" si="19"/>
        <v>1.1499999999999999</v>
      </c>
      <c r="K391" s="45">
        <f>MAX('01_PARÂMETROS'!$B$11,MIN('01_PARÂMETROS'!$B$12,J391))</f>
        <v>1.1499999999999999</v>
      </c>
      <c r="L391" s="46">
        <f t="shared" si="20"/>
        <v>0.14999999999999991</v>
      </c>
      <c r="M391" s="47" t="str">
        <f>IF(K391&lt;='01_PARÂMETROS'!$B$14,"Preferencial",IF(K391&lt;='01_PARÂMETROS'!$B$15,"Baixo",IF(K391&lt;='01_PARÂMETROS'!$B$16,"Médio",IF(K391&lt;='01_PARÂMETROS'!$B$17,"Alto","Elevado"))))</f>
        <v>Alto</v>
      </c>
      <c r="N391" s="58" t="s">
        <v>486</v>
      </c>
      <c r="O391" s="54"/>
    </row>
    <row r="392" spans="1:15" ht="13.5" customHeight="1" x14ac:dyDescent="0.25">
      <c r="A392" s="13" t="s">
        <v>1109</v>
      </c>
      <c r="B392" s="49" t="s">
        <v>660</v>
      </c>
      <c r="C392" s="14" t="s">
        <v>1110</v>
      </c>
      <c r="D392" s="50" t="s">
        <v>1102</v>
      </c>
      <c r="E392" s="64" t="s">
        <v>566</v>
      </c>
      <c r="F392" s="54" t="s">
        <v>485</v>
      </c>
      <c r="G392" s="54" t="s">
        <v>485</v>
      </c>
      <c r="H392" s="54" t="s">
        <v>485</v>
      </c>
      <c r="I392" s="43">
        <f>'01_PARÂMETROS'!$B$9</f>
        <v>50</v>
      </c>
      <c r="J392" s="44">
        <f t="shared" si="19"/>
        <v>1.1499999999999999</v>
      </c>
      <c r="K392" s="45">
        <f>MAX('01_PARÂMETROS'!$B$11,MIN('01_PARÂMETROS'!$B$12,J392))</f>
        <v>1.1499999999999999</v>
      </c>
      <c r="L392" s="46">
        <f t="shared" si="20"/>
        <v>0.14999999999999991</v>
      </c>
      <c r="M392" s="47" t="str">
        <f>IF(K392&lt;='01_PARÂMETROS'!$B$14,"Preferencial",IF(K392&lt;='01_PARÂMETROS'!$B$15,"Baixo",IF(K392&lt;='01_PARÂMETROS'!$B$16,"Médio",IF(K392&lt;='01_PARÂMETROS'!$B$17,"Alto","Elevado"))))</f>
        <v>Alto</v>
      </c>
      <c r="N392" s="58" t="s">
        <v>486</v>
      </c>
      <c r="O392" s="61"/>
    </row>
    <row r="393" spans="1:15" ht="13.5" customHeight="1" x14ac:dyDescent="0.25">
      <c r="A393" s="24" t="s">
        <v>1111</v>
      </c>
      <c r="B393" s="38" t="s">
        <v>660</v>
      </c>
      <c r="C393" s="25" t="s">
        <v>1112</v>
      </c>
      <c r="D393" s="39" t="s">
        <v>1102</v>
      </c>
      <c r="E393" s="64" t="s">
        <v>566</v>
      </c>
      <c r="F393" s="54" t="s">
        <v>485</v>
      </c>
      <c r="G393" s="54" t="s">
        <v>485</v>
      </c>
      <c r="H393" s="54" t="s">
        <v>485</v>
      </c>
      <c r="I393" s="43">
        <f>'01_PARÂMETROS'!$B$9</f>
        <v>50</v>
      </c>
      <c r="J393" s="44">
        <f t="shared" si="19"/>
        <v>1.1499999999999999</v>
      </c>
      <c r="K393" s="45">
        <f>MAX('01_PARÂMETROS'!$B$11,MIN('01_PARÂMETROS'!$B$12,J393))</f>
        <v>1.1499999999999999</v>
      </c>
      <c r="L393" s="46">
        <f t="shared" si="20"/>
        <v>0.14999999999999991</v>
      </c>
      <c r="M393" s="47" t="str">
        <f>IF(K393&lt;='01_PARÂMETROS'!$B$14,"Preferencial",IF(K393&lt;='01_PARÂMETROS'!$B$15,"Baixo",IF(K393&lt;='01_PARÂMETROS'!$B$16,"Médio",IF(K393&lt;='01_PARÂMETROS'!$B$17,"Alto","Elevado"))))</f>
        <v>Alto</v>
      </c>
      <c r="N393" s="58" t="s">
        <v>486</v>
      </c>
      <c r="O393" s="54"/>
    </row>
    <row r="394" spans="1:15" ht="13.5" customHeight="1" x14ac:dyDescent="0.25">
      <c r="A394" s="13" t="s">
        <v>1113</v>
      </c>
      <c r="B394" s="49" t="s">
        <v>660</v>
      </c>
      <c r="C394" s="14" t="s">
        <v>1114</v>
      </c>
      <c r="D394" s="50" t="s">
        <v>1102</v>
      </c>
      <c r="E394" s="64" t="s">
        <v>566</v>
      </c>
      <c r="F394" s="54" t="s">
        <v>485</v>
      </c>
      <c r="G394" s="54" t="s">
        <v>485</v>
      </c>
      <c r="H394" s="54" t="s">
        <v>485</v>
      </c>
      <c r="I394" s="43">
        <f>'01_PARÂMETROS'!$B$9</f>
        <v>50</v>
      </c>
      <c r="J394" s="44">
        <f t="shared" si="19"/>
        <v>1.1499999999999999</v>
      </c>
      <c r="K394" s="45">
        <f>MAX('01_PARÂMETROS'!$B$11,MIN('01_PARÂMETROS'!$B$12,J394))</f>
        <v>1.1499999999999999</v>
      </c>
      <c r="L394" s="46">
        <f t="shared" si="20"/>
        <v>0.14999999999999991</v>
      </c>
      <c r="M394" s="47" t="str">
        <f>IF(K394&lt;='01_PARÂMETROS'!$B$14,"Preferencial",IF(K394&lt;='01_PARÂMETROS'!$B$15,"Baixo",IF(K394&lt;='01_PARÂMETROS'!$B$16,"Médio",IF(K394&lt;='01_PARÂMETROS'!$B$17,"Alto","Elevado"))))</f>
        <v>Alto</v>
      </c>
      <c r="N394" s="58" t="s">
        <v>486</v>
      </c>
      <c r="O394" s="61"/>
    </row>
    <row r="395" spans="1:15" ht="13.5" customHeight="1" x14ac:dyDescent="0.25">
      <c r="A395" s="24" t="s">
        <v>1115</v>
      </c>
      <c r="B395" s="38" t="s">
        <v>660</v>
      </c>
      <c r="C395" s="25" t="s">
        <v>1116</v>
      </c>
      <c r="D395" s="39" t="s">
        <v>1102</v>
      </c>
      <c r="E395" s="64" t="s">
        <v>566</v>
      </c>
      <c r="F395" s="54" t="s">
        <v>485</v>
      </c>
      <c r="G395" s="54" t="s">
        <v>485</v>
      </c>
      <c r="H395" s="54" t="s">
        <v>485</v>
      </c>
      <c r="I395" s="43">
        <f>'01_PARÂMETROS'!$B$9</f>
        <v>50</v>
      </c>
      <c r="J395" s="44">
        <f t="shared" si="19"/>
        <v>1.1499999999999999</v>
      </c>
      <c r="K395" s="45">
        <f>MAX('01_PARÂMETROS'!$B$11,MIN('01_PARÂMETROS'!$B$12,J395))</f>
        <v>1.1499999999999999</v>
      </c>
      <c r="L395" s="46">
        <f t="shared" si="20"/>
        <v>0.14999999999999991</v>
      </c>
      <c r="M395" s="47" t="str">
        <f>IF(K395&lt;='01_PARÂMETROS'!$B$14,"Preferencial",IF(K395&lt;='01_PARÂMETROS'!$B$15,"Baixo",IF(K395&lt;='01_PARÂMETROS'!$B$16,"Médio",IF(K395&lt;='01_PARÂMETROS'!$B$17,"Alto","Elevado"))))</f>
        <v>Alto</v>
      </c>
      <c r="N395" s="58" t="s">
        <v>486</v>
      </c>
      <c r="O395" s="54"/>
    </row>
    <row r="396" spans="1:15" ht="13.5" customHeight="1" x14ac:dyDescent="0.25">
      <c r="A396" s="13" t="s">
        <v>1117</v>
      </c>
      <c r="B396" s="49" t="s">
        <v>660</v>
      </c>
      <c r="C396" s="14" t="s">
        <v>1118</v>
      </c>
      <c r="D396" s="50" t="s">
        <v>1102</v>
      </c>
      <c r="E396" s="64" t="s">
        <v>566</v>
      </c>
      <c r="F396" s="54" t="s">
        <v>485</v>
      </c>
      <c r="G396" s="54" t="s">
        <v>485</v>
      </c>
      <c r="H396" s="54" t="s">
        <v>485</v>
      </c>
      <c r="I396" s="43">
        <f>'01_PARÂMETROS'!$B$9</f>
        <v>50</v>
      </c>
      <c r="J396" s="44">
        <f t="shared" si="19"/>
        <v>1.1499999999999999</v>
      </c>
      <c r="K396" s="45">
        <f>MAX('01_PARÂMETROS'!$B$11,MIN('01_PARÂMETROS'!$B$12,J396))</f>
        <v>1.1499999999999999</v>
      </c>
      <c r="L396" s="46">
        <f t="shared" si="20"/>
        <v>0.14999999999999991</v>
      </c>
      <c r="M396" s="47" t="str">
        <f>IF(K396&lt;='01_PARÂMETROS'!$B$14,"Preferencial",IF(K396&lt;='01_PARÂMETROS'!$B$15,"Baixo",IF(K396&lt;='01_PARÂMETROS'!$B$16,"Médio",IF(K396&lt;='01_PARÂMETROS'!$B$17,"Alto","Elevado"))))</f>
        <v>Alto</v>
      </c>
      <c r="N396" s="58" t="s">
        <v>486</v>
      </c>
      <c r="O396" s="61"/>
    </row>
    <row r="397" spans="1:15" ht="13.5" customHeight="1" x14ac:dyDescent="0.25">
      <c r="A397" s="24" t="s">
        <v>1119</v>
      </c>
      <c r="B397" s="38" t="s">
        <v>660</v>
      </c>
      <c r="C397" s="25" t="s">
        <v>1120</v>
      </c>
      <c r="D397" s="39" t="s">
        <v>1102</v>
      </c>
      <c r="E397" s="64" t="s">
        <v>566</v>
      </c>
      <c r="F397" s="54" t="s">
        <v>485</v>
      </c>
      <c r="G397" s="54" t="s">
        <v>485</v>
      </c>
      <c r="H397" s="54" t="s">
        <v>485</v>
      </c>
      <c r="I397" s="43">
        <f>'01_PARÂMETROS'!$B$9</f>
        <v>50</v>
      </c>
      <c r="J397" s="44">
        <f t="shared" si="19"/>
        <v>1.1499999999999999</v>
      </c>
      <c r="K397" s="45">
        <f>MAX('01_PARÂMETROS'!$B$11,MIN('01_PARÂMETROS'!$B$12,J397))</f>
        <v>1.1499999999999999</v>
      </c>
      <c r="L397" s="46">
        <f t="shared" si="20"/>
        <v>0.14999999999999991</v>
      </c>
      <c r="M397" s="47" t="str">
        <f>IF(K397&lt;='01_PARÂMETROS'!$B$14,"Preferencial",IF(K397&lt;='01_PARÂMETROS'!$B$15,"Baixo",IF(K397&lt;='01_PARÂMETROS'!$B$16,"Médio",IF(K397&lt;='01_PARÂMETROS'!$B$17,"Alto","Elevado"))))</f>
        <v>Alto</v>
      </c>
      <c r="N397" s="58" t="s">
        <v>486</v>
      </c>
      <c r="O397" s="54"/>
    </row>
    <row r="398" spans="1:15" ht="13.5" customHeight="1" x14ac:dyDescent="0.25">
      <c r="A398" s="13" t="s">
        <v>1121</v>
      </c>
      <c r="B398" s="49" t="s">
        <v>660</v>
      </c>
      <c r="C398" s="14" t="s">
        <v>1122</v>
      </c>
      <c r="D398" s="50" t="s">
        <v>1102</v>
      </c>
      <c r="E398" s="64" t="s">
        <v>566</v>
      </c>
      <c r="F398" s="54" t="s">
        <v>485</v>
      </c>
      <c r="G398" s="54" t="s">
        <v>485</v>
      </c>
      <c r="H398" s="54" t="s">
        <v>485</v>
      </c>
      <c r="I398" s="43">
        <f>'01_PARÂMETROS'!$B$9</f>
        <v>50</v>
      </c>
      <c r="J398" s="44">
        <f t="shared" ref="J398:J431" si="21">1.15</f>
        <v>1.1499999999999999</v>
      </c>
      <c r="K398" s="45">
        <f>MAX('01_PARÂMETROS'!$B$11,MIN('01_PARÂMETROS'!$B$12,J398))</f>
        <v>1.1499999999999999</v>
      </c>
      <c r="L398" s="46">
        <f t="shared" si="20"/>
        <v>0.14999999999999991</v>
      </c>
      <c r="M398" s="47" t="str">
        <f>IF(K398&lt;='01_PARÂMETROS'!$B$14,"Preferencial",IF(K398&lt;='01_PARÂMETROS'!$B$15,"Baixo",IF(K398&lt;='01_PARÂMETROS'!$B$16,"Médio",IF(K398&lt;='01_PARÂMETROS'!$B$17,"Alto","Elevado"))))</f>
        <v>Alto</v>
      </c>
      <c r="N398" s="58" t="s">
        <v>486</v>
      </c>
      <c r="O398" s="61"/>
    </row>
    <row r="399" spans="1:15" ht="13.5" customHeight="1" x14ac:dyDescent="0.25">
      <c r="A399" s="24" t="s">
        <v>1123</v>
      </c>
      <c r="B399" s="38" t="s">
        <v>660</v>
      </c>
      <c r="C399" s="25" t="s">
        <v>1124</v>
      </c>
      <c r="D399" s="39" t="s">
        <v>1102</v>
      </c>
      <c r="E399" s="64" t="s">
        <v>566</v>
      </c>
      <c r="F399" s="54" t="s">
        <v>485</v>
      </c>
      <c r="G399" s="54" t="s">
        <v>485</v>
      </c>
      <c r="H399" s="54" t="s">
        <v>485</v>
      </c>
      <c r="I399" s="43">
        <f>'01_PARÂMETROS'!$B$9</f>
        <v>50</v>
      </c>
      <c r="J399" s="44">
        <f t="shared" si="21"/>
        <v>1.1499999999999999</v>
      </c>
      <c r="K399" s="45">
        <f>MAX('01_PARÂMETROS'!$B$11,MIN('01_PARÂMETROS'!$B$12,J399))</f>
        <v>1.1499999999999999</v>
      </c>
      <c r="L399" s="46">
        <f t="shared" si="20"/>
        <v>0.14999999999999991</v>
      </c>
      <c r="M399" s="47" t="str">
        <f>IF(K399&lt;='01_PARÂMETROS'!$B$14,"Preferencial",IF(K399&lt;='01_PARÂMETROS'!$B$15,"Baixo",IF(K399&lt;='01_PARÂMETROS'!$B$16,"Médio",IF(K399&lt;='01_PARÂMETROS'!$B$17,"Alto","Elevado"))))</f>
        <v>Alto</v>
      </c>
      <c r="N399" s="58" t="s">
        <v>486</v>
      </c>
      <c r="O399" s="54"/>
    </row>
    <row r="400" spans="1:15" ht="13.5" customHeight="1" x14ac:dyDescent="0.25">
      <c r="A400" s="13" t="s">
        <v>1125</v>
      </c>
      <c r="B400" s="49" t="s">
        <v>660</v>
      </c>
      <c r="C400" s="14" t="s">
        <v>1126</v>
      </c>
      <c r="D400" s="50" t="s">
        <v>1102</v>
      </c>
      <c r="E400" s="64" t="s">
        <v>566</v>
      </c>
      <c r="F400" s="54" t="s">
        <v>485</v>
      </c>
      <c r="G400" s="54" t="s">
        <v>485</v>
      </c>
      <c r="H400" s="54" t="s">
        <v>485</v>
      </c>
      <c r="I400" s="43">
        <f>'01_PARÂMETROS'!$B$9</f>
        <v>50</v>
      </c>
      <c r="J400" s="44">
        <f t="shared" si="21"/>
        <v>1.1499999999999999</v>
      </c>
      <c r="K400" s="45">
        <f>MAX('01_PARÂMETROS'!$B$11,MIN('01_PARÂMETROS'!$B$12,J400))</f>
        <v>1.1499999999999999</v>
      </c>
      <c r="L400" s="46">
        <f t="shared" si="20"/>
        <v>0.14999999999999991</v>
      </c>
      <c r="M400" s="47" t="str">
        <f>IF(K400&lt;='01_PARÂMETROS'!$B$14,"Preferencial",IF(K400&lt;='01_PARÂMETROS'!$B$15,"Baixo",IF(K400&lt;='01_PARÂMETROS'!$B$16,"Médio",IF(K400&lt;='01_PARÂMETROS'!$B$17,"Alto","Elevado"))))</f>
        <v>Alto</v>
      </c>
      <c r="N400" s="58" t="s">
        <v>486</v>
      </c>
      <c r="O400" s="61"/>
    </row>
    <row r="401" spans="1:15" ht="13.5" customHeight="1" x14ac:dyDescent="0.25">
      <c r="A401" s="24" t="s">
        <v>1127</v>
      </c>
      <c r="B401" s="38" t="s">
        <v>660</v>
      </c>
      <c r="C401" s="25" t="s">
        <v>1128</v>
      </c>
      <c r="D401" s="39" t="s">
        <v>1102</v>
      </c>
      <c r="E401" s="64" t="s">
        <v>566</v>
      </c>
      <c r="F401" s="54" t="s">
        <v>485</v>
      </c>
      <c r="G401" s="54" t="s">
        <v>485</v>
      </c>
      <c r="H401" s="54" t="s">
        <v>485</v>
      </c>
      <c r="I401" s="43">
        <f>'01_PARÂMETROS'!$B$9</f>
        <v>50</v>
      </c>
      <c r="J401" s="44">
        <f t="shared" si="21"/>
        <v>1.1499999999999999</v>
      </c>
      <c r="K401" s="45">
        <f>MAX('01_PARÂMETROS'!$B$11,MIN('01_PARÂMETROS'!$B$12,J401))</f>
        <v>1.1499999999999999</v>
      </c>
      <c r="L401" s="46">
        <f t="shared" si="20"/>
        <v>0.14999999999999991</v>
      </c>
      <c r="M401" s="47" t="str">
        <f>IF(K401&lt;='01_PARÂMETROS'!$B$14,"Preferencial",IF(K401&lt;='01_PARÂMETROS'!$B$15,"Baixo",IF(K401&lt;='01_PARÂMETROS'!$B$16,"Médio",IF(K401&lt;='01_PARÂMETROS'!$B$17,"Alto","Elevado"))))</f>
        <v>Alto</v>
      </c>
      <c r="N401" s="58" t="s">
        <v>486</v>
      </c>
      <c r="O401" s="54"/>
    </row>
    <row r="402" spans="1:15" ht="13.5" customHeight="1" x14ac:dyDescent="0.25">
      <c r="A402" s="13" t="s">
        <v>1129</v>
      </c>
      <c r="B402" s="49" t="s">
        <v>660</v>
      </c>
      <c r="C402" s="14" t="s">
        <v>1130</v>
      </c>
      <c r="D402" s="50" t="s">
        <v>1102</v>
      </c>
      <c r="E402" s="64" t="s">
        <v>566</v>
      </c>
      <c r="F402" s="54" t="s">
        <v>485</v>
      </c>
      <c r="G402" s="54" t="s">
        <v>485</v>
      </c>
      <c r="H402" s="54" t="s">
        <v>485</v>
      </c>
      <c r="I402" s="43">
        <f>'01_PARÂMETROS'!$B$9</f>
        <v>50</v>
      </c>
      <c r="J402" s="44">
        <f t="shared" si="21"/>
        <v>1.1499999999999999</v>
      </c>
      <c r="K402" s="45">
        <f>MAX('01_PARÂMETROS'!$B$11,MIN('01_PARÂMETROS'!$B$12,J402))</f>
        <v>1.1499999999999999</v>
      </c>
      <c r="L402" s="46">
        <f t="shared" si="20"/>
        <v>0.14999999999999991</v>
      </c>
      <c r="M402" s="47" t="str">
        <f>IF(K402&lt;='01_PARÂMETROS'!$B$14,"Preferencial",IF(K402&lt;='01_PARÂMETROS'!$B$15,"Baixo",IF(K402&lt;='01_PARÂMETROS'!$B$16,"Médio",IF(K402&lt;='01_PARÂMETROS'!$B$17,"Alto","Elevado"))))</f>
        <v>Alto</v>
      </c>
      <c r="N402" s="58" t="s">
        <v>486</v>
      </c>
      <c r="O402" s="61"/>
    </row>
    <row r="403" spans="1:15" ht="13.5" customHeight="1" x14ac:dyDescent="0.25">
      <c r="A403" s="24" t="s">
        <v>1131</v>
      </c>
      <c r="B403" s="38" t="s">
        <v>660</v>
      </c>
      <c r="C403" s="25" t="s">
        <v>1132</v>
      </c>
      <c r="D403" s="39" t="s">
        <v>1102</v>
      </c>
      <c r="E403" s="64" t="s">
        <v>566</v>
      </c>
      <c r="F403" s="54" t="s">
        <v>485</v>
      </c>
      <c r="G403" s="54" t="s">
        <v>485</v>
      </c>
      <c r="H403" s="54" t="s">
        <v>485</v>
      </c>
      <c r="I403" s="43">
        <f>'01_PARÂMETROS'!$B$9</f>
        <v>50</v>
      </c>
      <c r="J403" s="44">
        <f t="shared" si="21"/>
        <v>1.1499999999999999</v>
      </c>
      <c r="K403" s="45">
        <f>MAX('01_PARÂMETROS'!$B$11,MIN('01_PARÂMETROS'!$B$12,J403))</f>
        <v>1.1499999999999999</v>
      </c>
      <c r="L403" s="46">
        <f t="shared" si="20"/>
        <v>0.14999999999999991</v>
      </c>
      <c r="M403" s="47" t="str">
        <f>IF(K403&lt;='01_PARÂMETROS'!$B$14,"Preferencial",IF(K403&lt;='01_PARÂMETROS'!$B$15,"Baixo",IF(K403&lt;='01_PARÂMETROS'!$B$16,"Médio",IF(K403&lt;='01_PARÂMETROS'!$B$17,"Alto","Elevado"))))</f>
        <v>Alto</v>
      </c>
      <c r="N403" s="58" t="s">
        <v>486</v>
      </c>
      <c r="O403" s="54"/>
    </row>
    <row r="404" spans="1:15" ht="13.5" customHeight="1" x14ac:dyDescent="0.25">
      <c r="A404" s="13" t="s">
        <v>1133</v>
      </c>
      <c r="B404" s="49" t="s">
        <v>660</v>
      </c>
      <c r="C404" s="14" t="s">
        <v>1134</v>
      </c>
      <c r="D404" s="50" t="s">
        <v>1102</v>
      </c>
      <c r="E404" s="64" t="s">
        <v>566</v>
      </c>
      <c r="F404" s="54" t="s">
        <v>485</v>
      </c>
      <c r="G404" s="54" t="s">
        <v>485</v>
      </c>
      <c r="H404" s="54" t="s">
        <v>485</v>
      </c>
      <c r="I404" s="43">
        <f>'01_PARÂMETROS'!$B$9</f>
        <v>50</v>
      </c>
      <c r="J404" s="44">
        <f t="shared" si="21"/>
        <v>1.1499999999999999</v>
      </c>
      <c r="K404" s="45">
        <f>MAX('01_PARÂMETROS'!$B$11,MIN('01_PARÂMETROS'!$B$12,J404))</f>
        <v>1.1499999999999999</v>
      </c>
      <c r="L404" s="46">
        <f t="shared" si="20"/>
        <v>0.14999999999999991</v>
      </c>
      <c r="M404" s="47" t="str">
        <f>IF(K404&lt;='01_PARÂMETROS'!$B$14,"Preferencial",IF(K404&lt;='01_PARÂMETROS'!$B$15,"Baixo",IF(K404&lt;='01_PARÂMETROS'!$B$16,"Médio",IF(K404&lt;='01_PARÂMETROS'!$B$17,"Alto","Elevado"))))</f>
        <v>Alto</v>
      </c>
      <c r="N404" s="58" t="s">
        <v>486</v>
      </c>
      <c r="O404" s="61"/>
    </row>
    <row r="405" spans="1:15" ht="13.5" customHeight="1" x14ac:dyDescent="0.25">
      <c r="A405" s="24" t="s">
        <v>1135</v>
      </c>
      <c r="B405" s="38" t="s">
        <v>660</v>
      </c>
      <c r="C405" s="25" t="s">
        <v>1136</v>
      </c>
      <c r="D405" s="39" t="s">
        <v>1102</v>
      </c>
      <c r="E405" s="64" t="s">
        <v>566</v>
      </c>
      <c r="F405" s="54" t="s">
        <v>485</v>
      </c>
      <c r="G405" s="54" t="s">
        <v>485</v>
      </c>
      <c r="H405" s="54" t="s">
        <v>485</v>
      </c>
      <c r="I405" s="43">
        <f>'01_PARÂMETROS'!$B$9</f>
        <v>50</v>
      </c>
      <c r="J405" s="44">
        <f t="shared" si="21"/>
        <v>1.1499999999999999</v>
      </c>
      <c r="K405" s="45">
        <f>MAX('01_PARÂMETROS'!$B$11,MIN('01_PARÂMETROS'!$B$12,J405))</f>
        <v>1.1499999999999999</v>
      </c>
      <c r="L405" s="46">
        <f t="shared" si="20"/>
        <v>0.14999999999999991</v>
      </c>
      <c r="M405" s="47" t="str">
        <f>IF(K405&lt;='01_PARÂMETROS'!$B$14,"Preferencial",IF(K405&lt;='01_PARÂMETROS'!$B$15,"Baixo",IF(K405&lt;='01_PARÂMETROS'!$B$16,"Médio",IF(K405&lt;='01_PARÂMETROS'!$B$17,"Alto","Elevado"))))</f>
        <v>Alto</v>
      </c>
      <c r="N405" s="58" t="s">
        <v>486</v>
      </c>
      <c r="O405" s="54"/>
    </row>
    <row r="406" spans="1:15" ht="13.5" customHeight="1" x14ac:dyDescent="0.25">
      <c r="A406" s="13" t="s">
        <v>1137</v>
      </c>
      <c r="B406" s="49" t="s">
        <v>660</v>
      </c>
      <c r="C406" s="14" t="s">
        <v>1138</v>
      </c>
      <c r="D406" s="50" t="s">
        <v>1102</v>
      </c>
      <c r="E406" s="64" t="s">
        <v>566</v>
      </c>
      <c r="F406" s="54" t="s">
        <v>485</v>
      </c>
      <c r="G406" s="54" t="s">
        <v>485</v>
      </c>
      <c r="H406" s="54" t="s">
        <v>485</v>
      </c>
      <c r="I406" s="43">
        <f>'01_PARÂMETROS'!$B$9</f>
        <v>50</v>
      </c>
      <c r="J406" s="44">
        <f t="shared" si="21"/>
        <v>1.1499999999999999</v>
      </c>
      <c r="K406" s="45">
        <f>MAX('01_PARÂMETROS'!$B$11,MIN('01_PARÂMETROS'!$B$12,J406))</f>
        <v>1.1499999999999999</v>
      </c>
      <c r="L406" s="46">
        <f t="shared" si="20"/>
        <v>0.14999999999999991</v>
      </c>
      <c r="M406" s="47" t="str">
        <f>IF(K406&lt;='01_PARÂMETROS'!$B$14,"Preferencial",IF(K406&lt;='01_PARÂMETROS'!$B$15,"Baixo",IF(K406&lt;='01_PARÂMETROS'!$B$16,"Médio",IF(K406&lt;='01_PARÂMETROS'!$B$17,"Alto","Elevado"))))</f>
        <v>Alto</v>
      </c>
      <c r="N406" s="58" t="s">
        <v>486</v>
      </c>
      <c r="O406" s="61"/>
    </row>
    <row r="407" spans="1:15" ht="13.5" customHeight="1" x14ac:dyDescent="0.25">
      <c r="A407" s="24" t="s">
        <v>1139</v>
      </c>
      <c r="B407" s="38" t="s">
        <v>660</v>
      </c>
      <c r="C407" s="25" t="s">
        <v>1140</v>
      </c>
      <c r="D407" s="39" t="s">
        <v>1102</v>
      </c>
      <c r="E407" s="64" t="s">
        <v>566</v>
      </c>
      <c r="F407" s="54" t="s">
        <v>485</v>
      </c>
      <c r="G407" s="54" t="s">
        <v>485</v>
      </c>
      <c r="H407" s="54" t="s">
        <v>485</v>
      </c>
      <c r="I407" s="43">
        <f>'01_PARÂMETROS'!$B$9</f>
        <v>50</v>
      </c>
      <c r="J407" s="44">
        <f t="shared" si="21"/>
        <v>1.1499999999999999</v>
      </c>
      <c r="K407" s="45">
        <f>MAX('01_PARÂMETROS'!$B$11,MIN('01_PARÂMETROS'!$B$12,J407))</f>
        <v>1.1499999999999999</v>
      </c>
      <c r="L407" s="46">
        <f t="shared" si="20"/>
        <v>0.14999999999999991</v>
      </c>
      <c r="M407" s="47" t="str">
        <f>IF(K407&lt;='01_PARÂMETROS'!$B$14,"Preferencial",IF(K407&lt;='01_PARÂMETROS'!$B$15,"Baixo",IF(K407&lt;='01_PARÂMETROS'!$B$16,"Médio",IF(K407&lt;='01_PARÂMETROS'!$B$17,"Alto","Elevado"))))</f>
        <v>Alto</v>
      </c>
      <c r="N407" s="58" t="s">
        <v>486</v>
      </c>
      <c r="O407" s="54"/>
    </row>
    <row r="408" spans="1:15" ht="13.5" customHeight="1" x14ac:dyDescent="0.25">
      <c r="A408" s="13" t="s">
        <v>1141</v>
      </c>
      <c r="B408" s="49" t="s">
        <v>660</v>
      </c>
      <c r="C408" s="14" t="s">
        <v>1142</v>
      </c>
      <c r="D408" s="50" t="s">
        <v>1102</v>
      </c>
      <c r="E408" s="64" t="s">
        <v>566</v>
      </c>
      <c r="F408" s="54" t="s">
        <v>485</v>
      </c>
      <c r="G408" s="54" t="s">
        <v>485</v>
      </c>
      <c r="H408" s="54" t="s">
        <v>485</v>
      </c>
      <c r="I408" s="43">
        <f>'01_PARÂMETROS'!$B$9</f>
        <v>50</v>
      </c>
      <c r="J408" s="44">
        <f t="shared" si="21"/>
        <v>1.1499999999999999</v>
      </c>
      <c r="K408" s="45">
        <f>MAX('01_PARÂMETROS'!$B$11,MIN('01_PARÂMETROS'!$B$12,J408))</f>
        <v>1.1499999999999999</v>
      </c>
      <c r="L408" s="46">
        <f t="shared" si="20"/>
        <v>0.14999999999999991</v>
      </c>
      <c r="M408" s="47" t="str">
        <f>IF(K408&lt;='01_PARÂMETROS'!$B$14,"Preferencial",IF(K408&lt;='01_PARÂMETROS'!$B$15,"Baixo",IF(K408&lt;='01_PARÂMETROS'!$B$16,"Médio",IF(K408&lt;='01_PARÂMETROS'!$B$17,"Alto","Elevado"))))</f>
        <v>Alto</v>
      </c>
      <c r="N408" s="58" t="s">
        <v>486</v>
      </c>
      <c r="O408" s="61"/>
    </row>
    <row r="409" spans="1:15" ht="13.5" customHeight="1" x14ac:dyDescent="0.25">
      <c r="A409" s="24" t="s">
        <v>1143</v>
      </c>
      <c r="B409" s="38" t="s">
        <v>660</v>
      </c>
      <c r="C409" s="25" t="s">
        <v>1144</v>
      </c>
      <c r="D409" s="39" t="s">
        <v>662</v>
      </c>
      <c r="E409" s="64" t="s">
        <v>566</v>
      </c>
      <c r="F409" s="54" t="s">
        <v>485</v>
      </c>
      <c r="G409" s="54" t="s">
        <v>485</v>
      </c>
      <c r="H409" s="54" t="s">
        <v>485</v>
      </c>
      <c r="I409" s="43">
        <f>'01_PARÂMETROS'!$B$9</f>
        <v>50</v>
      </c>
      <c r="J409" s="44">
        <f t="shared" si="21"/>
        <v>1.1499999999999999</v>
      </c>
      <c r="K409" s="45">
        <f>MAX('01_PARÂMETROS'!$B$11,MIN('01_PARÂMETROS'!$B$12,J409))</f>
        <v>1.1499999999999999</v>
      </c>
      <c r="L409" s="46">
        <f t="shared" si="20"/>
        <v>0.14999999999999991</v>
      </c>
      <c r="M409" s="47" t="str">
        <f>IF(K409&lt;='01_PARÂMETROS'!$B$14,"Preferencial",IF(K409&lt;='01_PARÂMETROS'!$B$15,"Baixo",IF(K409&lt;='01_PARÂMETROS'!$B$16,"Médio",IF(K409&lt;='01_PARÂMETROS'!$B$17,"Alto","Elevado"))))</f>
        <v>Alto</v>
      </c>
      <c r="N409" s="58" t="s">
        <v>486</v>
      </c>
      <c r="O409" s="54"/>
    </row>
    <row r="410" spans="1:15" ht="13.5" customHeight="1" x14ac:dyDescent="0.25">
      <c r="A410" s="13" t="s">
        <v>1145</v>
      </c>
      <c r="B410" s="49" t="s">
        <v>660</v>
      </c>
      <c r="C410" s="14" t="s">
        <v>1146</v>
      </c>
      <c r="D410" s="50" t="s">
        <v>662</v>
      </c>
      <c r="E410" s="64" t="s">
        <v>566</v>
      </c>
      <c r="F410" s="54" t="s">
        <v>485</v>
      </c>
      <c r="G410" s="54" t="s">
        <v>485</v>
      </c>
      <c r="H410" s="54" t="s">
        <v>485</v>
      </c>
      <c r="I410" s="43">
        <f>'01_PARÂMETROS'!$B$9</f>
        <v>50</v>
      </c>
      <c r="J410" s="44">
        <f t="shared" si="21"/>
        <v>1.1499999999999999</v>
      </c>
      <c r="K410" s="45">
        <f>MAX('01_PARÂMETROS'!$B$11,MIN('01_PARÂMETROS'!$B$12,J410))</f>
        <v>1.1499999999999999</v>
      </c>
      <c r="L410" s="46">
        <f t="shared" si="20"/>
        <v>0.14999999999999991</v>
      </c>
      <c r="M410" s="47" t="str">
        <f>IF(K410&lt;='01_PARÂMETROS'!$B$14,"Preferencial",IF(K410&lt;='01_PARÂMETROS'!$B$15,"Baixo",IF(K410&lt;='01_PARÂMETROS'!$B$16,"Médio",IF(K410&lt;='01_PARÂMETROS'!$B$17,"Alto","Elevado"))))</f>
        <v>Alto</v>
      </c>
      <c r="N410" s="58" t="s">
        <v>486</v>
      </c>
      <c r="O410" s="61"/>
    </row>
    <row r="411" spans="1:15" ht="13.5" customHeight="1" x14ac:dyDescent="0.25">
      <c r="A411" s="24" t="s">
        <v>1147</v>
      </c>
      <c r="B411" s="38" t="s">
        <v>660</v>
      </c>
      <c r="C411" s="25" t="s">
        <v>1148</v>
      </c>
      <c r="D411" s="39" t="s">
        <v>662</v>
      </c>
      <c r="E411" s="64" t="s">
        <v>566</v>
      </c>
      <c r="F411" s="54" t="s">
        <v>485</v>
      </c>
      <c r="G411" s="54" t="s">
        <v>485</v>
      </c>
      <c r="H411" s="54" t="s">
        <v>485</v>
      </c>
      <c r="I411" s="43">
        <f>'01_PARÂMETROS'!$B$9</f>
        <v>50</v>
      </c>
      <c r="J411" s="44">
        <f t="shared" si="21"/>
        <v>1.1499999999999999</v>
      </c>
      <c r="K411" s="45">
        <f>MAX('01_PARÂMETROS'!$B$11,MIN('01_PARÂMETROS'!$B$12,J411))</f>
        <v>1.1499999999999999</v>
      </c>
      <c r="L411" s="46">
        <f t="shared" si="20"/>
        <v>0.14999999999999991</v>
      </c>
      <c r="M411" s="47" t="str">
        <f>IF(K411&lt;='01_PARÂMETROS'!$B$14,"Preferencial",IF(K411&lt;='01_PARÂMETROS'!$B$15,"Baixo",IF(K411&lt;='01_PARÂMETROS'!$B$16,"Médio",IF(K411&lt;='01_PARÂMETROS'!$B$17,"Alto","Elevado"))))</f>
        <v>Alto</v>
      </c>
      <c r="N411" s="58" t="s">
        <v>486</v>
      </c>
      <c r="O411" s="54"/>
    </row>
    <row r="412" spans="1:15" ht="13.5" customHeight="1" x14ac:dyDescent="0.25">
      <c r="A412" s="13" t="s">
        <v>1149</v>
      </c>
      <c r="B412" s="49" t="s">
        <v>660</v>
      </c>
      <c r="C412" s="14" t="s">
        <v>1150</v>
      </c>
      <c r="D412" s="50" t="s">
        <v>662</v>
      </c>
      <c r="E412" s="64" t="s">
        <v>566</v>
      </c>
      <c r="F412" s="54" t="s">
        <v>485</v>
      </c>
      <c r="G412" s="54" t="s">
        <v>485</v>
      </c>
      <c r="H412" s="54" t="s">
        <v>485</v>
      </c>
      <c r="I412" s="43">
        <f>'01_PARÂMETROS'!$B$9</f>
        <v>50</v>
      </c>
      <c r="J412" s="44">
        <f t="shared" si="21"/>
        <v>1.1499999999999999</v>
      </c>
      <c r="K412" s="45">
        <f>MAX('01_PARÂMETROS'!$B$11,MIN('01_PARÂMETROS'!$B$12,J412))</f>
        <v>1.1499999999999999</v>
      </c>
      <c r="L412" s="46">
        <f t="shared" si="20"/>
        <v>0.14999999999999991</v>
      </c>
      <c r="M412" s="47" t="str">
        <f>IF(K412&lt;='01_PARÂMETROS'!$B$14,"Preferencial",IF(K412&lt;='01_PARÂMETROS'!$B$15,"Baixo",IF(K412&lt;='01_PARÂMETROS'!$B$16,"Médio",IF(K412&lt;='01_PARÂMETROS'!$B$17,"Alto","Elevado"))))</f>
        <v>Alto</v>
      </c>
      <c r="N412" s="58" t="s">
        <v>486</v>
      </c>
      <c r="O412" s="61"/>
    </row>
    <row r="413" spans="1:15" ht="13.5" customHeight="1" x14ac:dyDescent="0.25">
      <c r="A413" s="24" t="s">
        <v>1151</v>
      </c>
      <c r="B413" s="38" t="s">
        <v>660</v>
      </c>
      <c r="C413" s="25" t="s">
        <v>1152</v>
      </c>
      <c r="D413" s="39" t="s">
        <v>662</v>
      </c>
      <c r="E413" s="64" t="s">
        <v>566</v>
      </c>
      <c r="F413" s="54" t="s">
        <v>485</v>
      </c>
      <c r="G413" s="54" t="s">
        <v>485</v>
      </c>
      <c r="H413" s="54" t="s">
        <v>485</v>
      </c>
      <c r="I413" s="43">
        <f>'01_PARÂMETROS'!$B$9</f>
        <v>50</v>
      </c>
      <c r="J413" s="44">
        <f t="shared" si="21"/>
        <v>1.1499999999999999</v>
      </c>
      <c r="K413" s="45">
        <f>MAX('01_PARÂMETROS'!$B$11,MIN('01_PARÂMETROS'!$B$12,J413))</f>
        <v>1.1499999999999999</v>
      </c>
      <c r="L413" s="46">
        <f t="shared" si="20"/>
        <v>0.14999999999999991</v>
      </c>
      <c r="M413" s="47" t="str">
        <f>IF(K413&lt;='01_PARÂMETROS'!$B$14,"Preferencial",IF(K413&lt;='01_PARÂMETROS'!$B$15,"Baixo",IF(K413&lt;='01_PARÂMETROS'!$B$16,"Médio",IF(K413&lt;='01_PARÂMETROS'!$B$17,"Alto","Elevado"))))</f>
        <v>Alto</v>
      </c>
      <c r="N413" s="58" t="s">
        <v>486</v>
      </c>
      <c r="O413" s="54"/>
    </row>
    <row r="414" spans="1:15" ht="13.5" customHeight="1" x14ac:dyDescent="0.25">
      <c r="A414" s="13" t="s">
        <v>1153</v>
      </c>
      <c r="B414" s="49" t="s">
        <v>660</v>
      </c>
      <c r="C414" s="14" t="s">
        <v>1154</v>
      </c>
      <c r="D414" s="50" t="s">
        <v>662</v>
      </c>
      <c r="E414" s="64" t="s">
        <v>566</v>
      </c>
      <c r="F414" s="54" t="s">
        <v>485</v>
      </c>
      <c r="G414" s="54" t="s">
        <v>485</v>
      </c>
      <c r="H414" s="54" t="s">
        <v>485</v>
      </c>
      <c r="I414" s="43">
        <f>'01_PARÂMETROS'!$B$9</f>
        <v>50</v>
      </c>
      <c r="J414" s="44">
        <f t="shared" si="21"/>
        <v>1.1499999999999999</v>
      </c>
      <c r="K414" s="45">
        <f>MAX('01_PARÂMETROS'!$B$11,MIN('01_PARÂMETROS'!$B$12,J414))</f>
        <v>1.1499999999999999</v>
      </c>
      <c r="L414" s="46">
        <f t="shared" si="20"/>
        <v>0.14999999999999991</v>
      </c>
      <c r="M414" s="47" t="str">
        <f>IF(K414&lt;='01_PARÂMETROS'!$B$14,"Preferencial",IF(K414&lt;='01_PARÂMETROS'!$B$15,"Baixo",IF(K414&lt;='01_PARÂMETROS'!$B$16,"Médio",IF(K414&lt;='01_PARÂMETROS'!$B$17,"Alto","Elevado"))))</f>
        <v>Alto</v>
      </c>
      <c r="N414" s="58" t="s">
        <v>486</v>
      </c>
      <c r="O414" s="61"/>
    </row>
    <row r="415" spans="1:15" ht="13.5" customHeight="1" x14ac:dyDescent="0.25">
      <c r="A415" s="24" t="s">
        <v>1155</v>
      </c>
      <c r="B415" s="38" t="s">
        <v>660</v>
      </c>
      <c r="C415" s="25" t="s">
        <v>1156</v>
      </c>
      <c r="D415" s="39" t="s">
        <v>662</v>
      </c>
      <c r="E415" s="64" t="s">
        <v>566</v>
      </c>
      <c r="F415" s="54" t="s">
        <v>485</v>
      </c>
      <c r="G415" s="54" t="s">
        <v>485</v>
      </c>
      <c r="H415" s="54" t="s">
        <v>485</v>
      </c>
      <c r="I415" s="43">
        <f>'01_PARÂMETROS'!$B$9</f>
        <v>50</v>
      </c>
      <c r="J415" s="44">
        <f t="shared" si="21"/>
        <v>1.1499999999999999</v>
      </c>
      <c r="K415" s="45">
        <f>MAX('01_PARÂMETROS'!$B$11,MIN('01_PARÂMETROS'!$B$12,J415))</f>
        <v>1.1499999999999999</v>
      </c>
      <c r="L415" s="46">
        <f t="shared" si="20"/>
        <v>0.14999999999999991</v>
      </c>
      <c r="M415" s="47" t="str">
        <f>IF(K415&lt;='01_PARÂMETROS'!$B$14,"Preferencial",IF(K415&lt;='01_PARÂMETROS'!$B$15,"Baixo",IF(K415&lt;='01_PARÂMETROS'!$B$16,"Médio",IF(K415&lt;='01_PARÂMETROS'!$B$17,"Alto","Elevado"))))</f>
        <v>Alto</v>
      </c>
      <c r="N415" s="58" t="s">
        <v>486</v>
      </c>
      <c r="O415" s="54"/>
    </row>
    <row r="416" spans="1:15" ht="13.5" customHeight="1" x14ac:dyDescent="0.25">
      <c r="A416" s="13" t="s">
        <v>1157</v>
      </c>
      <c r="B416" s="49" t="s">
        <v>660</v>
      </c>
      <c r="C416" s="14" t="s">
        <v>1158</v>
      </c>
      <c r="D416" s="50" t="s">
        <v>662</v>
      </c>
      <c r="E416" s="64" t="s">
        <v>566</v>
      </c>
      <c r="F416" s="54" t="s">
        <v>485</v>
      </c>
      <c r="G416" s="54" t="s">
        <v>485</v>
      </c>
      <c r="H416" s="54" t="s">
        <v>485</v>
      </c>
      <c r="I416" s="43">
        <f>'01_PARÂMETROS'!$B$9</f>
        <v>50</v>
      </c>
      <c r="J416" s="44">
        <f t="shared" si="21"/>
        <v>1.1499999999999999</v>
      </c>
      <c r="K416" s="45">
        <f>MAX('01_PARÂMETROS'!$B$11,MIN('01_PARÂMETROS'!$B$12,J416))</f>
        <v>1.1499999999999999</v>
      </c>
      <c r="L416" s="46">
        <f t="shared" si="20"/>
        <v>0.14999999999999991</v>
      </c>
      <c r="M416" s="47" t="str">
        <f>IF(K416&lt;='01_PARÂMETROS'!$B$14,"Preferencial",IF(K416&lt;='01_PARÂMETROS'!$B$15,"Baixo",IF(K416&lt;='01_PARÂMETROS'!$B$16,"Médio",IF(K416&lt;='01_PARÂMETROS'!$B$17,"Alto","Elevado"))))</f>
        <v>Alto</v>
      </c>
      <c r="N416" s="58" t="s">
        <v>486</v>
      </c>
      <c r="O416" s="61"/>
    </row>
    <row r="417" spans="1:15" ht="13.5" customHeight="1" x14ac:dyDescent="0.25">
      <c r="A417" s="24" t="s">
        <v>1159</v>
      </c>
      <c r="B417" s="38" t="s">
        <v>660</v>
      </c>
      <c r="C417" s="25" t="s">
        <v>1160</v>
      </c>
      <c r="D417" s="39" t="s">
        <v>662</v>
      </c>
      <c r="E417" s="64" t="s">
        <v>566</v>
      </c>
      <c r="F417" s="54" t="s">
        <v>485</v>
      </c>
      <c r="G417" s="54" t="s">
        <v>485</v>
      </c>
      <c r="H417" s="54" t="s">
        <v>485</v>
      </c>
      <c r="I417" s="43">
        <f>'01_PARÂMETROS'!$B$9</f>
        <v>50</v>
      </c>
      <c r="J417" s="44">
        <f t="shared" si="21"/>
        <v>1.1499999999999999</v>
      </c>
      <c r="K417" s="45">
        <f>MAX('01_PARÂMETROS'!$B$11,MIN('01_PARÂMETROS'!$B$12,J417))</f>
        <v>1.1499999999999999</v>
      </c>
      <c r="L417" s="46">
        <f t="shared" si="20"/>
        <v>0.14999999999999991</v>
      </c>
      <c r="M417" s="47" t="str">
        <f>IF(K417&lt;='01_PARÂMETROS'!$B$14,"Preferencial",IF(K417&lt;='01_PARÂMETROS'!$B$15,"Baixo",IF(K417&lt;='01_PARÂMETROS'!$B$16,"Médio",IF(K417&lt;='01_PARÂMETROS'!$B$17,"Alto","Elevado"))))</f>
        <v>Alto</v>
      </c>
      <c r="N417" s="58" t="s">
        <v>486</v>
      </c>
      <c r="O417" s="54"/>
    </row>
    <row r="418" spans="1:15" ht="13.5" customHeight="1" x14ac:dyDescent="0.25">
      <c r="A418" s="13" t="s">
        <v>1161</v>
      </c>
      <c r="B418" s="49" t="s">
        <v>660</v>
      </c>
      <c r="C418" s="14" t="s">
        <v>1162</v>
      </c>
      <c r="D418" s="50" t="s">
        <v>662</v>
      </c>
      <c r="E418" s="64" t="s">
        <v>566</v>
      </c>
      <c r="F418" s="54" t="s">
        <v>485</v>
      </c>
      <c r="G418" s="54" t="s">
        <v>485</v>
      </c>
      <c r="H418" s="54" t="s">
        <v>485</v>
      </c>
      <c r="I418" s="43">
        <f>'01_PARÂMETROS'!$B$9</f>
        <v>50</v>
      </c>
      <c r="J418" s="44">
        <f t="shared" si="21"/>
        <v>1.1499999999999999</v>
      </c>
      <c r="K418" s="45">
        <f>MAX('01_PARÂMETROS'!$B$11,MIN('01_PARÂMETROS'!$B$12,J418))</f>
        <v>1.1499999999999999</v>
      </c>
      <c r="L418" s="46">
        <f t="shared" si="20"/>
        <v>0.14999999999999991</v>
      </c>
      <c r="M418" s="47" t="str">
        <f>IF(K418&lt;='01_PARÂMETROS'!$B$14,"Preferencial",IF(K418&lt;='01_PARÂMETROS'!$B$15,"Baixo",IF(K418&lt;='01_PARÂMETROS'!$B$16,"Médio",IF(K418&lt;='01_PARÂMETROS'!$B$17,"Alto","Elevado"))))</f>
        <v>Alto</v>
      </c>
      <c r="N418" s="58" t="s">
        <v>486</v>
      </c>
      <c r="O418" s="61"/>
    </row>
    <row r="419" spans="1:15" ht="13.5" customHeight="1" x14ac:dyDescent="0.25">
      <c r="A419" s="24" t="s">
        <v>1163</v>
      </c>
      <c r="B419" s="38" t="s">
        <v>660</v>
      </c>
      <c r="C419" s="25" t="s">
        <v>1164</v>
      </c>
      <c r="D419" s="39" t="s">
        <v>662</v>
      </c>
      <c r="E419" s="64" t="s">
        <v>566</v>
      </c>
      <c r="F419" s="54" t="s">
        <v>485</v>
      </c>
      <c r="G419" s="54" t="s">
        <v>485</v>
      </c>
      <c r="H419" s="54" t="s">
        <v>485</v>
      </c>
      <c r="I419" s="43">
        <f>'01_PARÂMETROS'!$B$9</f>
        <v>50</v>
      </c>
      <c r="J419" s="44">
        <f t="shared" si="21"/>
        <v>1.1499999999999999</v>
      </c>
      <c r="K419" s="45">
        <f>MAX('01_PARÂMETROS'!$B$11,MIN('01_PARÂMETROS'!$B$12,J419))</f>
        <v>1.1499999999999999</v>
      </c>
      <c r="L419" s="46">
        <f t="shared" si="20"/>
        <v>0.14999999999999991</v>
      </c>
      <c r="M419" s="47" t="str">
        <f>IF(K419&lt;='01_PARÂMETROS'!$B$14,"Preferencial",IF(K419&lt;='01_PARÂMETROS'!$B$15,"Baixo",IF(K419&lt;='01_PARÂMETROS'!$B$16,"Médio",IF(K419&lt;='01_PARÂMETROS'!$B$17,"Alto","Elevado"))))</f>
        <v>Alto</v>
      </c>
      <c r="N419" s="58" t="s">
        <v>486</v>
      </c>
      <c r="O419" s="54"/>
    </row>
    <row r="420" spans="1:15" ht="13.5" customHeight="1" x14ac:dyDescent="0.25">
      <c r="A420" s="13" t="s">
        <v>1165</v>
      </c>
      <c r="B420" s="49" t="s">
        <v>660</v>
      </c>
      <c r="C420" s="14" t="s">
        <v>1166</v>
      </c>
      <c r="D420" s="50" t="s">
        <v>662</v>
      </c>
      <c r="E420" s="64" t="s">
        <v>566</v>
      </c>
      <c r="F420" s="54" t="s">
        <v>485</v>
      </c>
      <c r="G420" s="54" t="s">
        <v>485</v>
      </c>
      <c r="H420" s="54" t="s">
        <v>485</v>
      </c>
      <c r="I420" s="43">
        <f>'01_PARÂMETROS'!$B$9</f>
        <v>50</v>
      </c>
      <c r="J420" s="44">
        <f t="shared" si="21"/>
        <v>1.1499999999999999</v>
      </c>
      <c r="K420" s="45">
        <f>MAX('01_PARÂMETROS'!$B$11,MIN('01_PARÂMETROS'!$B$12,J420))</f>
        <v>1.1499999999999999</v>
      </c>
      <c r="L420" s="46">
        <f t="shared" si="20"/>
        <v>0.14999999999999991</v>
      </c>
      <c r="M420" s="47" t="str">
        <f>IF(K420&lt;='01_PARÂMETROS'!$B$14,"Preferencial",IF(K420&lt;='01_PARÂMETROS'!$B$15,"Baixo",IF(K420&lt;='01_PARÂMETROS'!$B$16,"Médio",IF(K420&lt;='01_PARÂMETROS'!$B$17,"Alto","Elevado"))))</f>
        <v>Alto</v>
      </c>
      <c r="N420" s="58" t="s">
        <v>486</v>
      </c>
      <c r="O420" s="61"/>
    </row>
    <row r="421" spans="1:15" ht="13.5" customHeight="1" x14ac:dyDescent="0.25">
      <c r="A421" s="24" t="s">
        <v>1167</v>
      </c>
      <c r="B421" s="38" t="s">
        <v>660</v>
      </c>
      <c r="C421" s="25" t="s">
        <v>1168</v>
      </c>
      <c r="D421" s="39" t="s">
        <v>662</v>
      </c>
      <c r="E421" s="64" t="s">
        <v>566</v>
      </c>
      <c r="F421" s="54" t="s">
        <v>485</v>
      </c>
      <c r="G421" s="54" t="s">
        <v>485</v>
      </c>
      <c r="H421" s="54" t="s">
        <v>485</v>
      </c>
      <c r="I421" s="43">
        <f>'01_PARÂMETROS'!$B$9</f>
        <v>50</v>
      </c>
      <c r="J421" s="44">
        <f t="shared" si="21"/>
        <v>1.1499999999999999</v>
      </c>
      <c r="K421" s="45">
        <f>MAX('01_PARÂMETROS'!$B$11,MIN('01_PARÂMETROS'!$B$12,J421))</f>
        <v>1.1499999999999999</v>
      </c>
      <c r="L421" s="46">
        <f t="shared" si="20"/>
        <v>0.14999999999999991</v>
      </c>
      <c r="M421" s="47" t="str">
        <f>IF(K421&lt;='01_PARÂMETROS'!$B$14,"Preferencial",IF(K421&lt;='01_PARÂMETROS'!$B$15,"Baixo",IF(K421&lt;='01_PARÂMETROS'!$B$16,"Médio",IF(K421&lt;='01_PARÂMETROS'!$B$17,"Alto","Elevado"))))</f>
        <v>Alto</v>
      </c>
      <c r="N421" s="58" t="s">
        <v>486</v>
      </c>
      <c r="O421" s="54"/>
    </row>
    <row r="422" spans="1:15" ht="13.5" customHeight="1" x14ac:dyDescent="0.25">
      <c r="A422" s="13" t="s">
        <v>1169</v>
      </c>
      <c r="B422" s="49" t="s">
        <v>660</v>
      </c>
      <c r="C422" s="14" t="s">
        <v>1170</v>
      </c>
      <c r="D422" s="50" t="s">
        <v>662</v>
      </c>
      <c r="E422" s="64" t="s">
        <v>566</v>
      </c>
      <c r="F422" s="54" t="s">
        <v>485</v>
      </c>
      <c r="G422" s="54" t="s">
        <v>485</v>
      </c>
      <c r="H422" s="54" t="s">
        <v>485</v>
      </c>
      <c r="I422" s="43">
        <f>'01_PARÂMETROS'!$B$9</f>
        <v>50</v>
      </c>
      <c r="J422" s="44">
        <f t="shared" si="21"/>
        <v>1.1499999999999999</v>
      </c>
      <c r="K422" s="45">
        <f>MAX('01_PARÂMETROS'!$B$11,MIN('01_PARÂMETROS'!$B$12,J422))</f>
        <v>1.1499999999999999</v>
      </c>
      <c r="L422" s="46">
        <f t="shared" si="20"/>
        <v>0.14999999999999991</v>
      </c>
      <c r="M422" s="47" t="str">
        <f>IF(K422&lt;='01_PARÂMETROS'!$B$14,"Preferencial",IF(K422&lt;='01_PARÂMETROS'!$B$15,"Baixo",IF(K422&lt;='01_PARÂMETROS'!$B$16,"Médio",IF(K422&lt;='01_PARÂMETROS'!$B$17,"Alto","Elevado"))))</f>
        <v>Alto</v>
      </c>
      <c r="N422" s="58" t="s">
        <v>486</v>
      </c>
      <c r="O422" s="61"/>
    </row>
    <row r="423" spans="1:15" ht="13.5" customHeight="1" x14ac:dyDescent="0.25">
      <c r="A423" s="24" t="s">
        <v>1171</v>
      </c>
      <c r="B423" s="38" t="s">
        <v>660</v>
      </c>
      <c r="C423" s="25" t="s">
        <v>1172</v>
      </c>
      <c r="D423" s="39" t="s">
        <v>662</v>
      </c>
      <c r="E423" s="64" t="s">
        <v>566</v>
      </c>
      <c r="F423" s="54" t="s">
        <v>485</v>
      </c>
      <c r="G423" s="54" t="s">
        <v>485</v>
      </c>
      <c r="H423" s="54" t="s">
        <v>485</v>
      </c>
      <c r="I423" s="43">
        <f>'01_PARÂMETROS'!$B$9</f>
        <v>50</v>
      </c>
      <c r="J423" s="44">
        <f t="shared" si="21"/>
        <v>1.1499999999999999</v>
      </c>
      <c r="K423" s="45">
        <f>MAX('01_PARÂMETROS'!$B$11,MIN('01_PARÂMETROS'!$B$12,J423))</f>
        <v>1.1499999999999999</v>
      </c>
      <c r="L423" s="46">
        <f t="shared" si="20"/>
        <v>0.14999999999999991</v>
      </c>
      <c r="M423" s="47" t="str">
        <f>IF(K423&lt;='01_PARÂMETROS'!$B$14,"Preferencial",IF(K423&lt;='01_PARÂMETROS'!$B$15,"Baixo",IF(K423&lt;='01_PARÂMETROS'!$B$16,"Médio",IF(K423&lt;='01_PARÂMETROS'!$B$17,"Alto","Elevado"))))</f>
        <v>Alto</v>
      </c>
      <c r="N423" s="58" t="s">
        <v>486</v>
      </c>
      <c r="O423" s="54"/>
    </row>
    <row r="424" spans="1:15" ht="13.5" customHeight="1" x14ac:dyDescent="0.25">
      <c r="A424" s="13" t="s">
        <v>1173</v>
      </c>
      <c r="B424" s="49" t="s">
        <v>660</v>
      </c>
      <c r="C424" s="14" t="s">
        <v>1174</v>
      </c>
      <c r="D424" s="50" t="s">
        <v>662</v>
      </c>
      <c r="E424" s="64" t="s">
        <v>566</v>
      </c>
      <c r="F424" s="54" t="s">
        <v>485</v>
      </c>
      <c r="G424" s="54" t="s">
        <v>485</v>
      </c>
      <c r="H424" s="54" t="s">
        <v>485</v>
      </c>
      <c r="I424" s="43">
        <f>'01_PARÂMETROS'!$B$9</f>
        <v>50</v>
      </c>
      <c r="J424" s="44">
        <f t="shared" si="21"/>
        <v>1.1499999999999999</v>
      </c>
      <c r="K424" s="45">
        <f>MAX('01_PARÂMETROS'!$B$11,MIN('01_PARÂMETROS'!$B$12,J424))</f>
        <v>1.1499999999999999</v>
      </c>
      <c r="L424" s="46">
        <f t="shared" si="20"/>
        <v>0.14999999999999991</v>
      </c>
      <c r="M424" s="47" t="str">
        <f>IF(K424&lt;='01_PARÂMETROS'!$B$14,"Preferencial",IF(K424&lt;='01_PARÂMETROS'!$B$15,"Baixo",IF(K424&lt;='01_PARÂMETROS'!$B$16,"Médio",IF(K424&lt;='01_PARÂMETROS'!$B$17,"Alto","Elevado"))))</f>
        <v>Alto</v>
      </c>
      <c r="N424" s="58" t="s">
        <v>486</v>
      </c>
      <c r="O424" s="61"/>
    </row>
    <row r="425" spans="1:15" ht="13.5" customHeight="1" x14ac:dyDescent="0.25">
      <c r="A425" s="24" t="s">
        <v>1175</v>
      </c>
      <c r="B425" s="38" t="s">
        <v>660</v>
      </c>
      <c r="C425" s="25" t="s">
        <v>1176</v>
      </c>
      <c r="D425" s="39" t="s">
        <v>662</v>
      </c>
      <c r="E425" s="64" t="s">
        <v>566</v>
      </c>
      <c r="F425" s="54" t="s">
        <v>485</v>
      </c>
      <c r="G425" s="54" t="s">
        <v>485</v>
      </c>
      <c r="H425" s="54" t="s">
        <v>485</v>
      </c>
      <c r="I425" s="43">
        <f>'01_PARÂMETROS'!$B$9</f>
        <v>50</v>
      </c>
      <c r="J425" s="44">
        <f t="shared" si="21"/>
        <v>1.1499999999999999</v>
      </c>
      <c r="K425" s="45">
        <f>MAX('01_PARÂMETROS'!$B$11,MIN('01_PARÂMETROS'!$B$12,J425))</f>
        <v>1.1499999999999999</v>
      </c>
      <c r="L425" s="46">
        <f t="shared" si="20"/>
        <v>0.14999999999999991</v>
      </c>
      <c r="M425" s="47" t="str">
        <f>IF(K425&lt;='01_PARÂMETROS'!$B$14,"Preferencial",IF(K425&lt;='01_PARÂMETROS'!$B$15,"Baixo",IF(K425&lt;='01_PARÂMETROS'!$B$16,"Médio",IF(K425&lt;='01_PARÂMETROS'!$B$17,"Alto","Elevado"))))</f>
        <v>Alto</v>
      </c>
      <c r="N425" s="58" t="s">
        <v>486</v>
      </c>
      <c r="O425" s="54"/>
    </row>
    <row r="426" spans="1:15" ht="13.5" customHeight="1" x14ac:dyDescent="0.25">
      <c r="A426" s="13" t="s">
        <v>1177</v>
      </c>
      <c r="B426" s="49" t="s">
        <v>660</v>
      </c>
      <c r="C426" s="14" t="s">
        <v>1178</v>
      </c>
      <c r="D426" s="50" t="s">
        <v>662</v>
      </c>
      <c r="E426" s="64" t="s">
        <v>566</v>
      </c>
      <c r="F426" s="54" t="s">
        <v>485</v>
      </c>
      <c r="G426" s="54" t="s">
        <v>485</v>
      </c>
      <c r="H426" s="54" t="s">
        <v>485</v>
      </c>
      <c r="I426" s="43">
        <f>'01_PARÂMETROS'!$B$9</f>
        <v>50</v>
      </c>
      <c r="J426" s="44">
        <f t="shared" si="21"/>
        <v>1.1499999999999999</v>
      </c>
      <c r="K426" s="45">
        <f>MAX('01_PARÂMETROS'!$B$11,MIN('01_PARÂMETROS'!$B$12,J426))</f>
        <v>1.1499999999999999</v>
      </c>
      <c r="L426" s="46">
        <f t="shared" si="20"/>
        <v>0.14999999999999991</v>
      </c>
      <c r="M426" s="47" t="str">
        <f>IF(K426&lt;='01_PARÂMETROS'!$B$14,"Preferencial",IF(K426&lt;='01_PARÂMETROS'!$B$15,"Baixo",IF(K426&lt;='01_PARÂMETROS'!$B$16,"Médio",IF(K426&lt;='01_PARÂMETROS'!$B$17,"Alto","Elevado"))))</f>
        <v>Alto</v>
      </c>
      <c r="N426" s="58" t="s">
        <v>486</v>
      </c>
      <c r="O426" s="61"/>
    </row>
    <row r="427" spans="1:15" ht="13.5" customHeight="1" x14ac:dyDescent="0.25">
      <c r="A427" s="24" t="s">
        <v>1179</v>
      </c>
      <c r="B427" s="38" t="s">
        <v>660</v>
      </c>
      <c r="C427" s="25" t="s">
        <v>1180</v>
      </c>
      <c r="D427" s="39" t="s">
        <v>662</v>
      </c>
      <c r="E427" s="64" t="s">
        <v>566</v>
      </c>
      <c r="F427" s="54" t="s">
        <v>485</v>
      </c>
      <c r="G427" s="54" t="s">
        <v>485</v>
      </c>
      <c r="H427" s="54" t="s">
        <v>485</v>
      </c>
      <c r="I427" s="43">
        <f>'01_PARÂMETROS'!$B$9</f>
        <v>50</v>
      </c>
      <c r="J427" s="44">
        <f t="shared" si="21"/>
        <v>1.1499999999999999</v>
      </c>
      <c r="K427" s="45">
        <f>MAX('01_PARÂMETROS'!$B$11,MIN('01_PARÂMETROS'!$B$12,J427))</f>
        <v>1.1499999999999999</v>
      </c>
      <c r="L427" s="46">
        <f t="shared" si="20"/>
        <v>0.14999999999999991</v>
      </c>
      <c r="M427" s="47" t="str">
        <f>IF(K427&lt;='01_PARÂMETROS'!$B$14,"Preferencial",IF(K427&lt;='01_PARÂMETROS'!$B$15,"Baixo",IF(K427&lt;='01_PARÂMETROS'!$B$16,"Médio",IF(K427&lt;='01_PARÂMETROS'!$B$17,"Alto","Elevado"))))</f>
        <v>Alto</v>
      </c>
      <c r="N427" s="58" t="s">
        <v>486</v>
      </c>
      <c r="O427" s="54"/>
    </row>
    <row r="428" spans="1:15" ht="13.5" customHeight="1" x14ac:dyDescent="0.25">
      <c r="A428" s="13" t="s">
        <v>1181</v>
      </c>
      <c r="B428" s="49" t="s">
        <v>660</v>
      </c>
      <c r="C428" s="14" t="s">
        <v>1182</v>
      </c>
      <c r="D428" s="50" t="s">
        <v>662</v>
      </c>
      <c r="E428" s="64" t="s">
        <v>566</v>
      </c>
      <c r="F428" s="54" t="s">
        <v>485</v>
      </c>
      <c r="G428" s="54" t="s">
        <v>485</v>
      </c>
      <c r="H428" s="54" t="s">
        <v>485</v>
      </c>
      <c r="I428" s="43">
        <f>'01_PARÂMETROS'!$B$9</f>
        <v>50</v>
      </c>
      <c r="J428" s="44">
        <f t="shared" si="21"/>
        <v>1.1499999999999999</v>
      </c>
      <c r="K428" s="45">
        <f>MAX('01_PARÂMETROS'!$B$11,MIN('01_PARÂMETROS'!$B$12,J428))</f>
        <v>1.1499999999999999</v>
      </c>
      <c r="L428" s="46">
        <f t="shared" si="20"/>
        <v>0.14999999999999991</v>
      </c>
      <c r="M428" s="47" t="str">
        <f>IF(K428&lt;='01_PARÂMETROS'!$B$14,"Preferencial",IF(K428&lt;='01_PARÂMETROS'!$B$15,"Baixo",IF(K428&lt;='01_PARÂMETROS'!$B$16,"Médio",IF(K428&lt;='01_PARÂMETROS'!$B$17,"Alto","Elevado"))))</f>
        <v>Alto</v>
      </c>
      <c r="N428" s="58" t="s">
        <v>486</v>
      </c>
      <c r="O428" s="61"/>
    </row>
    <row r="429" spans="1:15" ht="13.5" customHeight="1" x14ac:dyDescent="0.25">
      <c r="A429" s="24" t="s">
        <v>1183</v>
      </c>
      <c r="B429" s="38" t="s">
        <v>660</v>
      </c>
      <c r="C429" s="25" t="s">
        <v>1184</v>
      </c>
      <c r="D429" s="39" t="s">
        <v>662</v>
      </c>
      <c r="E429" s="64" t="s">
        <v>566</v>
      </c>
      <c r="F429" s="54" t="s">
        <v>485</v>
      </c>
      <c r="G429" s="54" t="s">
        <v>485</v>
      </c>
      <c r="H429" s="54" t="s">
        <v>485</v>
      </c>
      <c r="I429" s="43">
        <f>'01_PARÂMETROS'!$B$9</f>
        <v>50</v>
      </c>
      <c r="J429" s="44">
        <f t="shared" si="21"/>
        <v>1.1499999999999999</v>
      </c>
      <c r="K429" s="45">
        <f>MAX('01_PARÂMETROS'!$B$11,MIN('01_PARÂMETROS'!$B$12,J429))</f>
        <v>1.1499999999999999</v>
      </c>
      <c r="L429" s="46">
        <f t="shared" si="20"/>
        <v>0.14999999999999991</v>
      </c>
      <c r="M429" s="47" t="str">
        <f>IF(K429&lt;='01_PARÂMETROS'!$B$14,"Preferencial",IF(K429&lt;='01_PARÂMETROS'!$B$15,"Baixo",IF(K429&lt;='01_PARÂMETROS'!$B$16,"Médio",IF(K429&lt;='01_PARÂMETROS'!$B$17,"Alto","Elevado"))))</f>
        <v>Alto</v>
      </c>
      <c r="N429" s="58" t="s">
        <v>486</v>
      </c>
      <c r="O429" s="54"/>
    </row>
    <row r="430" spans="1:15" ht="13.5" customHeight="1" x14ac:dyDescent="0.25">
      <c r="A430" s="13" t="s">
        <v>1185</v>
      </c>
      <c r="B430" s="49" t="s">
        <v>660</v>
      </c>
      <c r="C430" s="14" t="s">
        <v>1186</v>
      </c>
      <c r="D430" s="50" t="s">
        <v>662</v>
      </c>
      <c r="E430" s="64" t="s">
        <v>566</v>
      </c>
      <c r="F430" s="54" t="s">
        <v>485</v>
      </c>
      <c r="G430" s="54" t="s">
        <v>485</v>
      </c>
      <c r="H430" s="54" t="s">
        <v>485</v>
      </c>
      <c r="I430" s="43">
        <f>'01_PARÂMETROS'!$B$9</f>
        <v>50</v>
      </c>
      <c r="J430" s="44">
        <f t="shared" si="21"/>
        <v>1.1499999999999999</v>
      </c>
      <c r="K430" s="45">
        <f>MAX('01_PARÂMETROS'!$B$11,MIN('01_PARÂMETROS'!$B$12,J430))</f>
        <v>1.1499999999999999</v>
      </c>
      <c r="L430" s="46">
        <f t="shared" si="20"/>
        <v>0.14999999999999991</v>
      </c>
      <c r="M430" s="47" t="str">
        <f>IF(K430&lt;='01_PARÂMETROS'!$B$14,"Preferencial",IF(K430&lt;='01_PARÂMETROS'!$B$15,"Baixo",IF(K430&lt;='01_PARÂMETROS'!$B$16,"Médio",IF(K430&lt;='01_PARÂMETROS'!$B$17,"Alto","Elevado"))))</f>
        <v>Alto</v>
      </c>
      <c r="N430" s="58" t="s">
        <v>486</v>
      </c>
      <c r="O430" s="61"/>
    </row>
    <row r="431" spans="1:15" ht="13.5" customHeight="1" x14ac:dyDescent="0.25">
      <c r="A431" s="24" t="s">
        <v>1187</v>
      </c>
      <c r="B431" s="38" t="s">
        <v>660</v>
      </c>
      <c r="C431" s="25" t="s">
        <v>1188</v>
      </c>
      <c r="D431" s="39" t="s">
        <v>662</v>
      </c>
      <c r="E431" s="64" t="s">
        <v>566</v>
      </c>
      <c r="F431" s="54" t="s">
        <v>485</v>
      </c>
      <c r="G431" s="54" t="s">
        <v>485</v>
      </c>
      <c r="H431" s="54" t="s">
        <v>485</v>
      </c>
      <c r="I431" s="43">
        <f>'01_PARÂMETROS'!$B$9</f>
        <v>50</v>
      </c>
      <c r="J431" s="44">
        <f t="shared" si="21"/>
        <v>1.1499999999999999</v>
      </c>
      <c r="K431" s="45">
        <f>MAX('01_PARÂMETROS'!$B$11,MIN('01_PARÂMETROS'!$B$12,J431))</f>
        <v>1.1499999999999999</v>
      </c>
      <c r="L431" s="46">
        <f t="shared" si="20"/>
        <v>0.14999999999999991</v>
      </c>
      <c r="M431" s="47" t="str">
        <f>IF(K431&lt;='01_PARÂMETROS'!$B$14,"Preferencial",IF(K431&lt;='01_PARÂMETROS'!$B$15,"Baixo",IF(K431&lt;='01_PARÂMETROS'!$B$16,"Médio",IF(K431&lt;='01_PARÂMETROS'!$B$17,"Alto","Elevado"))))</f>
        <v>Alto</v>
      </c>
      <c r="N431" s="58" t="s">
        <v>486</v>
      </c>
      <c r="O431" s="54"/>
    </row>
    <row r="432" spans="1:15" ht="13.5" customHeight="1" x14ac:dyDescent="0.25">
      <c r="A432" s="13" t="s">
        <v>1189</v>
      </c>
      <c r="B432" s="49" t="s">
        <v>660</v>
      </c>
      <c r="C432" s="14" t="s">
        <v>1190</v>
      </c>
      <c r="D432" s="50" t="s">
        <v>1191</v>
      </c>
      <c r="E432" s="65" t="s">
        <v>841</v>
      </c>
      <c r="F432" s="54" t="s">
        <v>485</v>
      </c>
      <c r="G432" s="54" t="s">
        <v>485</v>
      </c>
      <c r="H432" s="54" t="s">
        <v>485</v>
      </c>
      <c r="I432" s="43">
        <f>'01_PARÂMETROS'!$B$9</f>
        <v>50</v>
      </c>
      <c r="J432" s="44">
        <f t="shared" ref="J432:J443" si="22">0.9</f>
        <v>0.9</v>
      </c>
      <c r="K432" s="62">
        <f>MAX('01_PARÂMETROS'!$B$11,MIN('01_PARÂMETROS'!$B$12,J432))</f>
        <v>0.9</v>
      </c>
      <c r="L432" s="63">
        <f t="shared" si="20"/>
        <v>-9.9999999999999978E-2</v>
      </c>
      <c r="M432" s="17" t="str">
        <f>IF(K432&lt;='01_PARÂMETROS'!$B$14,"Preferencial",IF(K432&lt;='01_PARÂMETROS'!$B$15,"Baixo",IF(K432&lt;='01_PARÂMETROS'!$B$16,"Médio",IF(K432&lt;='01_PARÂMETROS'!$B$17,"Alto","Elevado"))))</f>
        <v>Baixo</v>
      </c>
      <c r="N432" s="58" t="s">
        <v>486</v>
      </c>
      <c r="O432" s="61"/>
    </row>
    <row r="433" spans="1:15" ht="13.5" customHeight="1" x14ac:dyDescent="0.25">
      <c r="A433" s="24" t="s">
        <v>1192</v>
      </c>
      <c r="B433" s="38" t="s">
        <v>660</v>
      </c>
      <c r="C433" s="25" t="s">
        <v>1193</v>
      </c>
      <c r="D433" s="39" t="s">
        <v>1191</v>
      </c>
      <c r="E433" s="65" t="s">
        <v>841</v>
      </c>
      <c r="F433" s="54" t="s">
        <v>485</v>
      </c>
      <c r="G433" s="54" t="s">
        <v>485</v>
      </c>
      <c r="H433" s="54" t="s">
        <v>485</v>
      </c>
      <c r="I433" s="43">
        <f>'01_PARÂMETROS'!$B$9</f>
        <v>50</v>
      </c>
      <c r="J433" s="44">
        <f t="shared" si="22"/>
        <v>0.9</v>
      </c>
      <c r="K433" s="62">
        <f>MAX('01_PARÂMETROS'!$B$11,MIN('01_PARÂMETROS'!$B$12,J433))</f>
        <v>0.9</v>
      </c>
      <c r="L433" s="63">
        <f t="shared" si="20"/>
        <v>-9.9999999999999978E-2</v>
      </c>
      <c r="M433" s="17" t="str">
        <f>IF(K433&lt;='01_PARÂMETROS'!$B$14,"Preferencial",IF(K433&lt;='01_PARÂMETROS'!$B$15,"Baixo",IF(K433&lt;='01_PARÂMETROS'!$B$16,"Médio",IF(K433&lt;='01_PARÂMETROS'!$B$17,"Alto","Elevado"))))</f>
        <v>Baixo</v>
      </c>
      <c r="N433" s="58" t="s">
        <v>486</v>
      </c>
      <c r="O433" s="54"/>
    </row>
    <row r="434" spans="1:15" ht="13.5" customHeight="1" x14ac:dyDescent="0.25">
      <c r="A434" s="13" t="s">
        <v>1194</v>
      </c>
      <c r="B434" s="49" t="s">
        <v>660</v>
      </c>
      <c r="C434" s="14" t="s">
        <v>1195</v>
      </c>
      <c r="D434" s="50" t="s">
        <v>1191</v>
      </c>
      <c r="E434" s="65" t="s">
        <v>841</v>
      </c>
      <c r="F434" s="54" t="s">
        <v>485</v>
      </c>
      <c r="G434" s="54" t="s">
        <v>485</v>
      </c>
      <c r="H434" s="54" t="s">
        <v>485</v>
      </c>
      <c r="I434" s="43">
        <f>'01_PARÂMETROS'!$B$9</f>
        <v>50</v>
      </c>
      <c r="J434" s="44">
        <f t="shared" si="22"/>
        <v>0.9</v>
      </c>
      <c r="K434" s="62">
        <f>MAX('01_PARÂMETROS'!$B$11,MIN('01_PARÂMETROS'!$B$12,J434))</f>
        <v>0.9</v>
      </c>
      <c r="L434" s="63">
        <f t="shared" si="20"/>
        <v>-9.9999999999999978E-2</v>
      </c>
      <c r="M434" s="17" t="str">
        <f>IF(K434&lt;='01_PARÂMETROS'!$B$14,"Preferencial",IF(K434&lt;='01_PARÂMETROS'!$B$15,"Baixo",IF(K434&lt;='01_PARÂMETROS'!$B$16,"Médio",IF(K434&lt;='01_PARÂMETROS'!$B$17,"Alto","Elevado"))))</f>
        <v>Baixo</v>
      </c>
      <c r="N434" s="58" t="s">
        <v>486</v>
      </c>
      <c r="O434" s="61"/>
    </row>
    <row r="435" spans="1:15" ht="13.5" customHeight="1" x14ac:dyDescent="0.25">
      <c r="A435" s="24" t="s">
        <v>1196</v>
      </c>
      <c r="B435" s="38" t="s">
        <v>660</v>
      </c>
      <c r="C435" s="25" t="s">
        <v>1197</v>
      </c>
      <c r="D435" s="39" t="s">
        <v>1191</v>
      </c>
      <c r="E435" s="65" t="s">
        <v>841</v>
      </c>
      <c r="F435" s="54" t="s">
        <v>485</v>
      </c>
      <c r="G435" s="54" t="s">
        <v>485</v>
      </c>
      <c r="H435" s="54" t="s">
        <v>485</v>
      </c>
      <c r="I435" s="43">
        <f>'01_PARÂMETROS'!$B$9</f>
        <v>50</v>
      </c>
      <c r="J435" s="44">
        <f t="shared" si="22"/>
        <v>0.9</v>
      </c>
      <c r="K435" s="62">
        <f>MAX('01_PARÂMETROS'!$B$11,MIN('01_PARÂMETROS'!$B$12,J435))</f>
        <v>0.9</v>
      </c>
      <c r="L435" s="63">
        <f t="shared" si="20"/>
        <v>-9.9999999999999978E-2</v>
      </c>
      <c r="M435" s="17" t="str">
        <f>IF(K435&lt;='01_PARÂMETROS'!$B$14,"Preferencial",IF(K435&lt;='01_PARÂMETROS'!$B$15,"Baixo",IF(K435&lt;='01_PARÂMETROS'!$B$16,"Médio",IF(K435&lt;='01_PARÂMETROS'!$B$17,"Alto","Elevado"))))</f>
        <v>Baixo</v>
      </c>
      <c r="N435" s="58" t="s">
        <v>486</v>
      </c>
      <c r="O435" s="54"/>
    </row>
    <row r="436" spans="1:15" ht="13.5" customHeight="1" x14ac:dyDescent="0.25">
      <c r="A436" s="13" t="s">
        <v>1198</v>
      </c>
      <c r="B436" s="49" t="s">
        <v>660</v>
      </c>
      <c r="C436" s="14" t="s">
        <v>1199</v>
      </c>
      <c r="D436" s="50" t="s">
        <v>1191</v>
      </c>
      <c r="E436" s="65" t="s">
        <v>841</v>
      </c>
      <c r="F436" s="54" t="s">
        <v>485</v>
      </c>
      <c r="G436" s="54" t="s">
        <v>485</v>
      </c>
      <c r="H436" s="54" t="s">
        <v>485</v>
      </c>
      <c r="I436" s="43">
        <f>'01_PARÂMETROS'!$B$9</f>
        <v>50</v>
      </c>
      <c r="J436" s="44">
        <f t="shared" si="22"/>
        <v>0.9</v>
      </c>
      <c r="K436" s="62">
        <f>MAX('01_PARÂMETROS'!$B$11,MIN('01_PARÂMETROS'!$B$12,J436))</f>
        <v>0.9</v>
      </c>
      <c r="L436" s="63">
        <f t="shared" si="20"/>
        <v>-9.9999999999999978E-2</v>
      </c>
      <c r="M436" s="17" t="str">
        <f>IF(K436&lt;='01_PARÂMETROS'!$B$14,"Preferencial",IF(K436&lt;='01_PARÂMETROS'!$B$15,"Baixo",IF(K436&lt;='01_PARÂMETROS'!$B$16,"Médio",IF(K436&lt;='01_PARÂMETROS'!$B$17,"Alto","Elevado"))))</f>
        <v>Baixo</v>
      </c>
      <c r="N436" s="58" t="s">
        <v>486</v>
      </c>
      <c r="O436" s="61"/>
    </row>
    <row r="437" spans="1:15" ht="13.5" customHeight="1" x14ac:dyDescent="0.25">
      <c r="A437" s="24" t="s">
        <v>1200</v>
      </c>
      <c r="B437" s="38" t="s">
        <v>660</v>
      </c>
      <c r="C437" s="25" t="s">
        <v>1201</v>
      </c>
      <c r="D437" s="39" t="s">
        <v>1191</v>
      </c>
      <c r="E437" s="65" t="s">
        <v>841</v>
      </c>
      <c r="F437" s="54" t="s">
        <v>485</v>
      </c>
      <c r="G437" s="54" t="s">
        <v>485</v>
      </c>
      <c r="H437" s="54" t="s">
        <v>485</v>
      </c>
      <c r="I437" s="43">
        <f>'01_PARÂMETROS'!$B$9</f>
        <v>50</v>
      </c>
      <c r="J437" s="44">
        <f t="shared" si="22"/>
        <v>0.9</v>
      </c>
      <c r="K437" s="62">
        <f>MAX('01_PARÂMETROS'!$B$11,MIN('01_PARÂMETROS'!$B$12,J437))</f>
        <v>0.9</v>
      </c>
      <c r="L437" s="63">
        <f t="shared" si="20"/>
        <v>-9.9999999999999978E-2</v>
      </c>
      <c r="M437" s="17" t="str">
        <f>IF(K437&lt;='01_PARÂMETROS'!$B$14,"Preferencial",IF(K437&lt;='01_PARÂMETROS'!$B$15,"Baixo",IF(K437&lt;='01_PARÂMETROS'!$B$16,"Médio",IF(K437&lt;='01_PARÂMETROS'!$B$17,"Alto","Elevado"))))</f>
        <v>Baixo</v>
      </c>
      <c r="N437" s="58" t="s">
        <v>486</v>
      </c>
      <c r="O437" s="54"/>
    </row>
    <row r="438" spans="1:15" ht="13.5" customHeight="1" x14ac:dyDescent="0.25">
      <c r="A438" s="13" t="s">
        <v>1202</v>
      </c>
      <c r="B438" s="49" t="s">
        <v>660</v>
      </c>
      <c r="C438" s="14" t="s">
        <v>1203</v>
      </c>
      <c r="D438" s="50" t="s">
        <v>1191</v>
      </c>
      <c r="E438" s="65" t="s">
        <v>841</v>
      </c>
      <c r="F438" s="54" t="s">
        <v>485</v>
      </c>
      <c r="G438" s="54" t="s">
        <v>485</v>
      </c>
      <c r="H438" s="54" t="s">
        <v>485</v>
      </c>
      <c r="I438" s="43">
        <f>'01_PARÂMETROS'!$B$9</f>
        <v>50</v>
      </c>
      <c r="J438" s="44">
        <f t="shared" si="22"/>
        <v>0.9</v>
      </c>
      <c r="K438" s="62">
        <f>MAX('01_PARÂMETROS'!$B$11,MIN('01_PARÂMETROS'!$B$12,J438))</f>
        <v>0.9</v>
      </c>
      <c r="L438" s="63">
        <f t="shared" si="20"/>
        <v>-9.9999999999999978E-2</v>
      </c>
      <c r="M438" s="17" t="str">
        <f>IF(K438&lt;='01_PARÂMETROS'!$B$14,"Preferencial",IF(K438&lt;='01_PARÂMETROS'!$B$15,"Baixo",IF(K438&lt;='01_PARÂMETROS'!$B$16,"Médio",IF(K438&lt;='01_PARÂMETROS'!$B$17,"Alto","Elevado"))))</f>
        <v>Baixo</v>
      </c>
      <c r="N438" s="58" t="s">
        <v>486</v>
      </c>
      <c r="O438" s="61"/>
    </row>
    <row r="439" spans="1:15" ht="13.5" customHeight="1" x14ac:dyDescent="0.25">
      <c r="A439" s="24" t="s">
        <v>1204</v>
      </c>
      <c r="B439" s="38" t="s">
        <v>660</v>
      </c>
      <c r="C439" s="25" t="s">
        <v>1205</v>
      </c>
      <c r="D439" s="39" t="s">
        <v>1191</v>
      </c>
      <c r="E439" s="65" t="s">
        <v>841</v>
      </c>
      <c r="F439" s="54" t="s">
        <v>485</v>
      </c>
      <c r="G439" s="54" t="s">
        <v>485</v>
      </c>
      <c r="H439" s="54" t="s">
        <v>485</v>
      </c>
      <c r="I439" s="43">
        <f>'01_PARÂMETROS'!$B$9</f>
        <v>50</v>
      </c>
      <c r="J439" s="44">
        <f t="shared" si="22"/>
        <v>0.9</v>
      </c>
      <c r="K439" s="62">
        <f>MAX('01_PARÂMETROS'!$B$11,MIN('01_PARÂMETROS'!$B$12,J439))</f>
        <v>0.9</v>
      </c>
      <c r="L439" s="63">
        <f t="shared" si="20"/>
        <v>-9.9999999999999978E-2</v>
      </c>
      <c r="M439" s="17" t="str">
        <f>IF(K439&lt;='01_PARÂMETROS'!$B$14,"Preferencial",IF(K439&lt;='01_PARÂMETROS'!$B$15,"Baixo",IF(K439&lt;='01_PARÂMETROS'!$B$16,"Médio",IF(K439&lt;='01_PARÂMETROS'!$B$17,"Alto","Elevado"))))</f>
        <v>Baixo</v>
      </c>
      <c r="N439" s="58" t="s">
        <v>486</v>
      </c>
      <c r="O439" s="54"/>
    </row>
    <row r="440" spans="1:15" ht="13.5" customHeight="1" x14ac:dyDescent="0.25">
      <c r="A440" s="13" t="s">
        <v>1206</v>
      </c>
      <c r="B440" s="49" t="s">
        <v>660</v>
      </c>
      <c r="C440" s="14" t="s">
        <v>1207</v>
      </c>
      <c r="D440" s="50" t="s">
        <v>1191</v>
      </c>
      <c r="E440" s="65" t="s">
        <v>841</v>
      </c>
      <c r="F440" s="54" t="s">
        <v>485</v>
      </c>
      <c r="G440" s="54" t="s">
        <v>485</v>
      </c>
      <c r="H440" s="54" t="s">
        <v>485</v>
      </c>
      <c r="I440" s="43">
        <f>'01_PARÂMETROS'!$B$9</f>
        <v>50</v>
      </c>
      <c r="J440" s="44">
        <f t="shared" si="22"/>
        <v>0.9</v>
      </c>
      <c r="K440" s="62">
        <f>MAX('01_PARÂMETROS'!$B$11,MIN('01_PARÂMETROS'!$B$12,J440))</f>
        <v>0.9</v>
      </c>
      <c r="L440" s="63">
        <f t="shared" si="20"/>
        <v>-9.9999999999999978E-2</v>
      </c>
      <c r="M440" s="17" t="str">
        <f>IF(K440&lt;='01_PARÂMETROS'!$B$14,"Preferencial",IF(K440&lt;='01_PARÂMETROS'!$B$15,"Baixo",IF(K440&lt;='01_PARÂMETROS'!$B$16,"Médio",IF(K440&lt;='01_PARÂMETROS'!$B$17,"Alto","Elevado"))))</f>
        <v>Baixo</v>
      </c>
      <c r="N440" s="58" t="s">
        <v>486</v>
      </c>
      <c r="O440" s="61"/>
    </row>
    <row r="441" spans="1:15" ht="13.5" customHeight="1" x14ac:dyDescent="0.25">
      <c r="A441" s="24" t="s">
        <v>1208</v>
      </c>
      <c r="B441" s="38" t="s">
        <v>660</v>
      </c>
      <c r="C441" s="25" t="s">
        <v>1209</v>
      </c>
      <c r="D441" s="39" t="s">
        <v>1191</v>
      </c>
      <c r="E441" s="65" t="s">
        <v>841</v>
      </c>
      <c r="F441" s="54" t="s">
        <v>485</v>
      </c>
      <c r="G441" s="54" t="s">
        <v>485</v>
      </c>
      <c r="H441" s="54" t="s">
        <v>485</v>
      </c>
      <c r="I441" s="43">
        <f>'01_PARÂMETROS'!$B$9</f>
        <v>50</v>
      </c>
      <c r="J441" s="44">
        <f t="shared" si="22"/>
        <v>0.9</v>
      </c>
      <c r="K441" s="62">
        <f>MAX('01_PARÂMETROS'!$B$11,MIN('01_PARÂMETROS'!$B$12,J441))</f>
        <v>0.9</v>
      </c>
      <c r="L441" s="63">
        <f t="shared" si="20"/>
        <v>-9.9999999999999978E-2</v>
      </c>
      <c r="M441" s="17" t="str">
        <f>IF(K441&lt;='01_PARÂMETROS'!$B$14,"Preferencial",IF(K441&lt;='01_PARÂMETROS'!$B$15,"Baixo",IF(K441&lt;='01_PARÂMETROS'!$B$16,"Médio",IF(K441&lt;='01_PARÂMETROS'!$B$17,"Alto","Elevado"))))</f>
        <v>Baixo</v>
      </c>
      <c r="N441" s="58" t="s">
        <v>486</v>
      </c>
      <c r="O441" s="54"/>
    </row>
    <row r="442" spans="1:15" ht="13.5" customHeight="1" x14ac:dyDescent="0.25">
      <c r="A442" s="13" t="s">
        <v>1210</v>
      </c>
      <c r="B442" s="49" t="s">
        <v>660</v>
      </c>
      <c r="C442" s="14" t="s">
        <v>1211</v>
      </c>
      <c r="D442" s="50" t="s">
        <v>1191</v>
      </c>
      <c r="E442" s="65" t="s">
        <v>841</v>
      </c>
      <c r="F442" s="54" t="s">
        <v>485</v>
      </c>
      <c r="G442" s="54" t="s">
        <v>485</v>
      </c>
      <c r="H442" s="54" t="s">
        <v>485</v>
      </c>
      <c r="I442" s="43">
        <f>'01_PARÂMETROS'!$B$9</f>
        <v>50</v>
      </c>
      <c r="J442" s="44">
        <f t="shared" si="22"/>
        <v>0.9</v>
      </c>
      <c r="K442" s="62">
        <f>MAX('01_PARÂMETROS'!$B$11,MIN('01_PARÂMETROS'!$B$12,J442))</f>
        <v>0.9</v>
      </c>
      <c r="L442" s="63">
        <f t="shared" si="20"/>
        <v>-9.9999999999999978E-2</v>
      </c>
      <c r="M442" s="17" t="str">
        <f>IF(K442&lt;='01_PARÂMETROS'!$B$14,"Preferencial",IF(K442&lt;='01_PARÂMETROS'!$B$15,"Baixo",IF(K442&lt;='01_PARÂMETROS'!$B$16,"Médio",IF(K442&lt;='01_PARÂMETROS'!$B$17,"Alto","Elevado"))))</f>
        <v>Baixo</v>
      </c>
      <c r="N442" s="58" t="s">
        <v>486</v>
      </c>
      <c r="O442" s="61"/>
    </row>
    <row r="443" spans="1:15" ht="13.5" customHeight="1" x14ac:dyDescent="0.25">
      <c r="A443" s="24" t="s">
        <v>1212</v>
      </c>
      <c r="B443" s="38" t="s">
        <v>660</v>
      </c>
      <c r="C443" s="25" t="s">
        <v>1213</v>
      </c>
      <c r="D443" s="39" t="s">
        <v>1191</v>
      </c>
      <c r="E443" s="65" t="s">
        <v>841</v>
      </c>
      <c r="F443" s="54" t="s">
        <v>485</v>
      </c>
      <c r="G443" s="54" t="s">
        <v>485</v>
      </c>
      <c r="H443" s="54" t="s">
        <v>485</v>
      </c>
      <c r="I443" s="43">
        <f>'01_PARÂMETROS'!$B$9</f>
        <v>50</v>
      </c>
      <c r="J443" s="44">
        <f t="shared" si="22"/>
        <v>0.9</v>
      </c>
      <c r="K443" s="62">
        <f>MAX('01_PARÂMETROS'!$B$11,MIN('01_PARÂMETROS'!$B$12,J443))</f>
        <v>0.9</v>
      </c>
      <c r="L443" s="63">
        <f t="shared" si="20"/>
        <v>-9.9999999999999978E-2</v>
      </c>
      <c r="M443" s="17" t="str">
        <f>IF(K443&lt;='01_PARÂMETROS'!$B$14,"Preferencial",IF(K443&lt;='01_PARÂMETROS'!$B$15,"Baixo",IF(K443&lt;='01_PARÂMETROS'!$B$16,"Médio",IF(K443&lt;='01_PARÂMETROS'!$B$17,"Alto","Elevado"))))</f>
        <v>Baixo</v>
      </c>
      <c r="N443" s="58" t="s">
        <v>486</v>
      </c>
      <c r="O443" s="54"/>
    </row>
    <row r="444" spans="1:15" ht="13.5" customHeight="1" x14ac:dyDescent="0.25">
      <c r="A444" s="13" t="s">
        <v>1214</v>
      </c>
      <c r="B444" s="49" t="s">
        <v>660</v>
      </c>
      <c r="C444" s="14" t="s">
        <v>1215</v>
      </c>
      <c r="D444" s="50" t="s">
        <v>1216</v>
      </c>
      <c r="E444" s="40" t="s">
        <v>477</v>
      </c>
      <c r="F444" s="54" t="s">
        <v>485</v>
      </c>
      <c r="G444" s="54" t="s">
        <v>485</v>
      </c>
      <c r="H444" s="54" t="s">
        <v>485</v>
      </c>
      <c r="I444" s="43">
        <f>'01_PARÂMETROS'!$B$9</f>
        <v>50</v>
      </c>
      <c r="J444" s="44">
        <f>1</f>
        <v>1</v>
      </c>
      <c r="K444" s="55">
        <f>MAX('01_PARÂMETROS'!$B$11,MIN('01_PARÂMETROS'!$B$12,J444))</f>
        <v>1</v>
      </c>
      <c r="L444" s="56">
        <f t="shared" si="20"/>
        <v>0</v>
      </c>
      <c r="M444" s="57" t="str">
        <f>IF(K444&lt;='01_PARÂMETROS'!$B$14,"Preferencial",IF(K444&lt;='01_PARÂMETROS'!$B$15,"Baixo",IF(K444&lt;='01_PARÂMETROS'!$B$16,"Médio",IF(K444&lt;='01_PARÂMETROS'!$B$17,"Alto","Elevado"))))</f>
        <v>Médio</v>
      </c>
      <c r="N444" s="58" t="s">
        <v>486</v>
      </c>
      <c r="O444" s="61"/>
    </row>
    <row r="445" spans="1:15" ht="13.5" customHeight="1" x14ac:dyDescent="0.25">
      <c r="A445" s="24" t="s">
        <v>1217</v>
      </c>
      <c r="B445" s="38" t="s">
        <v>660</v>
      </c>
      <c r="C445" s="25" t="s">
        <v>1218</v>
      </c>
      <c r="D445" s="39" t="s">
        <v>1216</v>
      </c>
      <c r="E445" s="40" t="s">
        <v>477</v>
      </c>
      <c r="F445" s="54" t="s">
        <v>485</v>
      </c>
      <c r="G445" s="54" t="s">
        <v>485</v>
      </c>
      <c r="H445" s="54" t="s">
        <v>485</v>
      </c>
      <c r="I445" s="43">
        <f>'01_PARÂMETROS'!$B$9</f>
        <v>50</v>
      </c>
      <c r="J445" s="44">
        <f>1</f>
        <v>1</v>
      </c>
      <c r="K445" s="55">
        <f>MAX('01_PARÂMETROS'!$B$11,MIN('01_PARÂMETROS'!$B$12,J445))</f>
        <v>1</v>
      </c>
      <c r="L445" s="56">
        <f t="shared" si="20"/>
        <v>0</v>
      </c>
      <c r="M445" s="57" t="str">
        <f>IF(K445&lt;='01_PARÂMETROS'!$B$14,"Preferencial",IF(K445&lt;='01_PARÂMETROS'!$B$15,"Baixo",IF(K445&lt;='01_PARÂMETROS'!$B$16,"Médio",IF(K445&lt;='01_PARÂMETROS'!$B$17,"Alto","Elevado"))))</f>
        <v>Médio</v>
      </c>
      <c r="N445" s="58" t="s">
        <v>486</v>
      </c>
      <c r="O445" s="54"/>
    </row>
    <row r="446" spans="1:15" ht="13.5" customHeight="1" x14ac:dyDescent="0.25">
      <c r="A446" s="13" t="s">
        <v>1219</v>
      </c>
      <c r="B446" s="49" t="s">
        <v>660</v>
      </c>
      <c r="C446" s="14" t="s">
        <v>1220</v>
      </c>
      <c r="D446" s="50" t="s">
        <v>1216</v>
      </c>
      <c r="E446" s="40" t="s">
        <v>477</v>
      </c>
      <c r="F446" s="54" t="s">
        <v>485</v>
      </c>
      <c r="G446" s="54" t="s">
        <v>485</v>
      </c>
      <c r="H446" s="54" t="s">
        <v>485</v>
      </c>
      <c r="I446" s="43">
        <f>'01_PARÂMETROS'!$B$9</f>
        <v>50</v>
      </c>
      <c r="J446" s="44">
        <f>1</f>
        <v>1</v>
      </c>
      <c r="K446" s="55">
        <f>MAX('01_PARÂMETROS'!$B$11,MIN('01_PARÂMETROS'!$B$12,J446))</f>
        <v>1</v>
      </c>
      <c r="L446" s="56">
        <f t="shared" si="20"/>
        <v>0</v>
      </c>
      <c r="M446" s="57" t="str">
        <f>IF(K446&lt;='01_PARÂMETROS'!$B$14,"Preferencial",IF(K446&lt;='01_PARÂMETROS'!$B$15,"Baixo",IF(K446&lt;='01_PARÂMETROS'!$B$16,"Médio",IF(K446&lt;='01_PARÂMETROS'!$B$17,"Alto","Elevado"))))</f>
        <v>Médio</v>
      </c>
      <c r="N446" s="58" t="s">
        <v>486</v>
      </c>
      <c r="O446" s="61"/>
    </row>
    <row r="447" spans="1:15" ht="13.5" customHeight="1" x14ac:dyDescent="0.25">
      <c r="A447" s="24" t="s">
        <v>1221</v>
      </c>
      <c r="B447" s="38" t="s">
        <v>660</v>
      </c>
      <c r="C447" s="25" t="s">
        <v>1222</v>
      </c>
      <c r="D447" s="39" t="s">
        <v>1216</v>
      </c>
      <c r="E447" s="40" t="s">
        <v>477</v>
      </c>
      <c r="F447" s="54" t="s">
        <v>485</v>
      </c>
      <c r="G447" s="54" t="s">
        <v>485</v>
      </c>
      <c r="H447" s="54" t="s">
        <v>485</v>
      </c>
      <c r="I447" s="43">
        <f>'01_PARÂMETROS'!$B$9</f>
        <v>50</v>
      </c>
      <c r="J447" s="44">
        <f>1</f>
        <v>1</v>
      </c>
      <c r="K447" s="55">
        <f>MAX('01_PARÂMETROS'!$B$11,MIN('01_PARÂMETROS'!$B$12,J447))</f>
        <v>1</v>
      </c>
      <c r="L447" s="56">
        <f t="shared" si="20"/>
        <v>0</v>
      </c>
      <c r="M447" s="57" t="str">
        <f>IF(K447&lt;='01_PARÂMETROS'!$B$14,"Preferencial",IF(K447&lt;='01_PARÂMETROS'!$B$15,"Baixo",IF(K447&lt;='01_PARÂMETROS'!$B$16,"Médio",IF(K447&lt;='01_PARÂMETROS'!$B$17,"Alto","Elevado"))))</f>
        <v>Médio</v>
      </c>
      <c r="N447" s="58" t="s">
        <v>486</v>
      </c>
      <c r="O447" s="54"/>
    </row>
    <row r="448" spans="1:15" ht="13.5" customHeight="1" x14ac:dyDescent="0.25">
      <c r="A448" s="13" t="s">
        <v>1223</v>
      </c>
      <c r="B448" s="49" t="s">
        <v>660</v>
      </c>
      <c r="C448" s="14" t="s">
        <v>1224</v>
      </c>
      <c r="D448" s="50" t="s">
        <v>1216</v>
      </c>
      <c r="E448" s="40" t="s">
        <v>477</v>
      </c>
      <c r="F448" s="54" t="s">
        <v>485</v>
      </c>
      <c r="G448" s="54" t="s">
        <v>485</v>
      </c>
      <c r="H448" s="54" t="s">
        <v>485</v>
      </c>
      <c r="I448" s="43">
        <f>'01_PARÂMETROS'!$B$9</f>
        <v>50</v>
      </c>
      <c r="J448" s="44">
        <f>1</f>
        <v>1</v>
      </c>
      <c r="K448" s="55">
        <f>MAX('01_PARÂMETROS'!$B$11,MIN('01_PARÂMETROS'!$B$12,J448))</f>
        <v>1</v>
      </c>
      <c r="L448" s="56">
        <f t="shared" si="20"/>
        <v>0</v>
      </c>
      <c r="M448" s="57" t="str">
        <f>IF(K448&lt;='01_PARÂMETROS'!$B$14,"Preferencial",IF(K448&lt;='01_PARÂMETROS'!$B$15,"Baixo",IF(K448&lt;='01_PARÂMETROS'!$B$16,"Médio",IF(K448&lt;='01_PARÂMETROS'!$B$17,"Alto","Elevado"))))</f>
        <v>Médio</v>
      </c>
      <c r="N448" s="58" t="s">
        <v>486</v>
      </c>
      <c r="O448" s="61"/>
    </row>
    <row r="449" spans="1:15" ht="13.5" customHeight="1" x14ac:dyDescent="0.25">
      <c r="A449" s="24" t="s">
        <v>1225</v>
      </c>
      <c r="B449" s="38" t="s">
        <v>660</v>
      </c>
      <c r="C449" s="25" t="s">
        <v>1226</v>
      </c>
      <c r="D449" s="39" t="s">
        <v>1216</v>
      </c>
      <c r="E449" s="40" t="s">
        <v>477</v>
      </c>
      <c r="F449" s="54" t="s">
        <v>485</v>
      </c>
      <c r="G449" s="54" t="s">
        <v>485</v>
      </c>
      <c r="H449" s="54" t="s">
        <v>485</v>
      </c>
      <c r="I449" s="43">
        <f>'01_PARÂMETROS'!$B$9</f>
        <v>50</v>
      </c>
      <c r="J449" s="44">
        <f>1</f>
        <v>1</v>
      </c>
      <c r="K449" s="55">
        <f>MAX('01_PARÂMETROS'!$B$11,MIN('01_PARÂMETROS'!$B$12,J449))</f>
        <v>1</v>
      </c>
      <c r="L449" s="56">
        <f t="shared" si="20"/>
        <v>0</v>
      </c>
      <c r="M449" s="57" t="str">
        <f>IF(K449&lt;='01_PARÂMETROS'!$B$14,"Preferencial",IF(K449&lt;='01_PARÂMETROS'!$B$15,"Baixo",IF(K449&lt;='01_PARÂMETROS'!$B$16,"Médio",IF(K449&lt;='01_PARÂMETROS'!$B$17,"Alto","Elevado"))))</f>
        <v>Médio</v>
      </c>
      <c r="N449" s="58" t="s">
        <v>486</v>
      </c>
      <c r="O449" s="54"/>
    </row>
    <row r="450" spans="1:15" ht="13.5" customHeight="1" x14ac:dyDescent="0.25">
      <c r="A450" s="13" t="s">
        <v>1227</v>
      </c>
      <c r="B450" s="49" t="s">
        <v>660</v>
      </c>
      <c r="C450" s="14" t="s">
        <v>1228</v>
      </c>
      <c r="D450" s="50" t="s">
        <v>1216</v>
      </c>
      <c r="E450" s="40" t="s">
        <v>477</v>
      </c>
      <c r="F450" s="54" t="s">
        <v>485</v>
      </c>
      <c r="G450" s="54" t="s">
        <v>485</v>
      </c>
      <c r="H450" s="54" t="s">
        <v>485</v>
      </c>
      <c r="I450" s="43">
        <f>'01_PARÂMETROS'!$B$9</f>
        <v>50</v>
      </c>
      <c r="J450" s="44">
        <f>1</f>
        <v>1</v>
      </c>
      <c r="K450" s="55">
        <f>MAX('01_PARÂMETROS'!$B$11,MIN('01_PARÂMETROS'!$B$12,J450))</f>
        <v>1</v>
      </c>
      <c r="L450" s="56">
        <f t="shared" si="20"/>
        <v>0</v>
      </c>
      <c r="M450" s="57" t="str">
        <f>IF(K450&lt;='01_PARÂMETROS'!$B$14,"Preferencial",IF(K450&lt;='01_PARÂMETROS'!$B$15,"Baixo",IF(K450&lt;='01_PARÂMETROS'!$B$16,"Médio",IF(K450&lt;='01_PARÂMETROS'!$B$17,"Alto","Elevado"))))</f>
        <v>Médio</v>
      </c>
      <c r="N450" s="58" t="s">
        <v>486</v>
      </c>
      <c r="O450" s="61"/>
    </row>
    <row r="451" spans="1:15" ht="13.5" customHeight="1" x14ac:dyDescent="0.25">
      <c r="A451" s="24" t="s">
        <v>1229</v>
      </c>
      <c r="B451" s="38" t="s">
        <v>660</v>
      </c>
      <c r="C451" s="25" t="s">
        <v>1230</v>
      </c>
      <c r="D451" s="39" t="s">
        <v>1216</v>
      </c>
      <c r="E451" s="40" t="s">
        <v>477</v>
      </c>
      <c r="F451" s="54" t="s">
        <v>485</v>
      </c>
      <c r="G451" s="54" t="s">
        <v>485</v>
      </c>
      <c r="H451" s="54" t="s">
        <v>485</v>
      </c>
      <c r="I451" s="43">
        <f>'01_PARÂMETROS'!$B$9</f>
        <v>50</v>
      </c>
      <c r="J451" s="44">
        <f>1</f>
        <v>1</v>
      </c>
      <c r="K451" s="55">
        <f>MAX('01_PARÂMETROS'!$B$11,MIN('01_PARÂMETROS'!$B$12,J451))</f>
        <v>1</v>
      </c>
      <c r="L451" s="56">
        <f t="shared" si="20"/>
        <v>0</v>
      </c>
      <c r="M451" s="57" t="str">
        <f>IF(K451&lt;='01_PARÂMETROS'!$B$14,"Preferencial",IF(K451&lt;='01_PARÂMETROS'!$B$15,"Baixo",IF(K451&lt;='01_PARÂMETROS'!$B$16,"Médio",IF(K451&lt;='01_PARÂMETROS'!$B$17,"Alto","Elevado"))))</f>
        <v>Médio</v>
      </c>
      <c r="N451" s="58" t="s">
        <v>486</v>
      </c>
      <c r="O451" s="54"/>
    </row>
    <row r="452" spans="1:15" ht="13.5" customHeight="1" x14ac:dyDescent="0.25">
      <c r="A452" s="13" t="s">
        <v>1231</v>
      </c>
      <c r="B452" s="49" t="s">
        <v>660</v>
      </c>
      <c r="C452" s="14" t="s">
        <v>1232</v>
      </c>
      <c r="D452" s="50" t="s">
        <v>1216</v>
      </c>
      <c r="E452" s="40" t="s">
        <v>477</v>
      </c>
      <c r="F452" s="54" t="s">
        <v>485</v>
      </c>
      <c r="G452" s="54" t="s">
        <v>485</v>
      </c>
      <c r="H452" s="54" t="s">
        <v>485</v>
      </c>
      <c r="I452" s="43">
        <f>'01_PARÂMETROS'!$B$9</f>
        <v>50</v>
      </c>
      <c r="J452" s="44">
        <f>1</f>
        <v>1</v>
      </c>
      <c r="K452" s="55">
        <f>MAX('01_PARÂMETROS'!$B$11,MIN('01_PARÂMETROS'!$B$12,J452))</f>
        <v>1</v>
      </c>
      <c r="L452" s="56">
        <f t="shared" si="20"/>
        <v>0</v>
      </c>
      <c r="M452" s="57" t="str">
        <f>IF(K452&lt;='01_PARÂMETROS'!$B$14,"Preferencial",IF(K452&lt;='01_PARÂMETROS'!$B$15,"Baixo",IF(K452&lt;='01_PARÂMETROS'!$B$16,"Médio",IF(K452&lt;='01_PARÂMETROS'!$B$17,"Alto","Elevado"))))</f>
        <v>Médio</v>
      </c>
      <c r="N452" s="58" t="s">
        <v>486</v>
      </c>
      <c r="O452" s="61"/>
    </row>
    <row r="453" spans="1:15" ht="13.5" customHeight="1" x14ac:dyDescent="0.25">
      <c r="A453" s="24" t="s">
        <v>1233</v>
      </c>
      <c r="B453" s="38" t="s">
        <v>660</v>
      </c>
      <c r="C453" s="25" t="s">
        <v>1234</v>
      </c>
      <c r="D453" s="39" t="s">
        <v>1216</v>
      </c>
      <c r="E453" s="40" t="s">
        <v>477</v>
      </c>
      <c r="F453" s="54" t="s">
        <v>485</v>
      </c>
      <c r="G453" s="54" t="s">
        <v>485</v>
      </c>
      <c r="H453" s="54" t="s">
        <v>485</v>
      </c>
      <c r="I453" s="43">
        <f>'01_PARÂMETROS'!$B$9</f>
        <v>50</v>
      </c>
      <c r="J453" s="44">
        <f>1</f>
        <v>1</v>
      </c>
      <c r="K453" s="55">
        <f>MAX('01_PARÂMETROS'!$B$11,MIN('01_PARÂMETROS'!$B$12,J453))</f>
        <v>1</v>
      </c>
      <c r="L453" s="56">
        <f t="shared" ref="L453:L516" si="23">(K453-1)</f>
        <v>0</v>
      </c>
      <c r="M453" s="57" t="str">
        <f>IF(K453&lt;='01_PARÂMETROS'!$B$14,"Preferencial",IF(K453&lt;='01_PARÂMETROS'!$B$15,"Baixo",IF(K453&lt;='01_PARÂMETROS'!$B$16,"Médio",IF(K453&lt;='01_PARÂMETROS'!$B$17,"Alto","Elevado"))))</f>
        <v>Médio</v>
      </c>
      <c r="N453" s="58" t="s">
        <v>486</v>
      </c>
      <c r="O453" s="54"/>
    </row>
    <row r="454" spans="1:15" ht="13.5" customHeight="1" x14ac:dyDescent="0.25">
      <c r="A454" s="13" t="s">
        <v>1235</v>
      </c>
      <c r="B454" s="49" t="s">
        <v>660</v>
      </c>
      <c r="C454" s="14" t="s">
        <v>1236</v>
      </c>
      <c r="D454" s="50" t="s">
        <v>1216</v>
      </c>
      <c r="E454" s="40" t="s">
        <v>477</v>
      </c>
      <c r="F454" s="54" t="s">
        <v>485</v>
      </c>
      <c r="G454" s="54" t="s">
        <v>485</v>
      </c>
      <c r="H454" s="54" t="s">
        <v>485</v>
      </c>
      <c r="I454" s="43">
        <f>'01_PARÂMETROS'!$B$9</f>
        <v>50</v>
      </c>
      <c r="J454" s="44">
        <f>1</f>
        <v>1</v>
      </c>
      <c r="K454" s="55">
        <f>MAX('01_PARÂMETROS'!$B$11,MIN('01_PARÂMETROS'!$B$12,J454))</f>
        <v>1</v>
      </c>
      <c r="L454" s="56">
        <f t="shared" si="23"/>
        <v>0</v>
      </c>
      <c r="M454" s="57" t="str">
        <f>IF(K454&lt;='01_PARÂMETROS'!$B$14,"Preferencial",IF(K454&lt;='01_PARÂMETROS'!$B$15,"Baixo",IF(K454&lt;='01_PARÂMETROS'!$B$16,"Médio",IF(K454&lt;='01_PARÂMETROS'!$B$17,"Alto","Elevado"))))</f>
        <v>Médio</v>
      </c>
      <c r="N454" s="58" t="s">
        <v>486</v>
      </c>
      <c r="O454" s="61"/>
    </row>
    <row r="455" spans="1:15" ht="13.5" customHeight="1" x14ac:dyDescent="0.25">
      <c r="A455" s="24" t="s">
        <v>1237</v>
      </c>
      <c r="B455" s="38" t="s">
        <v>660</v>
      </c>
      <c r="C455" s="25" t="s">
        <v>1238</v>
      </c>
      <c r="D455" s="39" t="s">
        <v>1216</v>
      </c>
      <c r="E455" s="40" t="s">
        <v>477</v>
      </c>
      <c r="F455" s="54" t="s">
        <v>485</v>
      </c>
      <c r="G455" s="54" t="s">
        <v>485</v>
      </c>
      <c r="H455" s="54" t="s">
        <v>485</v>
      </c>
      <c r="I455" s="43">
        <f>'01_PARÂMETROS'!$B$9</f>
        <v>50</v>
      </c>
      <c r="J455" s="44">
        <f>1</f>
        <v>1</v>
      </c>
      <c r="K455" s="55">
        <f>MAX('01_PARÂMETROS'!$B$11,MIN('01_PARÂMETROS'!$B$12,J455))</f>
        <v>1</v>
      </c>
      <c r="L455" s="56">
        <f t="shared" si="23"/>
        <v>0</v>
      </c>
      <c r="M455" s="57" t="str">
        <f>IF(K455&lt;='01_PARÂMETROS'!$B$14,"Preferencial",IF(K455&lt;='01_PARÂMETROS'!$B$15,"Baixo",IF(K455&lt;='01_PARÂMETROS'!$B$16,"Médio",IF(K455&lt;='01_PARÂMETROS'!$B$17,"Alto","Elevado"))))</f>
        <v>Médio</v>
      </c>
      <c r="N455" s="58" t="s">
        <v>486</v>
      </c>
      <c r="O455" s="54"/>
    </row>
    <row r="456" spans="1:15" ht="13.5" customHeight="1" x14ac:dyDescent="0.25">
      <c r="A456" s="13" t="s">
        <v>1239</v>
      </c>
      <c r="B456" s="49" t="s">
        <v>660</v>
      </c>
      <c r="C456" s="14" t="s">
        <v>1240</v>
      </c>
      <c r="D456" s="50" t="s">
        <v>1216</v>
      </c>
      <c r="E456" s="40" t="s">
        <v>477</v>
      </c>
      <c r="F456" s="54" t="s">
        <v>485</v>
      </c>
      <c r="G456" s="54" t="s">
        <v>485</v>
      </c>
      <c r="H456" s="54" t="s">
        <v>485</v>
      </c>
      <c r="I456" s="43">
        <f>'01_PARÂMETROS'!$B$9</f>
        <v>50</v>
      </c>
      <c r="J456" s="44">
        <f>1</f>
        <v>1</v>
      </c>
      <c r="K456" s="55">
        <f>MAX('01_PARÂMETROS'!$B$11,MIN('01_PARÂMETROS'!$B$12,J456))</f>
        <v>1</v>
      </c>
      <c r="L456" s="56">
        <f t="shared" si="23"/>
        <v>0</v>
      </c>
      <c r="M456" s="57" t="str">
        <f>IF(K456&lt;='01_PARÂMETROS'!$B$14,"Preferencial",IF(K456&lt;='01_PARÂMETROS'!$B$15,"Baixo",IF(K456&lt;='01_PARÂMETROS'!$B$16,"Médio",IF(K456&lt;='01_PARÂMETROS'!$B$17,"Alto","Elevado"))))</f>
        <v>Médio</v>
      </c>
      <c r="N456" s="58" t="s">
        <v>486</v>
      </c>
      <c r="O456" s="61"/>
    </row>
    <row r="457" spans="1:15" ht="13.5" customHeight="1" x14ac:dyDescent="0.25">
      <c r="A457" s="24" t="s">
        <v>1241</v>
      </c>
      <c r="B457" s="38" t="s">
        <v>660</v>
      </c>
      <c r="C457" s="25" t="s">
        <v>1242</v>
      </c>
      <c r="D457" s="39" t="s">
        <v>1216</v>
      </c>
      <c r="E457" s="40" t="s">
        <v>477</v>
      </c>
      <c r="F457" s="54" t="s">
        <v>485</v>
      </c>
      <c r="G457" s="54" t="s">
        <v>485</v>
      </c>
      <c r="H457" s="54" t="s">
        <v>485</v>
      </c>
      <c r="I457" s="43">
        <f>'01_PARÂMETROS'!$B$9</f>
        <v>50</v>
      </c>
      <c r="J457" s="44">
        <f>1</f>
        <v>1</v>
      </c>
      <c r="K457" s="55">
        <f>MAX('01_PARÂMETROS'!$B$11,MIN('01_PARÂMETROS'!$B$12,J457))</f>
        <v>1</v>
      </c>
      <c r="L457" s="56">
        <f t="shared" si="23"/>
        <v>0</v>
      </c>
      <c r="M457" s="57" t="str">
        <f>IF(K457&lt;='01_PARÂMETROS'!$B$14,"Preferencial",IF(K457&lt;='01_PARÂMETROS'!$B$15,"Baixo",IF(K457&lt;='01_PARÂMETROS'!$B$16,"Médio",IF(K457&lt;='01_PARÂMETROS'!$B$17,"Alto","Elevado"))))</f>
        <v>Médio</v>
      </c>
      <c r="N457" s="58" t="s">
        <v>486</v>
      </c>
      <c r="O457" s="54"/>
    </row>
    <row r="458" spans="1:15" ht="13.5" customHeight="1" x14ac:dyDescent="0.25">
      <c r="A458" s="13" t="s">
        <v>1243</v>
      </c>
      <c r="B458" s="49" t="s">
        <v>660</v>
      </c>
      <c r="C458" s="14" t="s">
        <v>1244</v>
      </c>
      <c r="D458" s="50" t="s">
        <v>1216</v>
      </c>
      <c r="E458" s="40" t="s">
        <v>477</v>
      </c>
      <c r="F458" s="54" t="s">
        <v>485</v>
      </c>
      <c r="G458" s="54" t="s">
        <v>485</v>
      </c>
      <c r="H458" s="54" t="s">
        <v>485</v>
      </c>
      <c r="I458" s="43">
        <f>'01_PARÂMETROS'!$B$9</f>
        <v>50</v>
      </c>
      <c r="J458" s="44">
        <f>1</f>
        <v>1</v>
      </c>
      <c r="K458" s="55">
        <f>MAX('01_PARÂMETROS'!$B$11,MIN('01_PARÂMETROS'!$B$12,J458))</f>
        <v>1</v>
      </c>
      <c r="L458" s="56">
        <f t="shared" si="23"/>
        <v>0</v>
      </c>
      <c r="M458" s="57" t="str">
        <f>IF(K458&lt;='01_PARÂMETROS'!$B$14,"Preferencial",IF(K458&lt;='01_PARÂMETROS'!$B$15,"Baixo",IF(K458&lt;='01_PARÂMETROS'!$B$16,"Médio",IF(K458&lt;='01_PARÂMETROS'!$B$17,"Alto","Elevado"))))</f>
        <v>Médio</v>
      </c>
      <c r="N458" s="58" t="s">
        <v>486</v>
      </c>
      <c r="O458" s="61"/>
    </row>
    <row r="459" spans="1:15" ht="13.5" customHeight="1" x14ac:dyDescent="0.25">
      <c r="A459" s="24" t="s">
        <v>1245</v>
      </c>
      <c r="B459" s="38" t="s">
        <v>660</v>
      </c>
      <c r="C459" s="25" t="s">
        <v>1246</v>
      </c>
      <c r="D459" s="39" t="s">
        <v>1216</v>
      </c>
      <c r="E459" s="40" t="s">
        <v>477</v>
      </c>
      <c r="F459" s="54" t="s">
        <v>485</v>
      </c>
      <c r="G459" s="54" t="s">
        <v>485</v>
      </c>
      <c r="H459" s="54" t="s">
        <v>485</v>
      </c>
      <c r="I459" s="43">
        <f>'01_PARÂMETROS'!$B$9</f>
        <v>50</v>
      </c>
      <c r="J459" s="44">
        <f>1</f>
        <v>1</v>
      </c>
      <c r="K459" s="55">
        <f>MAX('01_PARÂMETROS'!$B$11,MIN('01_PARÂMETROS'!$B$12,J459))</f>
        <v>1</v>
      </c>
      <c r="L459" s="56">
        <f t="shared" si="23"/>
        <v>0</v>
      </c>
      <c r="M459" s="57" t="str">
        <f>IF(K459&lt;='01_PARÂMETROS'!$B$14,"Preferencial",IF(K459&lt;='01_PARÂMETROS'!$B$15,"Baixo",IF(K459&lt;='01_PARÂMETROS'!$B$16,"Médio",IF(K459&lt;='01_PARÂMETROS'!$B$17,"Alto","Elevado"))))</f>
        <v>Médio</v>
      </c>
      <c r="N459" s="58" t="s">
        <v>486</v>
      </c>
      <c r="O459" s="54"/>
    </row>
    <row r="460" spans="1:15" ht="13.5" customHeight="1" x14ac:dyDescent="0.25">
      <c r="A460" s="13" t="s">
        <v>1247</v>
      </c>
      <c r="B460" s="49" t="s">
        <v>660</v>
      </c>
      <c r="C460" s="14" t="s">
        <v>1248</v>
      </c>
      <c r="D460" s="50" t="s">
        <v>1216</v>
      </c>
      <c r="E460" s="40" t="s">
        <v>477</v>
      </c>
      <c r="F460" s="54" t="s">
        <v>485</v>
      </c>
      <c r="G460" s="54" t="s">
        <v>485</v>
      </c>
      <c r="H460" s="54" t="s">
        <v>485</v>
      </c>
      <c r="I460" s="43">
        <f>'01_PARÂMETROS'!$B$9</f>
        <v>50</v>
      </c>
      <c r="J460" s="44">
        <f>1</f>
        <v>1</v>
      </c>
      <c r="K460" s="55">
        <f>MAX('01_PARÂMETROS'!$B$11,MIN('01_PARÂMETROS'!$B$12,J460))</f>
        <v>1</v>
      </c>
      <c r="L460" s="56">
        <f t="shared" si="23"/>
        <v>0</v>
      </c>
      <c r="M460" s="57" t="str">
        <f>IF(K460&lt;='01_PARÂMETROS'!$B$14,"Preferencial",IF(K460&lt;='01_PARÂMETROS'!$B$15,"Baixo",IF(K460&lt;='01_PARÂMETROS'!$B$16,"Médio",IF(K460&lt;='01_PARÂMETROS'!$B$17,"Alto","Elevado"))))</f>
        <v>Médio</v>
      </c>
      <c r="N460" s="58" t="s">
        <v>486</v>
      </c>
      <c r="O460" s="61"/>
    </row>
    <row r="461" spans="1:15" ht="13.5" customHeight="1" x14ac:dyDescent="0.25">
      <c r="A461" s="24" t="s">
        <v>1249</v>
      </c>
      <c r="B461" s="38" t="s">
        <v>660</v>
      </c>
      <c r="C461" s="25" t="s">
        <v>1250</v>
      </c>
      <c r="D461" s="39" t="s">
        <v>1216</v>
      </c>
      <c r="E461" s="40" t="s">
        <v>477</v>
      </c>
      <c r="F461" s="54" t="s">
        <v>485</v>
      </c>
      <c r="G461" s="54" t="s">
        <v>485</v>
      </c>
      <c r="H461" s="54" t="s">
        <v>485</v>
      </c>
      <c r="I461" s="43">
        <f>'01_PARÂMETROS'!$B$9</f>
        <v>50</v>
      </c>
      <c r="J461" s="44">
        <f>1</f>
        <v>1</v>
      </c>
      <c r="K461" s="55">
        <f>MAX('01_PARÂMETROS'!$B$11,MIN('01_PARÂMETROS'!$B$12,J461))</f>
        <v>1</v>
      </c>
      <c r="L461" s="56">
        <f t="shared" si="23"/>
        <v>0</v>
      </c>
      <c r="M461" s="57" t="str">
        <f>IF(K461&lt;='01_PARÂMETROS'!$B$14,"Preferencial",IF(K461&lt;='01_PARÂMETROS'!$B$15,"Baixo",IF(K461&lt;='01_PARÂMETROS'!$B$16,"Médio",IF(K461&lt;='01_PARÂMETROS'!$B$17,"Alto","Elevado"))))</f>
        <v>Médio</v>
      </c>
      <c r="N461" s="58" t="s">
        <v>486</v>
      </c>
      <c r="O461" s="54"/>
    </row>
    <row r="462" spans="1:15" ht="13.5" customHeight="1" x14ac:dyDescent="0.25">
      <c r="A462" s="13" t="s">
        <v>1251</v>
      </c>
      <c r="B462" s="49" t="s">
        <v>660</v>
      </c>
      <c r="C462" s="14" t="s">
        <v>1252</v>
      </c>
      <c r="D462" s="50" t="s">
        <v>1216</v>
      </c>
      <c r="E462" s="40" t="s">
        <v>477</v>
      </c>
      <c r="F462" s="54" t="s">
        <v>485</v>
      </c>
      <c r="G462" s="54" t="s">
        <v>485</v>
      </c>
      <c r="H462" s="54" t="s">
        <v>485</v>
      </c>
      <c r="I462" s="43">
        <f>'01_PARÂMETROS'!$B$9</f>
        <v>50</v>
      </c>
      <c r="J462" s="44">
        <f>1</f>
        <v>1</v>
      </c>
      <c r="K462" s="55">
        <f>MAX('01_PARÂMETROS'!$B$11,MIN('01_PARÂMETROS'!$B$12,J462))</f>
        <v>1</v>
      </c>
      <c r="L462" s="56">
        <f t="shared" si="23"/>
        <v>0</v>
      </c>
      <c r="M462" s="57" t="str">
        <f>IF(K462&lt;='01_PARÂMETROS'!$B$14,"Preferencial",IF(K462&lt;='01_PARÂMETROS'!$B$15,"Baixo",IF(K462&lt;='01_PARÂMETROS'!$B$16,"Médio",IF(K462&lt;='01_PARÂMETROS'!$B$17,"Alto","Elevado"))))</f>
        <v>Médio</v>
      </c>
      <c r="N462" s="58" t="s">
        <v>486</v>
      </c>
      <c r="O462" s="61"/>
    </row>
    <row r="463" spans="1:15" ht="13.5" customHeight="1" x14ac:dyDescent="0.25">
      <c r="A463" s="24" t="s">
        <v>1253</v>
      </c>
      <c r="B463" s="38" t="s">
        <v>660</v>
      </c>
      <c r="C463" s="25" t="s">
        <v>1254</v>
      </c>
      <c r="D463" s="39" t="s">
        <v>1216</v>
      </c>
      <c r="E463" s="40" t="s">
        <v>477</v>
      </c>
      <c r="F463" s="54" t="s">
        <v>485</v>
      </c>
      <c r="G463" s="54" t="s">
        <v>485</v>
      </c>
      <c r="H463" s="54" t="s">
        <v>485</v>
      </c>
      <c r="I463" s="43">
        <f>'01_PARÂMETROS'!$B$9</f>
        <v>50</v>
      </c>
      <c r="J463" s="44">
        <f>1</f>
        <v>1</v>
      </c>
      <c r="K463" s="55">
        <f>MAX('01_PARÂMETROS'!$B$11,MIN('01_PARÂMETROS'!$B$12,J463))</f>
        <v>1</v>
      </c>
      <c r="L463" s="56">
        <f t="shared" si="23"/>
        <v>0</v>
      </c>
      <c r="M463" s="57" t="str">
        <f>IF(K463&lt;='01_PARÂMETROS'!$B$14,"Preferencial",IF(K463&lt;='01_PARÂMETROS'!$B$15,"Baixo",IF(K463&lt;='01_PARÂMETROS'!$B$16,"Médio",IF(K463&lt;='01_PARÂMETROS'!$B$17,"Alto","Elevado"))))</f>
        <v>Médio</v>
      </c>
      <c r="N463" s="58" t="s">
        <v>486</v>
      </c>
      <c r="O463" s="54"/>
    </row>
    <row r="464" spans="1:15" ht="13.5" customHeight="1" x14ac:dyDescent="0.25">
      <c r="A464" s="13" t="s">
        <v>1255</v>
      </c>
      <c r="B464" s="49" t="s">
        <v>660</v>
      </c>
      <c r="C464" s="14" t="s">
        <v>1256</v>
      </c>
      <c r="D464" s="50" t="s">
        <v>1216</v>
      </c>
      <c r="E464" s="40" t="s">
        <v>477</v>
      </c>
      <c r="F464" s="54" t="s">
        <v>485</v>
      </c>
      <c r="G464" s="54" t="s">
        <v>485</v>
      </c>
      <c r="H464" s="54" t="s">
        <v>485</v>
      </c>
      <c r="I464" s="43">
        <f>'01_PARÂMETROS'!$B$9</f>
        <v>50</v>
      </c>
      <c r="J464" s="44">
        <f>1</f>
        <v>1</v>
      </c>
      <c r="K464" s="55">
        <f>MAX('01_PARÂMETROS'!$B$11,MIN('01_PARÂMETROS'!$B$12,J464))</f>
        <v>1</v>
      </c>
      <c r="L464" s="56">
        <f t="shared" si="23"/>
        <v>0</v>
      </c>
      <c r="M464" s="57" t="str">
        <f>IF(K464&lt;='01_PARÂMETROS'!$B$14,"Preferencial",IF(K464&lt;='01_PARÂMETROS'!$B$15,"Baixo",IF(K464&lt;='01_PARÂMETROS'!$B$16,"Médio",IF(K464&lt;='01_PARÂMETROS'!$B$17,"Alto","Elevado"))))</f>
        <v>Médio</v>
      </c>
      <c r="N464" s="58" t="s">
        <v>486</v>
      </c>
      <c r="O464" s="61"/>
    </row>
    <row r="465" spans="1:15" ht="13.5" customHeight="1" x14ac:dyDescent="0.25">
      <c r="A465" s="24" t="s">
        <v>1257</v>
      </c>
      <c r="B465" s="38" t="s">
        <v>660</v>
      </c>
      <c r="C465" s="25" t="s">
        <v>1258</v>
      </c>
      <c r="D465" s="39" t="s">
        <v>1216</v>
      </c>
      <c r="E465" s="40" t="s">
        <v>477</v>
      </c>
      <c r="F465" s="54" t="s">
        <v>485</v>
      </c>
      <c r="G465" s="54" t="s">
        <v>485</v>
      </c>
      <c r="H465" s="54" t="s">
        <v>485</v>
      </c>
      <c r="I465" s="43">
        <f>'01_PARÂMETROS'!$B$9</f>
        <v>50</v>
      </c>
      <c r="J465" s="44">
        <f>1</f>
        <v>1</v>
      </c>
      <c r="K465" s="55">
        <f>MAX('01_PARÂMETROS'!$B$11,MIN('01_PARÂMETROS'!$B$12,J465))</f>
        <v>1</v>
      </c>
      <c r="L465" s="56">
        <f t="shared" si="23"/>
        <v>0</v>
      </c>
      <c r="M465" s="57" t="str">
        <f>IF(K465&lt;='01_PARÂMETROS'!$B$14,"Preferencial",IF(K465&lt;='01_PARÂMETROS'!$B$15,"Baixo",IF(K465&lt;='01_PARÂMETROS'!$B$16,"Médio",IF(K465&lt;='01_PARÂMETROS'!$B$17,"Alto","Elevado"))))</f>
        <v>Médio</v>
      </c>
      <c r="N465" s="58" t="s">
        <v>486</v>
      </c>
      <c r="O465" s="54"/>
    </row>
    <row r="466" spans="1:15" ht="13.5" customHeight="1" x14ac:dyDescent="0.25">
      <c r="A466" s="13" t="s">
        <v>1259</v>
      </c>
      <c r="B466" s="49" t="s">
        <v>660</v>
      </c>
      <c r="C466" s="14" t="s">
        <v>1260</v>
      </c>
      <c r="D466" s="50" t="s">
        <v>1216</v>
      </c>
      <c r="E466" s="40" t="s">
        <v>477</v>
      </c>
      <c r="F466" s="54" t="s">
        <v>485</v>
      </c>
      <c r="G466" s="54" t="s">
        <v>485</v>
      </c>
      <c r="H466" s="54" t="s">
        <v>485</v>
      </c>
      <c r="I466" s="43">
        <f>'01_PARÂMETROS'!$B$9</f>
        <v>50</v>
      </c>
      <c r="J466" s="44">
        <f>1</f>
        <v>1</v>
      </c>
      <c r="K466" s="55">
        <f>MAX('01_PARÂMETROS'!$B$11,MIN('01_PARÂMETROS'!$B$12,J466))</f>
        <v>1</v>
      </c>
      <c r="L466" s="56">
        <f t="shared" si="23"/>
        <v>0</v>
      </c>
      <c r="M466" s="57" t="str">
        <f>IF(K466&lt;='01_PARÂMETROS'!$B$14,"Preferencial",IF(K466&lt;='01_PARÂMETROS'!$B$15,"Baixo",IF(K466&lt;='01_PARÂMETROS'!$B$16,"Médio",IF(K466&lt;='01_PARÂMETROS'!$B$17,"Alto","Elevado"))))</f>
        <v>Médio</v>
      </c>
      <c r="N466" s="58" t="s">
        <v>486</v>
      </c>
      <c r="O466" s="61"/>
    </row>
    <row r="467" spans="1:15" ht="13.5" customHeight="1" x14ac:dyDescent="0.25">
      <c r="A467" s="24" t="s">
        <v>1261</v>
      </c>
      <c r="B467" s="38" t="s">
        <v>660</v>
      </c>
      <c r="C467" s="25" t="s">
        <v>1262</v>
      </c>
      <c r="D467" s="39" t="s">
        <v>1216</v>
      </c>
      <c r="E467" s="40" t="s">
        <v>477</v>
      </c>
      <c r="F467" s="54" t="s">
        <v>485</v>
      </c>
      <c r="G467" s="54" t="s">
        <v>485</v>
      </c>
      <c r="H467" s="54" t="s">
        <v>485</v>
      </c>
      <c r="I467" s="43">
        <f>'01_PARÂMETROS'!$B$9</f>
        <v>50</v>
      </c>
      <c r="J467" s="44">
        <f>1</f>
        <v>1</v>
      </c>
      <c r="K467" s="55">
        <f>MAX('01_PARÂMETROS'!$B$11,MIN('01_PARÂMETROS'!$B$12,J467))</f>
        <v>1</v>
      </c>
      <c r="L467" s="56">
        <f t="shared" si="23"/>
        <v>0</v>
      </c>
      <c r="M467" s="57" t="str">
        <f>IF(K467&lt;='01_PARÂMETROS'!$B$14,"Preferencial",IF(K467&lt;='01_PARÂMETROS'!$B$15,"Baixo",IF(K467&lt;='01_PARÂMETROS'!$B$16,"Médio",IF(K467&lt;='01_PARÂMETROS'!$B$17,"Alto","Elevado"))))</f>
        <v>Médio</v>
      </c>
      <c r="N467" s="58" t="s">
        <v>486</v>
      </c>
      <c r="O467" s="54"/>
    </row>
    <row r="468" spans="1:15" ht="13.5" customHeight="1" x14ac:dyDescent="0.25">
      <c r="A468" s="13" t="s">
        <v>1263</v>
      </c>
      <c r="B468" s="49" t="s">
        <v>660</v>
      </c>
      <c r="C468" s="14" t="s">
        <v>1264</v>
      </c>
      <c r="D468" s="50" t="s">
        <v>1216</v>
      </c>
      <c r="E468" s="40" t="s">
        <v>477</v>
      </c>
      <c r="F468" s="54" t="s">
        <v>485</v>
      </c>
      <c r="G468" s="54" t="s">
        <v>485</v>
      </c>
      <c r="H468" s="54" t="s">
        <v>485</v>
      </c>
      <c r="I468" s="43">
        <f>'01_PARÂMETROS'!$B$9</f>
        <v>50</v>
      </c>
      <c r="J468" s="44">
        <f>1</f>
        <v>1</v>
      </c>
      <c r="K468" s="55">
        <f>MAX('01_PARÂMETROS'!$B$11,MIN('01_PARÂMETROS'!$B$12,J468))</f>
        <v>1</v>
      </c>
      <c r="L468" s="56">
        <f t="shared" si="23"/>
        <v>0</v>
      </c>
      <c r="M468" s="57" t="str">
        <f>IF(K468&lt;='01_PARÂMETROS'!$B$14,"Preferencial",IF(K468&lt;='01_PARÂMETROS'!$B$15,"Baixo",IF(K468&lt;='01_PARÂMETROS'!$B$16,"Médio",IF(K468&lt;='01_PARÂMETROS'!$B$17,"Alto","Elevado"))))</f>
        <v>Médio</v>
      </c>
      <c r="N468" s="58" t="s">
        <v>486</v>
      </c>
      <c r="O468" s="61"/>
    </row>
    <row r="469" spans="1:15" ht="13.5" customHeight="1" x14ac:dyDescent="0.25">
      <c r="A469" s="24" t="s">
        <v>1265</v>
      </c>
      <c r="B469" s="38" t="s">
        <v>660</v>
      </c>
      <c r="C469" s="25" t="s">
        <v>1266</v>
      </c>
      <c r="D469" s="39" t="s">
        <v>1216</v>
      </c>
      <c r="E469" s="40" t="s">
        <v>477</v>
      </c>
      <c r="F469" s="54" t="s">
        <v>485</v>
      </c>
      <c r="G469" s="54" t="s">
        <v>485</v>
      </c>
      <c r="H469" s="54" t="s">
        <v>485</v>
      </c>
      <c r="I469" s="43">
        <f>'01_PARÂMETROS'!$B$9</f>
        <v>50</v>
      </c>
      <c r="J469" s="44">
        <f>1</f>
        <v>1</v>
      </c>
      <c r="K469" s="55">
        <f>MAX('01_PARÂMETROS'!$B$11,MIN('01_PARÂMETROS'!$B$12,J469))</f>
        <v>1</v>
      </c>
      <c r="L469" s="56">
        <f t="shared" si="23"/>
        <v>0</v>
      </c>
      <c r="M469" s="57" t="str">
        <f>IF(K469&lt;='01_PARÂMETROS'!$B$14,"Preferencial",IF(K469&lt;='01_PARÂMETROS'!$B$15,"Baixo",IF(K469&lt;='01_PARÂMETROS'!$B$16,"Médio",IF(K469&lt;='01_PARÂMETROS'!$B$17,"Alto","Elevado"))))</f>
        <v>Médio</v>
      </c>
      <c r="N469" s="58" t="s">
        <v>486</v>
      </c>
      <c r="O469" s="54"/>
    </row>
    <row r="470" spans="1:15" ht="13.5" customHeight="1" x14ac:dyDescent="0.25">
      <c r="A470" s="13" t="s">
        <v>1267</v>
      </c>
      <c r="B470" s="49" t="s">
        <v>660</v>
      </c>
      <c r="C470" s="14" t="s">
        <v>1268</v>
      </c>
      <c r="D470" s="50" t="s">
        <v>1216</v>
      </c>
      <c r="E470" s="40" t="s">
        <v>477</v>
      </c>
      <c r="F470" s="54" t="s">
        <v>485</v>
      </c>
      <c r="G470" s="54" t="s">
        <v>485</v>
      </c>
      <c r="H470" s="54" t="s">
        <v>485</v>
      </c>
      <c r="I470" s="43">
        <f>'01_PARÂMETROS'!$B$9</f>
        <v>50</v>
      </c>
      <c r="J470" s="44">
        <f>1</f>
        <v>1</v>
      </c>
      <c r="K470" s="55">
        <f>MAX('01_PARÂMETROS'!$B$11,MIN('01_PARÂMETROS'!$B$12,J470))</f>
        <v>1</v>
      </c>
      <c r="L470" s="56">
        <f t="shared" si="23"/>
        <v>0</v>
      </c>
      <c r="M470" s="57" t="str">
        <f>IF(K470&lt;='01_PARÂMETROS'!$B$14,"Preferencial",IF(K470&lt;='01_PARÂMETROS'!$B$15,"Baixo",IF(K470&lt;='01_PARÂMETROS'!$B$16,"Médio",IF(K470&lt;='01_PARÂMETROS'!$B$17,"Alto","Elevado"))))</f>
        <v>Médio</v>
      </c>
      <c r="N470" s="58" t="s">
        <v>486</v>
      </c>
      <c r="O470" s="61"/>
    </row>
    <row r="471" spans="1:15" ht="13.5" customHeight="1" x14ac:dyDescent="0.25">
      <c r="A471" s="24" t="s">
        <v>1269</v>
      </c>
      <c r="B471" s="38" t="s">
        <v>660</v>
      </c>
      <c r="C471" s="25" t="s">
        <v>1270</v>
      </c>
      <c r="D471" s="39" t="s">
        <v>1216</v>
      </c>
      <c r="E471" s="40" t="s">
        <v>477</v>
      </c>
      <c r="F471" s="54" t="s">
        <v>485</v>
      </c>
      <c r="G471" s="54" t="s">
        <v>485</v>
      </c>
      <c r="H471" s="54" t="s">
        <v>485</v>
      </c>
      <c r="I471" s="43">
        <f>'01_PARÂMETROS'!$B$9</f>
        <v>50</v>
      </c>
      <c r="J471" s="44">
        <f>1</f>
        <v>1</v>
      </c>
      <c r="K471" s="55">
        <f>MAX('01_PARÂMETROS'!$B$11,MIN('01_PARÂMETROS'!$B$12,J471))</f>
        <v>1</v>
      </c>
      <c r="L471" s="56">
        <f t="shared" si="23"/>
        <v>0</v>
      </c>
      <c r="M471" s="57" t="str">
        <f>IF(K471&lt;='01_PARÂMETROS'!$B$14,"Preferencial",IF(K471&lt;='01_PARÂMETROS'!$B$15,"Baixo",IF(K471&lt;='01_PARÂMETROS'!$B$16,"Médio",IF(K471&lt;='01_PARÂMETROS'!$B$17,"Alto","Elevado"))))</f>
        <v>Médio</v>
      </c>
      <c r="N471" s="58" t="s">
        <v>486</v>
      </c>
      <c r="O471" s="54"/>
    </row>
    <row r="472" spans="1:15" ht="13.5" customHeight="1" x14ac:dyDescent="0.25">
      <c r="A472" s="13" t="s">
        <v>1271</v>
      </c>
      <c r="B472" s="49" t="s">
        <v>660</v>
      </c>
      <c r="C472" s="14" t="s">
        <v>1272</v>
      </c>
      <c r="D472" s="50" t="s">
        <v>1216</v>
      </c>
      <c r="E472" s="40" t="s">
        <v>477</v>
      </c>
      <c r="F472" s="54" t="s">
        <v>485</v>
      </c>
      <c r="G472" s="54" t="s">
        <v>485</v>
      </c>
      <c r="H472" s="54" t="s">
        <v>485</v>
      </c>
      <c r="I472" s="43">
        <f>'01_PARÂMETROS'!$B$9</f>
        <v>50</v>
      </c>
      <c r="J472" s="44">
        <f>1</f>
        <v>1</v>
      </c>
      <c r="K472" s="55">
        <f>MAX('01_PARÂMETROS'!$B$11,MIN('01_PARÂMETROS'!$B$12,J472))</f>
        <v>1</v>
      </c>
      <c r="L472" s="56">
        <f t="shared" si="23"/>
        <v>0</v>
      </c>
      <c r="M472" s="57" t="str">
        <f>IF(K472&lt;='01_PARÂMETROS'!$B$14,"Preferencial",IF(K472&lt;='01_PARÂMETROS'!$B$15,"Baixo",IF(K472&lt;='01_PARÂMETROS'!$B$16,"Médio",IF(K472&lt;='01_PARÂMETROS'!$B$17,"Alto","Elevado"))))</f>
        <v>Médio</v>
      </c>
      <c r="N472" s="58" t="s">
        <v>486</v>
      </c>
      <c r="O472" s="61"/>
    </row>
    <row r="473" spans="1:15" ht="13.5" customHeight="1" x14ac:dyDescent="0.25">
      <c r="A473" s="24" t="s">
        <v>1273</v>
      </c>
      <c r="B473" s="38" t="s">
        <v>660</v>
      </c>
      <c r="C473" s="25" t="s">
        <v>1274</v>
      </c>
      <c r="D473" s="39" t="s">
        <v>1216</v>
      </c>
      <c r="E473" s="40" t="s">
        <v>477</v>
      </c>
      <c r="F473" s="54" t="s">
        <v>485</v>
      </c>
      <c r="G473" s="54" t="s">
        <v>485</v>
      </c>
      <c r="H473" s="54" t="s">
        <v>485</v>
      </c>
      <c r="I473" s="43">
        <f>'01_PARÂMETROS'!$B$9</f>
        <v>50</v>
      </c>
      <c r="J473" s="44">
        <f>1</f>
        <v>1</v>
      </c>
      <c r="K473" s="55">
        <f>MAX('01_PARÂMETROS'!$B$11,MIN('01_PARÂMETROS'!$B$12,J473))</f>
        <v>1</v>
      </c>
      <c r="L473" s="56">
        <f t="shared" si="23"/>
        <v>0</v>
      </c>
      <c r="M473" s="57" t="str">
        <f>IF(K473&lt;='01_PARÂMETROS'!$B$14,"Preferencial",IF(K473&lt;='01_PARÂMETROS'!$B$15,"Baixo",IF(K473&lt;='01_PARÂMETROS'!$B$16,"Médio",IF(K473&lt;='01_PARÂMETROS'!$B$17,"Alto","Elevado"))))</f>
        <v>Médio</v>
      </c>
      <c r="N473" s="58" t="s">
        <v>486</v>
      </c>
      <c r="O473" s="54"/>
    </row>
    <row r="474" spans="1:15" ht="13.5" customHeight="1" x14ac:dyDescent="0.25">
      <c r="A474" s="13" t="s">
        <v>1275</v>
      </c>
      <c r="B474" s="49" t="s">
        <v>660</v>
      </c>
      <c r="C474" s="14" t="s">
        <v>1276</v>
      </c>
      <c r="D474" s="50" t="s">
        <v>1216</v>
      </c>
      <c r="E474" s="40" t="s">
        <v>477</v>
      </c>
      <c r="F474" s="54" t="s">
        <v>485</v>
      </c>
      <c r="G474" s="54" t="s">
        <v>485</v>
      </c>
      <c r="H474" s="54" t="s">
        <v>485</v>
      </c>
      <c r="I474" s="43">
        <f>'01_PARÂMETROS'!$B$9</f>
        <v>50</v>
      </c>
      <c r="J474" s="44">
        <f>1</f>
        <v>1</v>
      </c>
      <c r="K474" s="55">
        <f>MAX('01_PARÂMETROS'!$B$11,MIN('01_PARÂMETROS'!$B$12,J474))</f>
        <v>1</v>
      </c>
      <c r="L474" s="56">
        <f t="shared" si="23"/>
        <v>0</v>
      </c>
      <c r="M474" s="57" t="str">
        <f>IF(K474&lt;='01_PARÂMETROS'!$B$14,"Preferencial",IF(K474&lt;='01_PARÂMETROS'!$B$15,"Baixo",IF(K474&lt;='01_PARÂMETROS'!$B$16,"Médio",IF(K474&lt;='01_PARÂMETROS'!$B$17,"Alto","Elevado"))))</f>
        <v>Médio</v>
      </c>
      <c r="N474" s="58" t="s">
        <v>486</v>
      </c>
      <c r="O474" s="61"/>
    </row>
    <row r="475" spans="1:15" ht="13.5" customHeight="1" x14ac:dyDescent="0.25">
      <c r="A475" s="24" t="s">
        <v>1277</v>
      </c>
      <c r="B475" s="38" t="s">
        <v>660</v>
      </c>
      <c r="C475" s="25" t="s">
        <v>1278</v>
      </c>
      <c r="D475" s="39" t="s">
        <v>1216</v>
      </c>
      <c r="E475" s="40" t="s">
        <v>477</v>
      </c>
      <c r="F475" s="54" t="s">
        <v>485</v>
      </c>
      <c r="G475" s="54" t="s">
        <v>485</v>
      </c>
      <c r="H475" s="54" t="s">
        <v>485</v>
      </c>
      <c r="I475" s="43">
        <f>'01_PARÂMETROS'!$B$9</f>
        <v>50</v>
      </c>
      <c r="J475" s="44">
        <f>1</f>
        <v>1</v>
      </c>
      <c r="K475" s="55">
        <f>MAX('01_PARÂMETROS'!$B$11,MIN('01_PARÂMETROS'!$B$12,J475))</f>
        <v>1</v>
      </c>
      <c r="L475" s="56">
        <f t="shared" si="23"/>
        <v>0</v>
      </c>
      <c r="M475" s="57" t="str">
        <f>IF(K475&lt;='01_PARÂMETROS'!$B$14,"Preferencial",IF(K475&lt;='01_PARÂMETROS'!$B$15,"Baixo",IF(K475&lt;='01_PARÂMETROS'!$B$16,"Médio",IF(K475&lt;='01_PARÂMETROS'!$B$17,"Alto","Elevado"))))</f>
        <v>Médio</v>
      </c>
      <c r="N475" s="58" t="s">
        <v>486</v>
      </c>
      <c r="O475" s="54"/>
    </row>
    <row r="476" spans="1:15" ht="13.5" customHeight="1" x14ac:dyDescent="0.25">
      <c r="A476" s="13" t="s">
        <v>1279</v>
      </c>
      <c r="B476" s="49" t="s">
        <v>660</v>
      </c>
      <c r="C476" s="14" t="s">
        <v>1280</v>
      </c>
      <c r="D476" s="50" t="s">
        <v>1216</v>
      </c>
      <c r="E476" s="40" t="s">
        <v>477</v>
      </c>
      <c r="F476" s="54" t="s">
        <v>485</v>
      </c>
      <c r="G476" s="54" t="s">
        <v>485</v>
      </c>
      <c r="H476" s="54" t="s">
        <v>485</v>
      </c>
      <c r="I476" s="43">
        <f>'01_PARÂMETROS'!$B$9</f>
        <v>50</v>
      </c>
      <c r="J476" s="44">
        <f>1</f>
        <v>1</v>
      </c>
      <c r="K476" s="55">
        <f>MAX('01_PARÂMETROS'!$B$11,MIN('01_PARÂMETROS'!$B$12,J476))</f>
        <v>1</v>
      </c>
      <c r="L476" s="56">
        <f t="shared" si="23"/>
        <v>0</v>
      </c>
      <c r="M476" s="57" t="str">
        <f>IF(K476&lt;='01_PARÂMETROS'!$B$14,"Preferencial",IF(K476&lt;='01_PARÂMETROS'!$B$15,"Baixo",IF(K476&lt;='01_PARÂMETROS'!$B$16,"Médio",IF(K476&lt;='01_PARÂMETROS'!$B$17,"Alto","Elevado"))))</f>
        <v>Médio</v>
      </c>
      <c r="N476" s="58" t="s">
        <v>486</v>
      </c>
      <c r="O476" s="61"/>
    </row>
    <row r="477" spans="1:15" ht="13.5" customHeight="1" x14ac:dyDescent="0.25">
      <c r="A477" s="24" t="s">
        <v>1281</v>
      </c>
      <c r="B477" s="38" t="s">
        <v>660</v>
      </c>
      <c r="C477" s="25" t="s">
        <v>1282</v>
      </c>
      <c r="D477" s="39" t="s">
        <v>1216</v>
      </c>
      <c r="E477" s="40" t="s">
        <v>477</v>
      </c>
      <c r="F477" s="54" t="s">
        <v>485</v>
      </c>
      <c r="G477" s="54" t="s">
        <v>485</v>
      </c>
      <c r="H477" s="54" t="s">
        <v>485</v>
      </c>
      <c r="I477" s="43">
        <f>'01_PARÂMETROS'!$B$9</f>
        <v>50</v>
      </c>
      <c r="J477" s="44">
        <f>1</f>
        <v>1</v>
      </c>
      <c r="K477" s="55">
        <f>MAX('01_PARÂMETROS'!$B$11,MIN('01_PARÂMETROS'!$B$12,J477))</f>
        <v>1</v>
      </c>
      <c r="L477" s="56">
        <f t="shared" si="23"/>
        <v>0</v>
      </c>
      <c r="M477" s="57" t="str">
        <f>IF(K477&lt;='01_PARÂMETROS'!$B$14,"Preferencial",IF(K477&lt;='01_PARÂMETROS'!$B$15,"Baixo",IF(K477&lt;='01_PARÂMETROS'!$B$16,"Médio",IF(K477&lt;='01_PARÂMETROS'!$B$17,"Alto","Elevado"))))</f>
        <v>Médio</v>
      </c>
      <c r="N477" s="58" t="s">
        <v>486</v>
      </c>
      <c r="O477" s="54"/>
    </row>
    <row r="478" spans="1:15" ht="13.5" customHeight="1" x14ac:dyDescent="0.25">
      <c r="A478" s="13" t="s">
        <v>1283</v>
      </c>
      <c r="B478" s="49" t="s">
        <v>660</v>
      </c>
      <c r="C478" s="14" t="s">
        <v>1284</v>
      </c>
      <c r="D478" s="50" t="s">
        <v>1216</v>
      </c>
      <c r="E478" s="40" t="s">
        <v>477</v>
      </c>
      <c r="F478" s="54" t="s">
        <v>485</v>
      </c>
      <c r="G478" s="54" t="s">
        <v>485</v>
      </c>
      <c r="H478" s="54" t="s">
        <v>485</v>
      </c>
      <c r="I478" s="43">
        <f>'01_PARÂMETROS'!$B$9</f>
        <v>50</v>
      </c>
      <c r="J478" s="44">
        <f>1</f>
        <v>1</v>
      </c>
      <c r="K478" s="55">
        <f>MAX('01_PARÂMETROS'!$B$11,MIN('01_PARÂMETROS'!$B$12,J478))</f>
        <v>1</v>
      </c>
      <c r="L478" s="56">
        <f t="shared" si="23"/>
        <v>0</v>
      </c>
      <c r="M478" s="57" t="str">
        <f>IF(K478&lt;='01_PARÂMETROS'!$B$14,"Preferencial",IF(K478&lt;='01_PARÂMETROS'!$B$15,"Baixo",IF(K478&lt;='01_PARÂMETROS'!$B$16,"Médio",IF(K478&lt;='01_PARÂMETROS'!$B$17,"Alto","Elevado"))))</f>
        <v>Médio</v>
      </c>
      <c r="N478" s="58" t="s">
        <v>486</v>
      </c>
      <c r="O478" s="61"/>
    </row>
    <row r="479" spans="1:15" ht="13.5" customHeight="1" x14ac:dyDescent="0.25">
      <c r="A479" s="24" t="s">
        <v>1285</v>
      </c>
      <c r="B479" s="38" t="s">
        <v>660</v>
      </c>
      <c r="C479" s="25" t="s">
        <v>1286</v>
      </c>
      <c r="D479" s="39" t="s">
        <v>1216</v>
      </c>
      <c r="E479" s="40" t="s">
        <v>477</v>
      </c>
      <c r="F479" s="54" t="s">
        <v>485</v>
      </c>
      <c r="G479" s="54" t="s">
        <v>485</v>
      </c>
      <c r="H479" s="54" t="s">
        <v>485</v>
      </c>
      <c r="I479" s="43">
        <f>'01_PARÂMETROS'!$B$9</f>
        <v>50</v>
      </c>
      <c r="J479" s="44">
        <f>1</f>
        <v>1</v>
      </c>
      <c r="K479" s="55">
        <f>MAX('01_PARÂMETROS'!$B$11,MIN('01_PARÂMETROS'!$B$12,J479))</f>
        <v>1</v>
      </c>
      <c r="L479" s="56">
        <f t="shared" si="23"/>
        <v>0</v>
      </c>
      <c r="M479" s="57" t="str">
        <f>IF(K479&lt;='01_PARÂMETROS'!$B$14,"Preferencial",IF(K479&lt;='01_PARÂMETROS'!$B$15,"Baixo",IF(K479&lt;='01_PARÂMETROS'!$B$16,"Médio",IF(K479&lt;='01_PARÂMETROS'!$B$17,"Alto","Elevado"))))</f>
        <v>Médio</v>
      </c>
      <c r="N479" s="58" t="s">
        <v>486</v>
      </c>
      <c r="O479" s="54"/>
    </row>
    <row r="480" spans="1:15" ht="13.5" customHeight="1" x14ac:dyDescent="0.25">
      <c r="A480" s="13" t="s">
        <v>1287</v>
      </c>
      <c r="B480" s="49" t="s">
        <v>660</v>
      </c>
      <c r="C480" s="14" t="s">
        <v>1288</v>
      </c>
      <c r="D480" s="50" t="s">
        <v>1216</v>
      </c>
      <c r="E480" s="40" t="s">
        <v>477</v>
      </c>
      <c r="F480" s="54" t="s">
        <v>485</v>
      </c>
      <c r="G480" s="54" t="s">
        <v>485</v>
      </c>
      <c r="H480" s="54" t="s">
        <v>485</v>
      </c>
      <c r="I480" s="43">
        <f>'01_PARÂMETROS'!$B$9</f>
        <v>50</v>
      </c>
      <c r="J480" s="44">
        <f>1</f>
        <v>1</v>
      </c>
      <c r="K480" s="55">
        <f>MAX('01_PARÂMETROS'!$B$11,MIN('01_PARÂMETROS'!$B$12,J480))</f>
        <v>1</v>
      </c>
      <c r="L480" s="56">
        <f t="shared" si="23"/>
        <v>0</v>
      </c>
      <c r="M480" s="57" t="str">
        <f>IF(K480&lt;='01_PARÂMETROS'!$B$14,"Preferencial",IF(K480&lt;='01_PARÂMETROS'!$B$15,"Baixo",IF(K480&lt;='01_PARÂMETROS'!$B$16,"Médio",IF(K480&lt;='01_PARÂMETROS'!$B$17,"Alto","Elevado"))))</f>
        <v>Médio</v>
      </c>
      <c r="N480" s="58" t="s">
        <v>486</v>
      </c>
      <c r="O480" s="61"/>
    </row>
    <row r="481" spans="1:15" ht="13.5" customHeight="1" x14ac:dyDescent="0.25">
      <c r="A481" s="24" t="s">
        <v>1289</v>
      </c>
      <c r="B481" s="38" t="s">
        <v>660</v>
      </c>
      <c r="C481" s="25" t="s">
        <v>1290</v>
      </c>
      <c r="D481" s="39" t="s">
        <v>1216</v>
      </c>
      <c r="E481" s="40" t="s">
        <v>477</v>
      </c>
      <c r="F481" s="54" t="s">
        <v>485</v>
      </c>
      <c r="G481" s="54" t="s">
        <v>485</v>
      </c>
      <c r="H481" s="54" t="s">
        <v>485</v>
      </c>
      <c r="I481" s="43">
        <f>'01_PARÂMETROS'!$B$9</f>
        <v>50</v>
      </c>
      <c r="J481" s="44">
        <f>1</f>
        <v>1</v>
      </c>
      <c r="K481" s="55">
        <f>MAX('01_PARÂMETROS'!$B$11,MIN('01_PARÂMETROS'!$B$12,J481))</f>
        <v>1</v>
      </c>
      <c r="L481" s="56">
        <f t="shared" si="23"/>
        <v>0</v>
      </c>
      <c r="M481" s="57" t="str">
        <f>IF(K481&lt;='01_PARÂMETROS'!$B$14,"Preferencial",IF(K481&lt;='01_PARÂMETROS'!$B$15,"Baixo",IF(K481&lt;='01_PARÂMETROS'!$B$16,"Médio",IF(K481&lt;='01_PARÂMETROS'!$B$17,"Alto","Elevado"))))</f>
        <v>Médio</v>
      </c>
      <c r="N481" s="58" t="s">
        <v>486</v>
      </c>
      <c r="O481" s="54"/>
    </row>
    <row r="482" spans="1:15" ht="13.5" customHeight="1" x14ac:dyDescent="0.25">
      <c r="A482" s="13" t="s">
        <v>1291</v>
      </c>
      <c r="B482" s="49" t="s">
        <v>660</v>
      </c>
      <c r="C482" s="14" t="s">
        <v>1292</v>
      </c>
      <c r="D482" s="50" t="s">
        <v>1216</v>
      </c>
      <c r="E482" s="64" t="s">
        <v>566</v>
      </c>
      <c r="F482" s="54" t="s">
        <v>485</v>
      </c>
      <c r="G482" s="54" t="s">
        <v>485</v>
      </c>
      <c r="H482" s="54" t="s">
        <v>485</v>
      </c>
      <c r="I482" s="43">
        <f>'01_PARÂMETROS'!$B$9</f>
        <v>50</v>
      </c>
      <c r="J482" s="44">
        <f>1.15</f>
        <v>1.1499999999999999</v>
      </c>
      <c r="K482" s="45">
        <f>MAX('01_PARÂMETROS'!$B$11,MIN('01_PARÂMETROS'!$B$12,J482))</f>
        <v>1.1499999999999999</v>
      </c>
      <c r="L482" s="46">
        <f t="shared" si="23"/>
        <v>0.14999999999999991</v>
      </c>
      <c r="M482" s="47" t="str">
        <f>IF(K482&lt;='01_PARÂMETROS'!$B$14,"Preferencial",IF(K482&lt;='01_PARÂMETROS'!$B$15,"Baixo",IF(K482&lt;='01_PARÂMETROS'!$B$16,"Médio",IF(K482&lt;='01_PARÂMETROS'!$B$17,"Alto","Elevado"))))</f>
        <v>Alto</v>
      </c>
      <c r="N482" s="58" t="s">
        <v>486</v>
      </c>
      <c r="O482" s="61"/>
    </row>
    <row r="483" spans="1:15" ht="13.5" customHeight="1" x14ac:dyDescent="0.25">
      <c r="A483" s="24" t="s">
        <v>1293</v>
      </c>
      <c r="B483" s="38" t="s">
        <v>660</v>
      </c>
      <c r="C483" s="25" t="s">
        <v>1294</v>
      </c>
      <c r="D483" s="39" t="s">
        <v>1216</v>
      </c>
      <c r="E483" s="64" t="s">
        <v>566</v>
      </c>
      <c r="F483" s="54" t="s">
        <v>485</v>
      </c>
      <c r="G483" s="54" t="s">
        <v>485</v>
      </c>
      <c r="H483" s="54" t="s">
        <v>485</v>
      </c>
      <c r="I483" s="43">
        <f>'01_PARÂMETROS'!$B$9</f>
        <v>50</v>
      </c>
      <c r="J483" s="44">
        <f>1.15</f>
        <v>1.1499999999999999</v>
      </c>
      <c r="K483" s="45">
        <f>MAX('01_PARÂMETROS'!$B$11,MIN('01_PARÂMETROS'!$B$12,J483))</f>
        <v>1.1499999999999999</v>
      </c>
      <c r="L483" s="46">
        <f t="shared" si="23"/>
        <v>0.14999999999999991</v>
      </c>
      <c r="M483" s="47" t="str">
        <f>IF(K483&lt;='01_PARÂMETROS'!$B$14,"Preferencial",IF(K483&lt;='01_PARÂMETROS'!$B$15,"Baixo",IF(K483&lt;='01_PARÂMETROS'!$B$16,"Médio",IF(K483&lt;='01_PARÂMETROS'!$B$17,"Alto","Elevado"))))</f>
        <v>Alto</v>
      </c>
      <c r="N483" s="58" t="s">
        <v>486</v>
      </c>
      <c r="O483" s="54"/>
    </row>
    <row r="484" spans="1:15" ht="13.5" customHeight="1" x14ac:dyDescent="0.25">
      <c r="A484" s="13" t="s">
        <v>1295</v>
      </c>
      <c r="B484" s="49" t="s">
        <v>660</v>
      </c>
      <c r="C484" s="14" t="s">
        <v>1296</v>
      </c>
      <c r="D484" s="50" t="s">
        <v>1216</v>
      </c>
      <c r="E484" s="64" t="s">
        <v>566</v>
      </c>
      <c r="F484" s="54" t="s">
        <v>485</v>
      </c>
      <c r="G484" s="54" t="s">
        <v>485</v>
      </c>
      <c r="H484" s="54" t="s">
        <v>485</v>
      </c>
      <c r="I484" s="43">
        <f>'01_PARÂMETROS'!$B$9</f>
        <v>50</v>
      </c>
      <c r="J484" s="44">
        <f>1.15</f>
        <v>1.1499999999999999</v>
      </c>
      <c r="K484" s="45">
        <f>MAX('01_PARÂMETROS'!$B$11,MIN('01_PARÂMETROS'!$B$12,J484))</f>
        <v>1.1499999999999999</v>
      </c>
      <c r="L484" s="46">
        <f t="shared" si="23"/>
        <v>0.14999999999999991</v>
      </c>
      <c r="M484" s="47" t="str">
        <f>IF(K484&lt;='01_PARÂMETROS'!$B$14,"Preferencial",IF(K484&lt;='01_PARÂMETROS'!$B$15,"Baixo",IF(K484&lt;='01_PARÂMETROS'!$B$16,"Médio",IF(K484&lt;='01_PARÂMETROS'!$B$17,"Alto","Elevado"))))</f>
        <v>Alto</v>
      </c>
      <c r="N484" s="58" t="s">
        <v>486</v>
      </c>
      <c r="O484" s="61"/>
    </row>
    <row r="485" spans="1:15" ht="13.5" customHeight="1" x14ac:dyDescent="0.25">
      <c r="A485" s="24" t="s">
        <v>1297</v>
      </c>
      <c r="B485" s="38" t="s">
        <v>660</v>
      </c>
      <c r="C485" s="25" t="s">
        <v>1298</v>
      </c>
      <c r="D485" s="39" t="s">
        <v>1216</v>
      </c>
      <c r="E485" s="64" t="s">
        <v>566</v>
      </c>
      <c r="F485" s="54" t="s">
        <v>485</v>
      </c>
      <c r="G485" s="54" t="s">
        <v>485</v>
      </c>
      <c r="H485" s="54" t="s">
        <v>485</v>
      </c>
      <c r="I485" s="43">
        <f>'01_PARÂMETROS'!$B$9</f>
        <v>50</v>
      </c>
      <c r="J485" s="44">
        <f>1.15</f>
        <v>1.1499999999999999</v>
      </c>
      <c r="K485" s="45">
        <f>MAX('01_PARÂMETROS'!$B$11,MIN('01_PARÂMETROS'!$B$12,J485))</f>
        <v>1.1499999999999999</v>
      </c>
      <c r="L485" s="46">
        <f t="shared" si="23"/>
        <v>0.14999999999999991</v>
      </c>
      <c r="M485" s="47" t="str">
        <f>IF(K485&lt;='01_PARÂMETROS'!$B$14,"Preferencial",IF(K485&lt;='01_PARÂMETROS'!$B$15,"Baixo",IF(K485&lt;='01_PARÂMETROS'!$B$16,"Médio",IF(K485&lt;='01_PARÂMETROS'!$B$17,"Alto","Elevado"))))</f>
        <v>Alto</v>
      </c>
      <c r="N485" s="58" t="s">
        <v>486</v>
      </c>
      <c r="O485" s="54"/>
    </row>
    <row r="486" spans="1:15" ht="13.5" customHeight="1" x14ac:dyDescent="0.25">
      <c r="A486" s="13" t="s">
        <v>1299</v>
      </c>
      <c r="B486" s="49" t="s">
        <v>660</v>
      </c>
      <c r="C486" s="14" t="s">
        <v>1300</v>
      </c>
      <c r="D486" s="50" t="s">
        <v>1216</v>
      </c>
      <c r="E486" s="40" t="s">
        <v>477</v>
      </c>
      <c r="F486" s="54" t="s">
        <v>485</v>
      </c>
      <c r="G486" s="54" t="s">
        <v>485</v>
      </c>
      <c r="H486" s="54" t="s">
        <v>485</v>
      </c>
      <c r="I486" s="43">
        <f>'01_PARÂMETROS'!$B$9</f>
        <v>50</v>
      </c>
      <c r="J486" s="44">
        <f>1</f>
        <v>1</v>
      </c>
      <c r="K486" s="55">
        <f>MAX('01_PARÂMETROS'!$B$11,MIN('01_PARÂMETROS'!$B$12,J486))</f>
        <v>1</v>
      </c>
      <c r="L486" s="56">
        <f t="shared" si="23"/>
        <v>0</v>
      </c>
      <c r="M486" s="57" t="str">
        <f>IF(K486&lt;='01_PARÂMETROS'!$B$14,"Preferencial",IF(K486&lt;='01_PARÂMETROS'!$B$15,"Baixo",IF(K486&lt;='01_PARÂMETROS'!$B$16,"Médio",IF(K486&lt;='01_PARÂMETROS'!$B$17,"Alto","Elevado"))))</f>
        <v>Médio</v>
      </c>
      <c r="N486" s="58" t="s">
        <v>486</v>
      </c>
      <c r="O486" s="61"/>
    </row>
    <row r="487" spans="1:15" ht="13.5" customHeight="1" x14ac:dyDescent="0.25">
      <c r="A487" s="24" t="s">
        <v>1301</v>
      </c>
      <c r="B487" s="38" t="s">
        <v>660</v>
      </c>
      <c r="C487" s="25" t="s">
        <v>1302</v>
      </c>
      <c r="D487" s="39" t="s">
        <v>1216</v>
      </c>
      <c r="E487" s="40" t="s">
        <v>477</v>
      </c>
      <c r="F487" s="54" t="s">
        <v>485</v>
      </c>
      <c r="G487" s="54" t="s">
        <v>485</v>
      </c>
      <c r="H487" s="54" t="s">
        <v>485</v>
      </c>
      <c r="I487" s="43">
        <f>'01_PARÂMETROS'!$B$9</f>
        <v>50</v>
      </c>
      <c r="J487" s="44">
        <f>1</f>
        <v>1</v>
      </c>
      <c r="K487" s="55">
        <f>MAX('01_PARÂMETROS'!$B$11,MIN('01_PARÂMETROS'!$B$12,J487))</f>
        <v>1</v>
      </c>
      <c r="L487" s="56">
        <f t="shared" si="23"/>
        <v>0</v>
      </c>
      <c r="M487" s="57" t="str">
        <f>IF(K487&lt;='01_PARÂMETROS'!$B$14,"Preferencial",IF(K487&lt;='01_PARÂMETROS'!$B$15,"Baixo",IF(K487&lt;='01_PARÂMETROS'!$B$16,"Médio",IF(K487&lt;='01_PARÂMETROS'!$B$17,"Alto","Elevado"))))</f>
        <v>Médio</v>
      </c>
      <c r="N487" s="58" t="s">
        <v>486</v>
      </c>
      <c r="O487" s="54"/>
    </row>
    <row r="488" spans="1:15" ht="13.5" customHeight="1" x14ac:dyDescent="0.25">
      <c r="A488" s="13" t="s">
        <v>1303</v>
      </c>
      <c r="B488" s="49" t="s">
        <v>660</v>
      </c>
      <c r="C488" s="14" t="s">
        <v>1304</v>
      </c>
      <c r="D488" s="50" t="s">
        <v>1216</v>
      </c>
      <c r="E488" s="40" t="s">
        <v>477</v>
      </c>
      <c r="F488" s="54" t="s">
        <v>485</v>
      </c>
      <c r="G488" s="54" t="s">
        <v>485</v>
      </c>
      <c r="H488" s="54" t="s">
        <v>485</v>
      </c>
      <c r="I488" s="43">
        <f>'01_PARÂMETROS'!$B$9</f>
        <v>50</v>
      </c>
      <c r="J488" s="44">
        <f>1</f>
        <v>1</v>
      </c>
      <c r="K488" s="55">
        <f>MAX('01_PARÂMETROS'!$B$11,MIN('01_PARÂMETROS'!$B$12,J488))</f>
        <v>1</v>
      </c>
      <c r="L488" s="56">
        <f t="shared" si="23"/>
        <v>0</v>
      </c>
      <c r="M488" s="57" t="str">
        <f>IF(K488&lt;='01_PARÂMETROS'!$B$14,"Preferencial",IF(K488&lt;='01_PARÂMETROS'!$B$15,"Baixo",IF(K488&lt;='01_PARÂMETROS'!$B$16,"Médio",IF(K488&lt;='01_PARÂMETROS'!$B$17,"Alto","Elevado"))))</f>
        <v>Médio</v>
      </c>
      <c r="N488" s="58" t="s">
        <v>486</v>
      </c>
      <c r="O488" s="61"/>
    </row>
    <row r="489" spans="1:15" ht="13.5" customHeight="1" x14ac:dyDescent="0.25">
      <c r="A489" s="24" t="s">
        <v>1305</v>
      </c>
      <c r="B489" s="38" t="s">
        <v>660</v>
      </c>
      <c r="C489" s="25" t="s">
        <v>1306</v>
      </c>
      <c r="D489" s="39" t="s">
        <v>1216</v>
      </c>
      <c r="E489" s="40" t="s">
        <v>477</v>
      </c>
      <c r="F489" s="54" t="s">
        <v>485</v>
      </c>
      <c r="G489" s="54" t="s">
        <v>485</v>
      </c>
      <c r="H489" s="54" t="s">
        <v>485</v>
      </c>
      <c r="I489" s="43">
        <f>'01_PARÂMETROS'!$B$9</f>
        <v>50</v>
      </c>
      <c r="J489" s="44">
        <f>1</f>
        <v>1</v>
      </c>
      <c r="K489" s="55">
        <f>MAX('01_PARÂMETROS'!$B$11,MIN('01_PARÂMETROS'!$B$12,J489))</f>
        <v>1</v>
      </c>
      <c r="L489" s="56">
        <f t="shared" si="23"/>
        <v>0</v>
      </c>
      <c r="M489" s="57" t="str">
        <f>IF(K489&lt;='01_PARÂMETROS'!$B$14,"Preferencial",IF(K489&lt;='01_PARÂMETROS'!$B$15,"Baixo",IF(K489&lt;='01_PARÂMETROS'!$B$16,"Médio",IF(K489&lt;='01_PARÂMETROS'!$B$17,"Alto","Elevado"))))</f>
        <v>Médio</v>
      </c>
      <c r="N489" s="58" t="s">
        <v>486</v>
      </c>
      <c r="O489" s="54"/>
    </row>
    <row r="490" spans="1:15" ht="13.5" customHeight="1" x14ac:dyDescent="0.25">
      <c r="A490" s="13" t="s">
        <v>1307</v>
      </c>
      <c r="B490" s="49" t="s">
        <v>660</v>
      </c>
      <c r="C490" s="14" t="s">
        <v>1308</v>
      </c>
      <c r="D490" s="50" t="s">
        <v>1216</v>
      </c>
      <c r="E490" s="40" t="s">
        <v>477</v>
      </c>
      <c r="F490" s="54" t="s">
        <v>485</v>
      </c>
      <c r="G490" s="54" t="s">
        <v>485</v>
      </c>
      <c r="H490" s="54" t="s">
        <v>485</v>
      </c>
      <c r="I490" s="43">
        <f>'01_PARÂMETROS'!$B$9</f>
        <v>50</v>
      </c>
      <c r="J490" s="44">
        <f>1</f>
        <v>1</v>
      </c>
      <c r="K490" s="55">
        <f>MAX('01_PARÂMETROS'!$B$11,MIN('01_PARÂMETROS'!$B$12,J490))</f>
        <v>1</v>
      </c>
      <c r="L490" s="56">
        <f t="shared" si="23"/>
        <v>0</v>
      </c>
      <c r="M490" s="57" t="str">
        <f>IF(K490&lt;='01_PARÂMETROS'!$B$14,"Preferencial",IF(K490&lt;='01_PARÂMETROS'!$B$15,"Baixo",IF(K490&lt;='01_PARÂMETROS'!$B$16,"Médio",IF(K490&lt;='01_PARÂMETROS'!$B$17,"Alto","Elevado"))))</f>
        <v>Médio</v>
      </c>
      <c r="N490" s="58" t="s">
        <v>486</v>
      </c>
      <c r="O490" s="61"/>
    </row>
    <row r="491" spans="1:15" ht="13.5" customHeight="1" x14ac:dyDescent="0.25">
      <c r="A491" s="24" t="s">
        <v>1309</v>
      </c>
      <c r="B491" s="38" t="s">
        <v>660</v>
      </c>
      <c r="C491" s="25" t="s">
        <v>1310</v>
      </c>
      <c r="D491" s="39" t="s">
        <v>1216</v>
      </c>
      <c r="E491" s="40" t="s">
        <v>477</v>
      </c>
      <c r="F491" s="54" t="s">
        <v>485</v>
      </c>
      <c r="G491" s="54" t="s">
        <v>485</v>
      </c>
      <c r="H491" s="54" t="s">
        <v>485</v>
      </c>
      <c r="I491" s="43">
        <f>'01_PARÂMETROS'!$B$9</f>
        <v>50</v>
      </c>
      <c r="J491" s="44">
        <f>1</f>
        <v>1</v>
      </c>
      <c r="K491" s="55">
        <f>MAX('01_PARÂMETROS'!$B$11,MIN('01_PARÂMETROS'!$B$12,J491))</f>
        <v>1</v>
      </c>
      <c r="L491" s="56">
        <f t="shared" si="23"/>
        <v>0</v>
      </c>
      <c r="M491" s="57" t="str">
        <f>IF(K491&lt;='01_PARÂMETROS'!$B$14,"Preferencial",IF(K491&lt;='01_PARÂMETROS'!$B$15,"Baixo",IF(K491&lt;='01_PARÂMETROS'!$B$16,"Médio",IF(K491&lt;='01_PARÂMETROS'!$B$17,"Alto","Elevado"))))</f>
        <v>Médio</v>
      </c>
      <c r="N491" s="58" t="s">
        <v>486</v>
      </c>
      <c r="O491" s="54"/>
    </row>
    <row r="492" spans="1:15" ht="13.5" customHeight="1" x14ac:dyDescent="0.25">
      <c r="A492" s="13" t="s">
        <v>1311</v>
      </c>
      <c r="B492" s="49" t="s">
        <v>660</v>
      </c>
      <c r="C492" s="14" t="s">
        <v>1312</v>
      </c>
      <c r="D492" s="50" t="s">
        <v>1216</v>
      </c>
      <c r="E492" s="40" t="s">
        <v>477</v>
      </c>
      <c r="F492" s="54" t="s">
        <v>485</v>
      </c>
      <c r="G492" s="54" t="s">
        <v>485</v>
      </c>
      <c r="H492" s="54" t="s">
        <v>485</v>
      </c>
      <c r="I492" s="43">
        <f>'01_PARÂMETROS'!$B$9</f>
        <v>50</v>
      </c>
      <c r="J492" s="44">
        <f>1</f>
        <v>1</v>
      </c>
      <c r="K492" s="55">
        <f>MAX('01_PARÂMETROS'!$B$11,MIN('01_PARÂMETROS'!$B$12,J492))</f>
        <v>1</v>
      </c>
      <c r="L492" s="56">
        <f t="shared" si="23"/>
        <v>0</v>
      </c>
      <c r="M492" s="57" t="str">
        <f>IF(K492&lt;='01_PARÂMETROS'!$B$14,"Preferencial",IF(K492&lt;='01_PARÂMETROS'!$B$15,"Baixo",IF(K492&lt;='01_PARÂMETROS'!$B$16,"Médio",IF(K492&lt;='01_PARÂMETROS'!$B$17,"Alto","Elevado"))))</f>
        <v>Médio</v>
      </c>
      <c r="N492" s="58" t="s">
        <v>486</v>
      </c>
      <c r="O492" s="61"/>
    </row>
    <row r="493" spans="1:15" ht="13.5" customHeight="1" x14ac:dyDescent="0.25">
      <c r="A493" s="24" t="s">
        <v>1313</v>
      </c>
      <c r="B493" s="38" t="s">
        <v>660</v>
      </c>
      <c r="C493" s="25" t="s">
        <v>1314</v>
      </c>
      <c r="D493" s="39" t="s">
        <v>1315</v>
      </c>
      <c r="E493" s="40" t="s">
        <v>477</v>
      </c>
      <c r="F493" s="54" t="s">
        <v>485</v>
      </c>
      <c r="G493" s="54" t="s">
        <v>485</v>
      </c>
      <c r="H493" s="54" t="s">
        <v>485</v>
      </c>
      <c r="I493" s="43">
        <f>'01_PARÂMETROS'!$B$9</f>
        <v>50</v>
      </c>
      <c r="J493" s="44">
        <f>1</f>
        <v>1</v>
      </c>
      <c r="K493" s="55">
        <f>MAX('01_PARÂMETROS'!$B$11,MIN('01_PARÂMETROS'!$B$12,J493))</f>
        <v>1</v>
      </c>
      <c r="L493" s="56">
        <f t="shared" si="23"/>
        <v>0</v>
      </c>
      <c r="M493" s="57" t="str">
        <f>IF(K493&lt;='01_PARÂMETROS'!$B$14,"Preferencial",IF(K493&lt;='01_PARÂMETROS'!$B$15,"Baixo",IF(K493&lt;='01_PARÂMETROS'!$B$16,"Médio",IF(K493&lt;='01_PARÂMETROS'!$B$17,"Alto","Elevado"))))</f>
        <v>Médio</v>
      </c>
      <c r="N493" s="58" t="s">
        <v>486</v>
      </c>
      <c r="O493" s="54"/>
    </row>
    <row r="494" spans="1:15" ht="13.5" customHeight="1" x14ac:dyDescent="0.25">
      <c r="A494" s="13" t="s">
        <v>1316</v>
      </c>
      <c r="B494" s="49" t="s">
        <v>660</v>
      </c>
      <c r="C494" s="14" t="s">
        <v>1317</v>
      </c>
      <c r="D494" s="50" t="s">
        <v>1315</v>
      </c>
      <c r="E494" s="40" t="s">
        <v>477</v>
      </c>
      <c r="F494" s="54" t="s">
        <v>485</v>
      </c>
      <c r="G494" s="54" t="s">
        <v>485</v>
      </c>
      <c r="H494" s="54" t="s">
        <v>485</v>
      </c>
      <c r="I494" s="43">
        <f>'01_PARÂMETROS'!$B$9</f>
        <v>50</v>
      </c>
      <c r="J494" s="44">
        <f>1</f>
        <v>1</v>
      </c>
      <c r="K494" s="55">
        <f>MAX('01_PARÂMETROS'!$B$11,MIN('01_PARÂMETROS'!$B$12,J494))</f>
        <v>1</v>
      </c>
      <c r="L494" s="56">
        <f t="shared" si="23"/>
        <v>0</v>
      </c>
      <c r="M494" s="57" t="str">
        <f>IF(K494&lt;='01_PARÂMETROS'!$B$14,"Preferencial",IF(K494&lt;='01_PARÂMETROS'!$B$15,"Baixo",IF(K494&lt;='01_PARÂMETROS'!$B$16,"Médio",IF(K494&lt;='01_PARÂMETROS'!$B$17,"Alto","Elevado"))))</f>
        <v>Médio</v>
      </c>
      <c r="N494" s="58" t="s">
        <v>486</v>
      </c>
      <c r="O494" s="61"/>
    </row>
    <row r="495" spans="1:15" ht="13.5" customHeight="1" x14ac:dyDescent="0.25">
      <c r="A495" s="24" t="s">
        <v>1318</v>
      </c>
      <c r="B495" s="38" t="s">
        <v>660</v>
      </c>
      <c r="C495" s="25" t="s">
        <v>1319</v>
      </c>
      <c r="D495" s="39" t="s">
        <v>1315</v>
      </c>
      <c r="E495" s="40" t="s">
        <v>477</v>
      </c>
      <c r="F495" s="54" t="s">
        <v>485</v>
      </c>
      <c r="G495" s="54" t="s">
        <v>485</v>
      </c>
      <c r="H495" s="54" t="s">
        <v>485</v>
      </c>
      <c r="I495" s="43">
        <f>'01_PARÂMETROS'!$B$9</f>
        <v>50</v>
      </c>
      <c r="J495" s="44">
        <f>1</f>
        <v>1</v>
      </c>
      <c r="K495" s="55">
        <f>MAX('01_PARÂMETROS'!$B$11,MIN('01_PARÂMETROS'!$B$12,J495))</f>
        <v>1</v>
      </c>
      <c r="L495" s="56">
        <f t="shared" si="23"/>
        <v>0</v>
      </c>
      <c r="M495" s="57" t="str">
        <f>IF(K495&lt;='01_PARÂMETROS'!$B$14,"Preferencial",IF(K495&lt;='01_PARÂMETROS'!$B$15,"Baixo",IF(K495&lt;='01_PARÂMETROS'!$B$16,"Médio",IF(K495&lt;='01_PARÂMETROS'!$B$17,"Alto","Elevado"))))</f>
        <v>Médio</v>
      </c>
      <c r="N495" s="58" t="s">
        <v>486</v>
      </c>
      <c r="O495" s="54"/>
    </row>
    <row r="496" spans="1:15" ht="13.5" customHeight="1" x14ac:dyDescent="0.25">
      <c r="A496" s="13" t="s">
        <v>1320</v>
      </c>
      <c r="B496" s="49" t="s">
        <v>660</v>
      </c>
      <c r="C496" s="14" t="s">
        <v>1321</v>
      </c>
      <c r="D496" s="50" t="s">
        <v>1315</v>
      </c>
      <c r="E496" s="40" t="s">
        <v>477</v>
      </c>
      <c r="F496" s="54" t="s">
        <v>485</v>
      </c>
      <c r="G496" s="54" t="s">
        <v>485</v>
      </c>
      <c r="H496" s="54" t="s">
        <v>485</v>
      </c>
      <c r="I496" s="43">
        <f>'01_PARÂMETROS'!$B$9</f>
        <v>50</v>
      </c>
      <c r="J496" s="44">
        <f>1</f>
        <v>1</v>
      </c>
      <c r="K496" s="55">
        <f>MAX('01_PARÂMETROS'!$B$11,MIN('01_PARÂMETROS'!$B$12,J496))</f>
        <v>1</v>
      </c>
      <c r="L496" s="56">
        <f t="shared" si="23"/>
        <v>0</v>
      </c>
      <c r="M496" s="57" t="str">
        <f>IF(K496&lt;='01_PARÂMETROS'!$B$14,"Preferencial",IF(K496&lt;='01_PARÂMETROS'!$B$15,"Baixo",IF(K496&lt;='01_PARÂMETROS'!$B$16,"Médio",IF(K496&lt;='01_PARÂMETROS'!$B$17,"Alto","Elevado"))))</f>
        <v>Médio</v>
      </c>
      <c r="N496" s="58" t="s">
        <v>486</v>
      </c>
      <c r="O496" s="61"/>
    </row>
    <row r="497" spans="1:15" ht="13.5" customHeight="1" x14ac:dyDescent="0.25">
      <c r="A497" s="24" t="s">
        <v>1322</v>
      </c>
      <c r="B497" s="38" t="s">
        <v>660</v>
      </c>
      <c r="C497" s="25" t="s">
        <v>1323</v>
      </c>
      <c r="D497" s="39" t="s">
        <v>1315</v>
      </c>
      <c r="E497" s="40" t="s">
        <v>477</v>
      </c>
      <c r="F497" s="54" t="s">
        <v>485</v>
      </c>
      <c r="G497" s="54" t="s">
        <v>485</v>
      </c>
      <c r="H497" s="54" t="s">
        <v>485</v>
      </c>
      <c r="I497" s="43">
        <f>'01_PARÂMETROS'!$B$9</f>
        <v>50</v>
      </c>
      <c r="J497" s="44">
        <f>1</f>
        <v>1</v>
      </c>
      <c r="K497" s="55">
        <f>MAX('01_PARÂMETROS'!$B$11,MIN('01_PARÂMETROS'!$B$12,J497))</f>
        <v>1</v>
      </c>
      <c r="L497" s="56">
        <f t="shared" si="23"/>
        <v>0</v>
      </c>
      <c r="M497" s="57" t="str">
        <f>IF(K497&lt;='01_PARÂMETROS'!$B$14,"Preferencial",IF(K497&lt;='01_PARÂMETROS'!$B$15,"Baixo",IF(K497&lt;='01_PARÂMETROS'!$B$16,"Médio",IF(K497&lt;='01_PARÂMETROS'!$B$17,"Alto","Elevado"))))</f>
        <v>Médio</v>
      </c>
      <c r="N497" s="58" t="s">
        <v>486</v>
      </c>
      <c r="O497" s="54"/>
    </row>
    <row r="498" spans="1:15" ht="13.5" customHeight="1" x14ac:dyDescent="0.25">
      <c r="A498" s="13" t="s">
        <v>1324</v>
      </c>
      <c r="B498" s="49" t="s">
        <v>660</v>
      </c>
      <c r="C498" s="14" t="s">
        <v>1325</v>
      </c>
      <c r="D498" s="50" t="s">
        <v>1315</v>
      </c>
      <c r="E498" s="40" t="s">
        <v>477</v>
      </c>
      <c r="F498" s="54" t="s">
        <v>485</v>
      </c>
      <c r="G498" s="54" t="s">
        <v>485</v>
      </c>
      <c r="H498" s="54" t="s">
        <v>485</v>
      </c>
      <c r="I498" s="43">
        <f>'01_PARÂMETROS'!$B$9</f>
        <v>50</v>
      </c>
      <c r="J498" s="44">
        <f>1</f>
        <v>1</v>
      </c>
      <c r="K498" s="55">
        <f>MAX('01_PARÂMETROS'!$B$11,MIN('01_PARÂMETROS'!$B$12,J498))</f>
        <v>1</v>
      </c>
      <c r="L498" s="56">
        <f t="shared" si="23"/>
        <v>0</v>
      </c>
      <c r="M498" s="57" t="str">
        <f>IF(K498&lt;='01_PARÂMETROS'!$B$14,"Preferencial",IF(K498&lt;='01_PARÂMETROS'!$B$15,"Baixo",IF(K498&lt;='01_PARÂMETROS'!$B$16,"Médio",IF(K498&lt;='01_PARÂMETROS'!$B$17,"Alto","Elevado"))))</f>
        <v>Médio</v>
      </c>
      <c r="N498" s="58" t="s">
        <v>486</v>
      </c>
      <c r="O498" s="61"/>
    </row>
    <row r="499" spans="1:15" ht="13.5" customHeight="1" x14ac:dyDescent="0.25">
      <c r="A499" s="24" t="s">
        <v>1326</v>
      </c>
      <c r="B499" s="38" t="s">
        <v>660</v>
      </c>
      <c r="C499" s="25" t="s">
        <v>1327</v>
      </c>
      <c r="D499" s="39" t="s">
        <v>1315</v>
      </c>
      <c r="E499" s="40" t="s">
        <v>477</v>
      </c>
      <c r="F499" s="54" t="s">
        <v>485</v>
      </c>
      <c r="G499" s="54" t="s">
        <v>485</v>
      </c>
      <c r="H499" s="54" t="s">
        <v>485</v>
      </c>
      <c r="I499" s="43">
        <f>'01_PARÂMETROS'!$B$9</f>
        <v>50</v>
      </c>
      <c r="J499" s="44">
        <f>1</f>
        <v>1</v>
      </c>
      <c r="K499" s="55">
        <f>MAX('01_PARÂMETROS'!$B$11,MIN('01_PARÂMETROS'!$B$12,J499))</f>
        <v>1</v>
      </c>
      <c r="L499" s="56">
        <f t="shared" si="23"/>
        <v>0</v>
      </c>
      <c r="M499" s="57" t="str">
        <f>IF(K499&lt;='01_PARÂMETROS'!$B$14,"Preferencial",IF(K499&lt;='01_PARÂMETROS'!$B$15,"Baixo",IF(K499&lt;='01_PARÂMETROS'!$B$16,"Médio",IF(K499&lt;='01_PARÂMETROS'!$B$17,"Alto","Elevado"))))</f>
        <v>Médio</v>
      </c>
      <c r="N499" s="58" t="s">
        <v>486</v>
      </c>
      <c r="O499" s="54"/>
    </row>
    <row r="500" spans="1:15" ht="13.5" customHeight="1" x14ac:dyDescent="0.25">
      <c r="A500" s="13" t="s">
        <v>1328</v>
      </c>
      <c r="B500" s="49" t="s">
        <v>660</v>
      </c>
      <c r="C500" s="14" t="s">
        <v>1329</v>
      </c>
      <c r="D500" s="50" t="s">
        <v>1315</v>
      </c>
      <c r="E500" s="40" t="s">
        <v>477</v>
      </c>
      <c r="F500" s="54" t="s">
        <v>485</v>
      </c>
      <c r="G500" s="54" t="s">
        <v>485</v>
      </c>
      <c r="H500" s="54" t="s">
        <v>485</v>
      </c>
      <c r="I500" s="43">
        <f>'01_PARÂMETROS'!$B$9</f>
        <v>50</v>
      </c>
      <c r="J500" s="44">
        <f>1</f>
        <v>1</v>
      </c>
      <c r="K500" s="55">
        <f>MAX('01_PARÂMETROS'!$B$11,MIN('01_PARÂMETROS'!$B$12,J500))</f>
        <v>1</v>
      </c>
      <c r="L500" s="56">
        <f t="shared" si="23"/>
        <v>0</v>
      </c>
      <c r="M500" s="57" t="str">
        <f>IF(K500&lt;='01_PARÂMETROS'!$B$14,"Preferencial",IF(K500&lt;='01_PARÂMETROS'!$B$15,"Baixo",IF(K500&lt;='01_PARÂMETROS'!$B$16,"Médio",IF(K500&lt;='01_PARÂMETROS'!$B$17,"Alto","Elevado"))))</f>
        <v>Médio</v>
      </c>
      <c r="N500" s="58" t="s">
        <v>486</v>
      </c>
      <c r="O500" s="61"/>
    </row>
    <row r="501" spans="1:15" ht="13.5" customHeight="1" x14ac:dyDescent="0.25">
      <c r="A501" s="24" t="s">
        <v>1330</v>
      </c>
      <c r="B501" s="38" t="s">
        <v>660</v>
      </c>
      <c r="C501" s="25" t="s">
        <v>1331</v>
      </c>
      <c r="D501" s="39" t="s">
        <v>1315</v>
      </c>
      <c r="E501" s="40" t="s">
        <v>477</v>
      </c>
      <c r="F501" s="54" t="s">
        <v>485</v>
      </c>
      <c r="G501" s="54" t="s">
        <v>485</v>
      </c>
      <c r="H501" s="54" t="s">
        <v>485</v>
      </c>
      <c r="I501" s="43">
        <f>'01_PARÂMETROS'!$B$9</f>
        <v>50</v>
      </c>
      <c r="J501" s="44">
        <f>1</f>
        <v>1</v>
      </c>
      <c r="K501" s="55">
        <f>MAX('01_PARÂMETROS'!$B$11,MIN('01_PARÂMETROS'!$B$12,J501))</f>
        <v>1</v>
      </c>
      <c r="L501" s="56">
        <f t="shared" si="23"/>
        <v>0</v>
      </c>
      <c r="M501" s="57" t="str">
        <f>IF(K501&lt;='01_PARÂMETROS'!$B$14,"Preferencial",IF(K501&lt;='01_PARÂMETROS'!$B$15,"Baixo",IF(K501&lt;='01_PARÂMETROS'!$B$16,"Médio",IF(K501&lt;='01_PARÂMETROS'!$B$17,"Alto","Elevado"))))</f>
        <v>Médio</v>
      </c>
      <c r="N501" s="58" t="s">
        <v>486</v>
      </c>
      <c r="O501" s="54"/>
    </row>
    <row r="502" spans="1:15" ht="13.5" customHeight="1" x14ac:dyDescent="0.25">
      <c r="A502" s="13" t="s">
        <v>1332</v>
      </c>
      <c r="B502" s="49" t="s">
        <v>660</v>
      </c>
      <c r="C502" s="14" t="s">
        <v>1333</v>
      </c>
      <c r="D502" s="50" t="s">
        <v>1315</v>
      </c>
      <c r="E502" s="40" t="s">
        <v>477</v>
      </c>
      <c r="F502" s="54" t="s">
        <v>485</v>
      </c>
      <c r="G502" s="54" t="s">
        <v>485</v>
      </c>
      <c r="H502" s="54" t="s">
        <v>485</v>
      </c>
      <c r="I502" s="43">
        <f>'01_PARÂMETROS'!$B$9</f>
        <v>50</v>
      </c>
      <c r="J502" s="44">
        <f>1</f>
        <v>1</v>
      </c>
      <c r="K502" s="55">
        <f>MAX('01_PARÂMETROS'!$B$11,MIN('01_PARÂMETROS'!$B$12,J502))</f>
        <v>1</v>
      </c>
      <c r="L502" s="56">
        <f t="shared" si="23"/>
        <v>0</v>
      </c>
      <c r="M502" s="57" t="str">
        <f>IF(K502&lt;='01_PARÂMETROS'!$B$14,"Preferencial",IF(K502&lt;='01_PARÂMETROS'!$B$15,"Baixo",IF(K502&lt;='01_PARÂMETROS'!$B$16,"Médio",IF(K502&lt;='01_PARÂMETROS'!$B$17,"Alto","Elevado"))))</f>
        <v>Médio</v>
      </c>
      <c r="N502" s="58" t="s">
        <v>486</v>
      </c>
      <c r="O502" s="61"/>
    </row>
    <row r="503" spans="1:15" ht="13.5" customHeight="1" x14ac:dyDescent="0.25">
      <c r="A503" s="24" t="s">
        <v>1334</v>
      </c>
      <c r="B503" s="38" t="s">
        <v>660</v>
      </c>
      <c r="C503" s="25" t="s">
        <v>1335</v>
      </c>
      <c r="D503" s="39" t="s">
        <v>1315</v>
      </c>
      <c r="E503" s="40" t="s">
        <v>477</v>
      </c>
      <c r="F503" s="54" t="s">
        <v>485</v>
      </c>
      <c r="G503" s="54" t="s">
        <v>485</v>
      </c>
      <c r="H503" s="54" t="s">
        <v>485</v>
      </c>
      <c r="I503" s="43">
        <f>'01_PARÂMETROS'!$B$9</f>
        <v>50</v>
      </c>
      <c r="J503" s="44">
        <f>1</f>
        <v>1</v>
      </c>
      <c r="K503" s="55">
        <f>MAX('01_PARÂMETROS'!$B$11,MIN('01_PARÂMETROS'!$B$12,J503))</f>
        <v>1</v>
      </c>
      <c r="L503" s="56">
        <f t="shared" si="23"/>
        <v>0</v>
      </c>
      <c r="M503" s="57" t="str">
        <f>IF(K503&lt;='01_PARÂMETROS'!$B$14,"Preferencial",IF(K503&lt;='01_PARÂMETROS'!$B$15,"Baixo",IF(K503&lt;='01_PARÂMETROS'!$B$16,"Médio",IF(K503&lt;='01_PARÂMETROS'!$B$17,"Alto","Elevado"))))</f>
        <v>Médio</v>
      </c>
      <c r="N503" s="58" t="s">
        <v>486</v>
      </c>
      <c r="O503" s="54"/>
    </row>
    <row r="504" spans="1:15" ht="13.5" customHeight="1" x14ac:dyDescent="0.25">
      <c r="A504" s="13" t="s">
        <v>1336</v>
      </c>
      <c r="B504" s="49" t="s">
        <v>660</v>
      </c>
      <c r="C504" s="14" t="s">
        <v>1337</v>
      </c>
      <c r="D504" s="50" t="s">
        <v>1315</v>
      </c>
      <c r="E504" s="40" t="s">
        <v>477</v>
      </c>
      <c r="F504" s="54" t="s">
        <v>485</v>
      </c>
      <c r="G504" s="54" t="s">
        <v>485</v>
      </c>
      <c r="H504" s="54" t="s">
        <v>485</v>
      </c>
      <c r="I504" s="43">
        <f>'01_PARÂMETROS'!$B$9</f>
        <v>50</v>
      </c>
      <c r="J504" s="44">
        <f>1</f>
        <v>1</v>
      </c>
      <c r="K504" s="55">
        <f>MAX('01_PARÂMETROS'!$B$11,MIN('01_PARÂMETROS'!$B$12,J504))</f>
        <v>1</v>
      </c>
      <c r="L504" s="56">
        <f t="shared" si="23"/>
        <v>0</v>
      </c>
      <c r="M504" s="57" t="str">
        <f>IF(K504&lt;='01_PARÂMETROS'!$B$14,"Preferencial",IF(K504&lt;='01_PARÂMETROS'!$B$15,"Baixo",IF(K504&lt;='01_PARÂMETROS'!$B$16,"Médio",IF(K504&lt;='01_PARÂMETROS'!$B$17,"Alto","Elevado"))))</f>
        <v>Médio</v>
      </c>
      <c r="N504" s="58" t="s">
        <v>486</v>
      </c>
      <c r="O504" s="61"/>
    </row>
    <row r="505" spans="1:15" ht="13.5" customHeight="1" x14ac:dyDescent="0.25">
      <c r="A505" s="24" t="s">
        <v>1338</v>
      </c>
      <c r="B505" s="38" t="s">
        <v>660</v>
      </c>
      <c r="C505" s="25" t="s">
        <v>1339</v>
      </c>
      <c r="D505" s="39" t="s">
        <v>1315</v>
      </c>
      <c r="E505" s="40" t="s">
        <v>477</v>
      </c>
      <c r="F505" s="54" t="s">
        <v>485</v>
      </c>
      <c r="G505" s="54" t="s">
        <v>485</v>
      </c>
      <c r="H505" s="54" t="s">
        <v>485</v>
      </c>
      <c r="I505" s="43">
        <f>'01_PARÂMETROS'!$B$9</f>
        <v>50</v>
      </c>
      <c r="J505" s="44">
        <f>1</f>
        <v>1</v>
      </c>
      <c r="K505" s="55">
        <f>MAX('01_PARÂMETROS'!$B$11,MIN('01_PARÂMETROS'!$B$12,J505))</f>
        <v>1</v>
      </c>
      <c r="L505" s="56">
        <f t="shared" si="23"/>
        <v>0</v>
      </c>
      <c r="M505" s="57" t="str">
        <f>IF(K505&lt;='01_PARÂMETROS'!$B$14,"Preferencial",IF(K505&lt;='01_PARÂMETROS'!$B$15,"Baixo",IF(K505&lt;='01_PARÂMETROS'!$B$16,"Médio",IF(K505&lt;='01_PARÂMETROS'!$B$17,"Alto","Elevado"))))</f>
        <v>Médio</v>
      </c>
      <c r="N505" s="58" t="s">
        <v>486</v>
      </c>
      <c r="O505" s="54"/>
    </row>
    <row r="506" spans="1:15" ht="13.5" customHeight="1" x14ac:dyDescent="0.25">
      <c r="A506" s="13" t="s">
        <v>1340</v>
      </c>
      <c r="B506" s="49" t="s">
        <v>660</v>
      </c>
      <c r="C506" s="14" t="s">
        <v>1341</v>
      </c>
      <c r="D506" s="50" t="s">
        <v>1315</v>
      </c>
      <c r="E506" s="40" t="s">
        <v>477</v>
      </c>
      <c r="F506" s="54" t="s">
        <v>485</v>
      </c>
      <c r="G506" s="54" t="s">
        <v>485</v>
      </c>
      <c r="H506" s="54" t="s">
        <v>485</v>
      </c>
      <c r="I506" s="43">
        <f>'01_PARÂMETROS'!$B$9</f>
        <v>50</v>
      </c>
      <c r="J506" s="44">
        <f>1</f>
        <v>1</v>
      </c>
      <c r="K506" s="55">
        <f>MAX('01_PARÂMETROS'!$B$11,MIN('01_PARÂMETROS'!$B$12,J506))</f>
        <v>1</v>
      </c>
      <c r="L506" s="56">
        <f t="shared" si="23"/>
        <v>0</v>
      </c>
      <c r="M506" s="57" t="str">
        <f>IF(K506&lt;='01_PARÂMETROS'!$B$14,"Preferencial",IF(K506&lt;='01_PARÂMETROS'!$B$15,"Baixo",IF(K506&lt;='01_PARÂMETROS'!$B$16,"Médio",IF(K506&lt;='01_PARÂMETROS'!$B$17,"Alto","Elevado"))))</f>
        <v>Médio</v>
      </c>
      <c r="N506" s="58" t="s">
        <v>486</v>
      </c>
      <c r="O506" s="61"/>
    </row>
    <row r="507" spans="1:15" ht="13.5" customHeight="1" x14ac:dyDescent="0.25">
      <c r="A507" s="24" t="s">
        <v>1342</v>
      </c>
      <c r="B507" s="38" t="s">
        <v>660</v>
      </c>
      <c r="C507" s="25" t="s">
        <v>1343</v>
      </c>
      <c r="D507" s="39" t="s">
        <v>1315</v>
      </c>
      <c r="E507" s="40" t="s">
        <v>477</v>
      </c>
      <c r="F507" s="54" t="s">
        <v>485</v>
      </c>
      <c r="G507" s="54" t="s">
        <v>485</v>
      </c>
      <c r="H507" s="54" t="s">
        <v>485</v>
      </c>
      <c r="I507" s="43">
        <f>'01_PARÂMETROS'!$B$9</f>
        <v>50</v>
      </c>
      <c r="J507" s="44">
        <f>1</f>
        <v>1</v>
      </c>
      <c r="K507" s="55">
        <f>MAX('01_PARÂMETROS'!$B$11,MIN('01_PARÂMETROS'!$B$12,J507))</f>
        <v>1</v>
      </c>
      <c r="L507" s="56">
        <f t="shared" si="23"/>
        <v>0</v>
      </c>
      <c r="M507" s="57" t="str">
        <f>IF(K507&lt;='01_PARÂMETROS'!$B$14,"Preferencial",IF(K507&lt;='01_PARÂMETROS'!$B$15,"Baixo",IF(K507&lt;='01_PARÂMETROS'!$B$16,"Médio",IF(K507&lt;='01_PARÂMETROS'!$B$17,"Alto","Elevado"))))</f>
        <v>Médio</v>
      </c>
      <c r="N507" s="58" t="s">
        <v>486</v>
      </c>
      <c r="O507" s="54"/>
    </row>
    <row r="508" spans="1:15" ht="13.5" customHeight="1" x14ac:dyDescent="0.25">
      <c r="A508" s="13" t="s">
        <v>1344</v>
      </c>
      <c r="B508" s="49" t="s">
        <v>660</v>
      </c>
      <c r="C508" s="14" t="s">
        <v>1345</v>
      </c>
      <c r="D508" s="50" t="s">
        <v>1315</v>
      </c>
      <c r="E508" s="40" t="s">
        <v>477</v>
      </c>
      <c r="F508" s="54" t="s">
        <v>485</v>
      </c>
      <c r="G508" s="54" t="s">
        <v>485</v>
      </c>
      <c r="H508" s="54" t="s">
        <v>485</v>
      </c>
      <c r="I508" s="43">
        <f>'01_PARÂMETROS'!$B$9</f>
        <v>50</v>
      </c>
      <c r="J508" s="44">
        <f>1</f>
        <v>1</v>
      </c>
      <c r="K508" s="55">
        <f>MAX('01_PARÂMETROS'!$B$11,MIN('01_PARÂMETROS'!$B$12,J508))</f>
        <v>1</v>
      </c>
      <c r="L508" s="56">
        <f t="shared" si="23"/>
        <v>0</v>
      </c>
      <c r="M508" s="57" t="str">
        <f>IF(K508&lt;='01_PARÂMETROS'!$B$14,"Preferencial",IF(K508&lt;='01_PARÂMETROS'!$B$15,"Baixo",IF(K508&lt;='01_PARÂMETROS'!$B$16,"Médio",IF(K508&lt;='01_PARÂMETROS'!$B$17,"Alto","Elevado"))))</f>
        <v>Médio</v>
      </c>
      <c r="N508" s="58" t="s">
        <v>486</v>
      </c>
      <c r="O508" s="61"/>
    </row>
    <row r="509" spans="1:15" ht="13.5" customHeight="1" x14ac:dyDescent="0.25">
      <c r="A509" s="24" t="s">
        <v>1346</v>
      </c>
      <c r="B509" s="38" t="s">
        <v>660</v>
      </c>
      <c r="C509" s="25" t="s">
        <v>1347</v>
      </c>
      <c r="D509" s="39" t="s">
        <v>1348</v>
      </c>
      <c r="E509" s="64" t="s">
        <v>566</v>
      </c>
      <c r="F509" s="54" t="s">
        <v>485</v>
      </c>
      <c r="G509" s="54" t="s">
        <v>485</v>
      </c>
      <c r="H509" s="54" t="s">
        <v>485</v>
      </c>
      <c r="I509" s="43">
        <f>'01_PARÂMETROS'!$B$9</f>
        <v>50</v>
      </c>
      <c r="J509" s="44">
        <f t="shared" ref="J509:J520" si="24">1.15</f>
        <v>1.1499999999999999</v>
      </c>
      <c r="K509" s="45">
        <f>MAX('01_PARÂMETROS'!$B$11,MIN('01_PARÂMETROS'!$B$12,J509))</f>
        <v>1.1499999999999999</v>
      </c>
      <c r="L509" s="46">
        <f t="shared" si="23"/>
        <v>0.14999999999999991</v>
      </c>
      <c r="M509" s="47" t="str">
        <f>IF(K509&lt;='01_PARÂMETROS'!$B$14,"Preferencial",IF(K509&lt;='01_PARÂMETROS'!$B$15,"Baixo",IF(K509&lt;='01_PARÂMETROS'!$B$16,"Médio",IF(K509&lt;='01_PARÂMETROS'!$B$17,"Alto","Elevado"))))</f>
        <v>Alto</v>
      </c>
      <c r="N509" s="58" t="s">
        <v>486</v>
      </c>
      <c r="O509" s="54"/>
    </row>
    <row r="510" spans="1:15" ht="13.5" customHeight="1" x14ac:dyDescent="0.25">
      <c r="A510" s="13" t="s">
        <v>1349</v>
      </c>
      <c r="B510" s="49" t="s">
        <v>660</v>
      </c>
      <c r="C510" s="14" t="s">
        <v>1350</v>
      </c>
      <c r="D510" s="50" t="s">
        <v>1348</v>
      </c>
      <c r="E510" s="64" t="s">
        <v>566</v>
      </c>
      <c r="F510" s="54" t="s">
        <v>485</v>
      </c>
      <c r="G510" s="54" t="s">
        <v>485</v>
      </c>
      <c r="H510" s="54" t="s">
        <v>485</v>
      </c>
      <c r="I510" s="43">
        <f>'01_PARÂMETROS'!$B$9</f>
        <v>50</v>
      </c>
      <c r="J510" s="44">
        <f t="shared" si="24"/>
        <v>1.1499999999999999</v>
      </c>
      <c r="K510" s="45">
        <f>MAX('01_PARÂMETROS'!$B$11,MIN('01_PARÂMETROS'!$B$12,J510))</f>
        <v>1.1499999999999999</v>
      </c>
      <c r="L510" s="46">
        <f t="shared" si="23"/>
        <v>0.14999999999999991</v>
      </c>
      <c r="M510" s="47" t="str">
        <f>IF(K510&lt;='01_PARÂMETROS'!$B$14,"Preferencial",IF(K510&lt;='01_PARÂMETROS'!$B$15,"Baixo",IF(K510&lt;='01_PARÂMETROS'!$B$16,"Médio",IF(K510&lt;='01_PARÂMETROS'!$B$17,"Alto","Elevado"))))</f>
        <v>Alto</v>
      </c>
      <c r="N510" s="58" t="s">
        <v>486</v>
      </c>
      <c r="O510" s="61"/>
    </row>
    <row r="511" spans="1:15" ht="13.5" customHeight="1" x14ac:dyDescent="0.25">
      <c r="A511" s="24" t="s">
        <v>1351</v>
      </c>
      <c r="B511" s="38" t="s">
        <v>660</v>
      </c>
      <c r="C511" s="25" t="s">
        <v>1352</v>
      </c>
      <c r="D511" s="39" t="s">
        <v>1348</v>
      </c>
      <c r="E511" s="64" t="s">
        <v>566</v>
      </c>
      <c r="F511" s="54" t="s">
        <v>485</v>
      </c>
      <c r="G511" s="54" t="s">
        <v>485</v>
      </c>
      <c r="H511" s="54" t="s">
        <v>485</v>
      </c>
      <c r="I511" s="43">
        <f>'01_PARÂMETROS'!$B$9</f>
        <v>50</v>
      </c>
      <c r="J511" s="44">
        <f t="shared" si="24"/>
        <v>1.1499999999999999</v>
      </c>
      <c r="K511" s="45">
        <f>MAX('01_PARÂMETROS'!$B$11,MIN('01_PARÂMETROS'!$B$12,J511))</f>
        <v>1.1499999999999999</v>
      </c>
      <c r="L511" s="46">
        <f t="shared" si="23"/>
        <v>0.14999999999999991</v>
      </c>
      <c r="M511" s="47" t="str">
        <f>IF(K511&lt;='01_PARÂMETROS'!$B$14,"Preferencial",IF(K511&lt;='01_PARÂMETROS'!$B$15,"Baixo",IF(K511&lt;='01_PARÂMETROS'!$B$16,"Médio",IF(K511&lt;='01_PARÂMETROS'!$B$17,"Alto","Elevado"))))</f>
        <v>Alto</v>
      </c>
      <c r="N511" s="58" t="s">
        <v>486</v>
      </c>
      <c r="O511" s="54"/>
    </row>
    <row r="512" spans="1:15" ht="13.5" customHeight="1" x14ac:dyDescent="0.25">
      <c r="A512" s="13" t="s">
        <v>1353</v>
      </c>
      <c r="B512" s="49" t="s">
        <v>660</v>
      </c>
      <c r="C512" s="14" t="s">
        <v>1354</v>
      </c>
      <c r="D512" s="50" t="s">
        <v>1348</v>
      </c>
      <c r="E512" s="64" t="s">
        <v>566</v>
      </c>
      <c r="F512" s="54" t="s">
        <v>485</v>
      </c>
      <c r="G512" s="54" t="s">
        <v>485</v>
      </c>
      <c r="H512" s="54" t="s">
        <v>485</v>
      </c>
      <c r="I512" s="43">
        <f>'01_PARÂMETROS'!$B$9</f>
        <v>50</v>
      </c>
      <c r="J512" s="44">
        <f t="shared" si="24"/>
        <v>1.1499999999999999</v>
      </c>
      <c r="K512" s="45">
        <f>MAX('01_PARÂMETROS'!$B$11,MIN('01_PARÂMETROS'!$B$12,J512))</f>
        <v>1.1499999999999999</v>
      </c>
      <c r="L512" s="46">
        <f t="shared" si="23"/>
        <v>0.14999999999999991</v>
      </c>
      <c r="M512" s="47" t="str">
        <f>IF(K512&lt;='01_PARÂMETROS'!$B$14,"Preferencial",IF(K512&lt;='01_PARÂMETROS'!$B$15,"Baixo",IF(K512&lt;='01_PARÂMETROS'!$B$16,"Médio",IF(K512&lt;='01_PARÂMETROS'!$B$17,"Alto","Elevado"))))</f>
        <v>Alto</v>
      </c>
      <c r="N512" s="58" t="s">
        <v>486</v>
      </c>
      <c r="O512" s="61"/>
    </row>
    <row r="513" spans="1:15" ht="13.5" customHeight="1" x14ac:dyDescent="0.25">
      <c r="A513" s="24" t="s">
        <v>1355</v>
      </c>
      <c r="B513" s="38" t="s">
        <v>660</v>
      </c>
      <c r="C513" s="25" t="s">
        <v>1356</v>
      </c>
      <c r="D513" s="39" t="s">
        <v>1348</v>
      </c>
      <c r="E513" s="64" t="s">
        <v>566</v>
      </c>
      <c r="F513" s="54" t="s">
        <v>485</v>
      </c>
      <c r="G513" s="54" t="s">
        <v>485</v>
      </c>
      <c r="H513" s="54" t="s">
        <v>485</v>
      </c>
      <c r="I513" s="43">
        <f>'01_PARÂMETROS'!$B$9</f>
        <v>50</v>
      </c>
      <c r="J513" s="44">
        <f t="shared" si="24"/>
        <v>1.1499999999999999</v>
      </c>
      <c r="K513" s="45">
        <f>MAX('01_PARÂMETROS'!$B$11,MIN('01_PARÂMETROS'!$B$12,J513))</f>
        <v>1.1499999999999999</v>
      </c>
      <c r="L513" s="46">
        <f t="shared" si="23"/>
        <v>0.14999999999999991</v>
      </c>
      <c r="M513" s="47" t="str">
        <f>IF(K513&lt;='01_PARÂMETROS'!$B$14,"Preferencial",IF(K513&lt;='01_PARÂMETROS'!$B$15,"Baixo",IF(K513&lt;='01_PARÂMETROS'!$B$16,"Médio",IF(K513&lt;='01_PARÂMETROS'!$B$17,"Alto","Elevado"))))</f>
        <v>Alto</v>
      </c>
      <c r="N513" s="58" t="s">
        <v>486</v>
      </c>
      <c r="O513" s="54"/>
    </row>
    <row r="514" spans="1:15" ht="13.5" customHeight="1" x14ac:dyDescent="0.25">
      <c r="A514" s="13" t="s">
        <v>1357</v>
      </c>
      <c r="B514" s="49" t="s">
        <v>660</v>
      </c>
      <c r="C514" s="14" t="s">
        <v>1358</v>
      </c>
      <c r="D514" s="50" t="s">
        <v>1348</v>
      </c>
      <c r="E514" s="64" t="s">
        <v>566</v>
      </c>
      <c r="F514" s="54" t="s">
        <v>485</v>
      </c>
      <c r="G514" s="54" t="s">
        <v>485</v>
      </c>
      <c r="H514" s="54" t="s">
        <v>485</v>
      </c>
      <c r="I514" s="43">
        <f>'01_PARÂMETROS'!$B$9</f>
        <v>50</v>
      </c>
      <c r="J514" s="44">
        <f t="shared" si="24"/>
        <v>1.1499999999999999</v>
      </c>
      <c r="K514" s="45">
        <f>MAX('01_PARÂMETROS'!$B$11,MIN('01_PARÂMETROS'!$B$12,J514))</f>
        <v>1.1499999999999999</v>
      </c>
      <c r="L514" s="46">
        <f t="shared" si="23"/>
        <v>0.14999999999999991</v>
      </c>
      <c r="M514" s="47" t="str">
        <f>IF(K514&lt;='01_PARÂMETROS'!$B$14,"Preferencial",IF(K514&lt;='01_PARÂMETROS'!$B$15,"Baixo",IF(K514&lt;='01_PARÂMETROS'!$B$16,"Médio",IF(K514&lt;='01_PARÂMETROS'!$B$17,"Alto","Elevado"))))</f>
        <v>Alto</v>
      </c>
      <c r="N514" s="58" t="s">
        <v>486</v>
      </c>
      <c r="O514" s="61"/>
    </row>
    <row r="515" spans="1:15" ht="13.5" customHeight="1" x14ac:dyDescent="0.25">
      <c r="A515" s="24" t="s">
        <v>1359</v>
      </c>
      <c r="B515" s="38" t="s">
        <v>660</v>
      </c>
      <c r="C515" s="25" t="s">
        <v>1360</v>
      </c>
      <c r="D515" s="39" t="s">
        <v>1348</v>
      </c>
      <c r="E515" s="64" t="s">
        <v>566</v>
      </c>
      <c r="F515" s="54" t="s">
        <v>485</v>
      </c>
      <c r="G515" s="54" t="s">
        <v>485</v>
      </c>
      <c r="H515" s="54" t="s">
        <v>485</v>
      </c>
      <c r="I515" s="43">
        <f>'01_PARÂMETROS'!$B$9</f>
        <v>50</v>
      </c>
      <c r="J515" s="44">
        <f t="shared" si="24"/>
        <v>1.1499999999999999</v>
      </c>
      <c r="K515" s="45">
        <f>MAX('01_PARÂMETROS'!$B$11,MIN('01_PARÂMETROS'!$B$12,J515))</f>
        <v>1.1499999999999999</v>
      </c>
      <c r="L515" s="46">
        <f t="shared" si="23"/>
        <v>0.14999999999999991</v>
      </c>
      <c r="M515" s="47" t="str">
        <f>IF(K515&lt;='01_PARÂMETROS'!$B$14,"Preferencial",IF(K515&lt;='01_PARÂMETROS'!$B$15,"Baixo",IF(K515&lt;='01_PARÂMETROS'!$B$16,"Médio",IF(K515&lt;='01_PARÂMETROS'!$B$17,"Alto","Elevado"))))</f>
        <v>Alto</v>
      </c>
      <c r="N515" s="58" t="s">
        <v>486</v>
      </c>
      <c r="O515" s="54"/>
    </row>
    <row r="516" spans="1:15" ht="13.5" customHeight="1" x14ac:dyDescent="0.25">
      <c r="A516" s="13" t="s">
        <v>1361</v>
      </c>
      <c r="B516" s="49" t="s">
        <v>660</v>
      </c>
      <c r="C516" s="14" t="s">
        <v>1362</v>
      </c>
      <c r="D516" s="50" t="s">
        <v>1348</v>
      </c>
      <c r="E516" s="64" t="s">
        <v>566</v>
      </c>
      <c r="F516" s="54" t="s">
        <v>485</v>
      </c>
      <c r="G516" s="54" t="s">
        <v>485</v>
      </c>
      <c r="H516" s="54" t="s">
        <v>485</v>
      </c>
      <c r="I516" s="43">
        <f>'01_PARÂMETROS'!$B$9</f>
        <v>50</v>
      </c>
      <c r="J516" s="44">
        <f t="shared" si="24"/>
        <v>1.1499999999999999</v>
      </c>
      <c r="K516" s="45">
        <f>MAX('01_PARÂMETROS'!$B$11,MIN('01_PARÂMETROS'!$B$12,J516))</f>
        <v>1.1499999999999999</v>
      </c>
      <c r="L516" s="46">
        <f t="shared" si="23"/>
        <v>0.14999999999999991</v>
      </c>
      <c r="M516" s="47" t="str">
        <f>IF(K516&lt;='01_PARÂMETROS'!$B$14,"Preferencial",IF(K516&lt;='01_PARÂMETROS'!$B$15,"Baixo",IF(K516&lt;='01_PARÂMETROS'!$B$16,"Médio",IF(K516&lt;='01_PARÂMETROS'!$B$17,"Alto","Elevado"))))</f>
        <v>Alto</v>
      </c>
      <c r="N516" s="58" t="s">
        <v>486</v>
      </c>
      <c r="O516" s="61"/>
    </row>
    <row r="517" spans="1:15" ht="13.5" customHeight="1" x14ac:dyDescent="0.25">
      <c r="A517" s="24" t="s">
        <v>1363</v>
      </c>
      <c r="B517" s="38" t="s">
        <v>660</v>
      </c>
      <c r="C517" s="25" t="s">
        <v>1364</v>
      </c>
      <c r="D517" s="39" t="s">
        <v>1348</v>
      </c>
      <c r="E517" s="64" t="s">
        <v>566</v>
      </c>
      <c r="F517" s="54" t="s">
        <v>485</v>
      </c>
      <c r="G517" s="54" t="s">
        <v>485</v>
      </c>
      <c r="H517" s="54" t="s">
        <v>485</v>
      </c>
      <c r="I517" s="43">
        <f>'01_PARÂMETROS'!$B$9</f>
        <v>50</v>
      </c>
      <c r="J517" s="44">
        <f t="shared" si="24"/>
        <v>1.1499999999999999</v>
      </c>
      <c r="K517" s="45">
        <f>MAX('01_PARÂMETROS'!$B$11,MIN('01_PARÂMETROS'!$B$12,J517))</f>
        <v>1.1499999999999999</v>
      </c>
      <c r="L517" s="46">
        <f t="shared" ref="L517:L580" si="25">(K517-1)</f>
        <v>0.14999999999999991</v>
      </c>
      <c r="M517" s="47" t="str">
        <f>IF(K517&lt;='01_PARÂMETROS'!$B$14,"Preferencial",IF(K517&lt;='01_PARÂMETROS'!$B$15,"Baixo",IF(K517&lt;='01_PARÂMETROS'!$B$16,"Médio",IF(K517&lt;='01_PARÂMETROS'!$B$17,"Alto","Elevado"))))</f>
        <v>Alto</v>
      </c>
      <c r="N517" s="58" t="s">
        <v>486</v>
      </c>
      <c r="O517" s="54"/>
    </row>
    <row r="518" spans="1:15" ht="13.5" customHeight="1" x14ac:dyDescent="0.25">
      <c r="A518" s="13" t="s">
        <v>1365</v>
      </c>
      <c r="B518" s="49" t="s">
        <v>660</v>
      </c>
      <c r="C518" s="14" t="s">
        <v>1366</v>
      </c>
      <c r="D518" s="50" t="s">
        <v>1348</v>
      </c>
      <c r="E518" s="64" t="s">
        <v>566</v>
      </c>
      <c r="F518" s="54" t="s">
        <v>485</v>
      </c>
      <c r="G518" s="54" t="s">
        <v>485</v>
      </c>
      <c r="H518" s="54" t="s">
        <v>485</v>
      </c>
      <c r="I518" s="43">
        <f>'01_PARÂMETROS'!$B$9</f>
        <v>50</v>
      </c>
      <c r="J518" s="44">
        <f t="shared" si="24"/>
        <v>1.1499999999999999</v>
      </c>
      <c r="K518" s="45">
        <f>MAX('01_PARÂMETROS'!$B$11,MIN('01_PARÂMETROS'!$B$12,J518))</f>
        <v>1.1499999999999999</v>
      </c>
      <c r="L518" s="46">
        <f t="shared" si="25"/>
        <v>0.14999999999999991</v>
      </c>
      <c r="M518" s="47" t="str">
        <f>IF(K518&lt;='01_PARÂMETROS'!$B$14,"Preferencial",IF(K518&lt;='01_PARÂMETROS'!$B$15,"Baixo",IF(K518&lt;='01_PARÂMETROS'!$B$16,"Médio",IF(K518&lt;='01_PARÂMETROS'!$B$17,"Alto","Elevado"))))</f>
        <v>Alto</v>
      </c>
      <c r="N518" s="58" t="s">
        <v>486</v>
      </c>
      <c r="O518" s="61"/>
    </row>
    <row r="519" spans="1:15" ht="13.5" customHeight="1" x14ac:dyDescent="0.25">
      <c r="A519" s="24" t="s">
        <v>1367</v>
      </c>
      <c r="B519" s="38" t="s">
        <v>660</v>
      </c>
      <c r="C519" s="25" t="s">
        <v>1368</v>
      </c>
      <c r="D519" s="39" t="s">
        <v>1348</v>
      </c>
      <c r="E519" s="64" t="s">
        <v>566</v>
      </c>
      <c r="F519" s="54" t="s">
        <v>485</v>
      </c>
      <c r="G519" s="54" t="s">
        <v>485</v>
      </c>
      <c r="H519" s="54" t="s">
        <v>485</v>
      </c>
      <c r="I519" s="43">
        <f>'01_PARÂMETROS'!$B$9</f>
        <v>50</v>
      </c>
      <c r="J519" s="44">
        <f t="shared" si="24"/>
        <v>1.1499999999999999</v>
      </c>
      <c r="K519" s="45">
        <f>MAX('01_PARÂMETROS'!$B$11,MIN('01_PARÂMETROS'!$B$12,J519))</f>
        <v>1.1499999999999999</v>
      </c>
      <c r="L519" s="46">
        <f t="shared" si="25"/>
        <v>0.14999999999999991</v>
      </c>
      <c r="M519" s="47" t="str">
        <f>IF(K519&lt;='01_PARÂMETROS'!$B$14,"Preferencial",IF(K519&lt;='01_PARÂMETROS'!$B$15,"Baixo",IF(K519&lt;='01_PARÂMETROS'!$B$16,"Médio",IF(K519&lt;='01_PARÂMETROS'!$B$17,"Alto","Elevado"))))</f>
        <v>Alto</v>
      </c>
      <c r="N519" s="58" t="s">
        <v>486</v>
      </c>
      <c r="O519" s="54"/>
    </row>
    <row r="520" spans="1:15" ht="13.5" customHeight="1" x14ac:dyDescent="0.25">
      <c r="A520" s="13" t="s">
        <v>1369</v>
      </c>
      <c r="B520" s="49" t="s">
        <v>660</v>
      </c>
      <c r="C520" s="14" t="s">
        <v>1370</v>
      </c>
      <c r="D520" s="50" t="s">
        <v>1348</v>
      </c>
      <c r="E520" s="64" t="s">
        <v>566</v>
      </c>
      <c r="F520" s="54" t="s">
        <v>485</v>
      </c>
      <c r="G520" s="54" t="s">
        <v>485</v>
      </c>
      <c r="H520" s="54" t="s">
        <v>485</v>
      </c>
      <c r="I520" s="43">
        <f>'01_PARÂMETROS'!$B$9</f>
        <v>50</v>
      </c>
      <c r="J520" s="44">
        <f t="shared" si="24"/>
        <v>1.1499999999999999</v>
      </c>
      <c r="K520" s="45">
        <f>MAX('01_PARÂMETROS'!$B$11,MIN('01_PARÂMETROS'!$B$12,J520))</f>
        <v>1.1499999999999999</v>
      </c>
      <c r="L520" s="46">
        <f t="shared" si="25"/>
        <v>0.14999999999999991</v>
      </c>
      <c r="M520" s="47" t="str">
        <f>IF(K520&lt;='01_PARÂMETROS'!$B$14,"Preferencial",IF(K520&lt;='01_PARÂMETROS'!$B$15,"Baixo",IF(K520&lt;='01_PARÂMETROS'!$B$16,"Médio",IF(K520&lt;='01_PARÂMETROS'!$B$17,"Alto","Elevado"))))</f>
        <v>Alto</v>
      </c>
      <c r="N520" s="58" t="s">
        <v>486</v>
      </c>
      <c r="O520" s="61"/>
    </row>
    <row r="521" spans="1:15" ht="13.5" customHeight="1" x14ac:dyDescent="0.25">
      <c r="A521" s="24" t="s">
        <v>1371</v>
      </c>
      <c r="B521" s="38" t="s">
        <v>660</v>
      </c>
      <c r="C521" s="25" t="s">
        <v>1372</v>
      </c>
      <c r="D521" s="39" t="s">
        <v>1373</v>
      </c>
      <c r="E521" s="40" t="s">
        <v>477</v>
      </c>
      <c r="F521" s="54" t="s">
        <v>485</v>
      </c>
      <c r="G521" s="54" t="s">
        <v>485</v>
      </c>
      <c r="H521" s="54" t="s">
        <v>485</v>
      </c>
      <c r="I521" s="43">
        <f>'01_PARÂMETROS'!$B$9</f>
        <v>50</v>
      </c>
      <c r="J521" s="44">
        <f>1</f>
        <v>1</v>
      </c>
      <c r="K521" s="55">
        <f>MAX('01_PARÂMETROS'!$B$11,MIN('01_PARÂMETROS'!$B$12,J521))</f>
        <v>1</v>
      </c>
      <c r="L521" s="56">
        <f t="shared" si="25"/>
        <v>0</v>
      </c>
      <c r="M521" s="57" t="str">
        <f>IF(K521&lt;='01_PARÂMETROS'!$B$14,"Preferencial",IF(K521&lt;='01_PARÂMETROS'!$B$15,"Baixo",IF(K521&lt;='01_PARÂMETROS'!$B$16,"Médio",IF(K521&lt;='01_PARÂMETROS'!$B$17,"Alto","Elevado"))))</f>
        <v>Médio</v>
      </c>
      <c r="N521" s="58" t="s">
        <v>486</v>
      </c>
      <c r="O521" s="54"/>
    </row>
    <row r="522" spans="1:15" ht="13.5" customHeight="1" x14ac:dyDescent="0.25">
      <c r="A522" s="13" t="s">
        <v>1374</v>
      </c>
      <c r="B522" s="49" t="s">
        <v>660</v>
      </c>
      <c r="C522" s="14" t="s">
        <v>1375</v>
      </c>
      <c r="D522" s="50" t="s">
        <v>1373</v>
      </c>
      <c r="E522" s="40" t="s">
        <v>477</v>
      </c>
      <c r="F522" s="54" t="s">
        <v>485</v>
      </c>
      <c r="G522" s="54" t="s">
        <v>485</v>
      </c>
      <c r="H522" s="54" t="s">
        <v>485</v>
      </c>
      <c r="I522" s="43">
        <f>'01_PARÂMETROS'!$B$9</f>
        <v>50</v>
      </c>
      <c r="J522" s="44">
        <f>1</f>
        <v>1</v>
      </c>
      <c r="K522" s="55">
        <f>MAX('01_PARÂMETROS'!$B$11,MIN('01_PARÂMETROS'!$B$12,J522))</f>
        <v>1</v>
      </c>
      <c r="L522" s="56">
        <f t="shared" si="25"/>
        <v>0</v>
      </c>
      <c r="M522" s="57" t="str">
        <f>IF(K522&lt;='01_PARÂMETROS'!$B$14,"Preferencial",IF(K522&lt;='01_PARÂMETROS'!$B$15,"Baixo",IF(K522&lt;='01_PARÂMETROS'!$B$16,"Médio",IF(K522&lt;='01_PARÂMETROS'!$B$17,"Alto","Elevado"))))</f>
        <v>Médio</v>
      </c>
      <c r="N522" s="58" t="s">
        <v>486</v>
      </c>
      <c r="O522" s="61"/>
    </row>
    <row r="523" spans="1:15" ht="13.5" customHeight="1" x14ac:dyDescent="0.25">
      <c r="A523" s="24" t="s">
        <v>1376</v>
      </c>
      <c r="B523" s="38" t="s">
        <v>660</v>
      </c>
      <c r="C523" s="25" t="s">
        <v>1377</v>
      </c>
      <c r="D523" s="39" t="s">
        <v>1373</v>
      </c>
      <c r="E523" s="40" t="s">
        <v>477</v>
      </c>
      <c r="F523" s="54" t="s">
        <v>485</v>
      </c>
      <c r="G523" s="54" t="s">
        <v>485</v>
      </c>
      <c r="H523" s="54" t="s">
        <v>485</v>
      </c>
      <c r="I523" s="43">
        <f>'01_PARÂMETROS'!$B$9</f>
        <v>50</v>
      </c>
      <c r="J523" s="44">
        <f>1</f>
        <v>1</v>
      </c>
      <c r="K523" s="55">
        <f>MAX('01_PARÂMETROS'!$B$11,MIN('01_PARÂMETROS'!$B$12,J523))</f>
        <v>1</v>
      </c>
      <c r="L523" s="56">
        <f t="shared" si="25"/>
        <v>0</v>
      </c>
      <c r="M523" s="57" t="str">
        <f>IF(K523&lt;='01_PARÂMETROS'!$B$14,"Preferencial",IF(K523&lt;='01_PARÂMETROS'!$B$15,"Baixo",IF(K523&lt;='01_PARÂMETROS'!$B$16,"Médio",IF(K523&lt;='01_PARÂMETROS'!$B$17,"Alto","Elevado"))))</f>
        <v>Médio</v>
      </c>
      <c r="N523" s="58" t="s">
        <v>486</v>
      </c>
      <c r="O523" s="54"/>
    </row>
    <row r="524" spans="1:15" ht="13.5" customHeight="1" x14ac:dyDescent="0.25">
      <c r="A524" s="13" t="s">
        <v>1378</v>
      </c>
      <c r="B524" s="49" t="s">
        <v>660</v>
      </c>
      <c r="C524" s="14" t="s">
        <v>1379</v>
      </c>
      <c r="D524" s="50" t="s">
        <v>1373</v>
      </c>
      <c r="E524" s="40" t="s">
        <v>477</v>
      </c>
      <c r="F524" s="54" t="s">
        <v>485</v>
      </c>
      <c r="G524" s="54" t="s">
        <v>485</v>
      </c>
      <c r="H524" s="54" t="s">
        <v>485</v>
      </c>
      <c r="I524" s="43">
        <f>'01_PARÂMETROS'!$B$9</f>
        <v>50</v>
      </c>
      <c r="J524" s="44">
        <f>1</f>
        <v>1</v>
      </c>
      <c r="K524" s="55">
        <f>MAX('01_PARÂMETROS'!$B$11,MIN('01_PARÂMETROS'!$B$12,J524))</f>
        <v>1</v>
      </c>
      <c r="L524" s="56">
        <f t="shared" si="25"/>
        <v>0</v>
      </c>
      <c r="M524" s="57" t="str">
        <f>IF(K524&lt;='01_PARÂMETROS'!$B$14,"Preferencial",IF(K524&lt;='01_PARÂMETROS'!$B$15,"Baixo",IF(K524&lt;='01_PARÂMETROS'!$B$16,"Médio",IF(K524&lt;='01_PARÂMETROS'!$B$17,"Alto","Elevado"))))</f>
        <v>Médio</v>
      </c>
      <c r="N524" s="58" t="s">
        <v>486</v>
      </c>
      <c r="O524" s="61"/>
    </row>
    <row r="525" spans="1:15" ht="13.5" customHeight="1" x14ac:dyDescent="0.25">
      <c r="A525" s="24" t="s">
        <v>1380</v>
      </c>
      <c r="B525" s="38" t="s">
        <v>660</v>
      </c>
      <c r="C525" s="25" t="s">
        <v>1381</v>
      </c>
      <c r="D525" s="39" t="s">
        <v>662</v>
      </c>
      <c r="E525" s="65" t="s">
        <v>841</v>
      </c>
      <c r="F525" s="54" t="s">
        <v>485</v>
      </c>
      <c r="G525" s="54" t="s">
        <v>485</v>
      </c>
      <c r="H525" s="54" t="s">
        <v>485</v>
      </c>
      <c r="I525" s="43">
        <f>'01_PARÂMETROS'!$B$9</f>
        <v>50</v>
      </c>
      <c r="J525" s="44">
        <f t="shared" ref="J525:J552" si="26">0.9</f>
        <v>0.9</v>
      </c>
      <c r="K525" s="62">
        <f>MAX('01_PARÂMETROS'!$B$11,MIN('01_PARÂMETROS'!$B$12,J525))</f>
        <v>0.9</v>
      </c>
      <c r="L525" s="63">
        <f t="shared" si="25"/>
        <v>-9.9999999999999978E-2</v>
      </c>
      <c r="M525" s="17" t="str">
        <f>IF(K525&lt;='01_PARÂMETROS'!$B$14,"Preferencial",IF(K525&lt;='01_PARÂMETROS'!$B$15,"Baixo",IF(K525&lt;='01_PARÂMETROS'!$B$16,"Médio",IF(K525&lt;='01_PARÂMETROS'!$B$17,"Alto","Elevado"))))</f>
        <v>Baixo</v>
      </c>
      <c r="N525" s="58" t="s">
        <v>486</v>
      </c>
      <c r="O525" s="54"/>
    </row>
    <row r="526" spans="1:15" ht="13.5" customHeight="1" x14ac:dyDescent="0.25">
      <c r="A526" s="13" t="s">
        <v>1382</v>
      </c>
      <c r="B526" s="49" t="s">
        <v>660</v>
      </c>
      <c r="C526" s="14" t="s">
        <v>1383</v>
      </c>
      <c r="D526" s="50" t="s">
        <v>662</v>
      </c>
      <c r="E526" s="65" t="s">
        <v>841</v>
      </c>
      <c r="F526" s="54" t="s">
        <v>485</v>
      </c>
      <c r="G526" s="54" t="s">
        <v>485</v>
      </c>
      <c r="H526" s="54" t="s">
        <v>485</v>
      </c>
      <c r="I526" s="43">
        <f>'01_PARÂMETROS'!$B$9</f>
        <v>50</v>
      </c>
      <c r="J526" s="44">
        <f t="shared" si="26"/>
        <v>0.9</v>
      </c>
      <c r="K526" s="62">
        <f>MAX('01_PARÂMETROS'!$B$11,MIN('01_PARÂMETROS'!$B$12,J526))</f>
        <v>0.9</v>
      </c>
      <c r="L526" s="63">
        <f t="shared" si="25"/>
        <v>-9.9999999999999978E-2</v>
      </c>
      <c r="M526" s="17" t="str">
        <f>IF(K526&lt;='01_PARÂMETROS'!$B$14,"Preferencial",IF(K526&lt;='01_PARÂMETROS'!$B$15,"Baixo",IF(K526&lt;='01_PARÂMETROS'!$B$16,"Médio",IF(K526&lt;='01_PARÂMETROS'!$B$17,"Alto","Elevado"))))</f>
        <v>Baixo</v>
      </c>
      <c r="N526" s="58" t="s">
        <v>486</v>
      </c>
      <c r="O526" s="61"/>
    </row>
    <row r="527" spans="1:15" ht="13.5" customHeight="1" x14ac:dyDescent="0.25">
      <c r="A527" s="24" t="s">
        <v>1384</v>
      </c>
      <c r="B527" s="38" t="s">
        <v>660</v>
      </c>
      <c r="C527" s="25" t="s">
        <v>1385</v>
      </c>
      <c r="D527" s="39" t="s">
        <v>662</v>
      </c>
      <c r="E527" s="65" t="s">
        <v>841</v>
      </c>
      <c r="F527" s="54" t="s">
        <v>485</v>
      </c>
      <c r="G527" s="54" t="s">
        <v>485</v>
      </c>
      <c r="H527" s="54" t="s">
        <v>485</v>
      </c>
      <c r="I527" s="43">
        <f>'01_PARÂMETROS'!$B$9</f>
        <v>50</v>
      </c>
      <c r="J527" s="44">
        <f t="shared" si="26"/>
        <v>0.9</v>
      </c>
      <c r="K527" s="62">
        <f>MAX('01_PARÂMETROS'!$B$11,MIN('01_PARÂMETROS'!$B$12,J527))</f>
        <v>0.9</v>
      </c>
      <c r="L527" s="63">
        <f t="shared" si="25"/>
        <v>-9.9999999999999978E-2</v>
      </c>
      <c r="M527" s="17" t="str">
        <f>IF(K527&lt;='01_PARÂMETROS'!$B$14,"Preferencial",IF(K527&lt;='01_PARÂMETROS'!$B$15,"Baixo",IF(K527&lt;='01_PARÂMETROS'!$B$16,"Médio",IF(K527&lt;='01_PARÂMETROS'!$B$17,"Alto","Elevado"))))</f>
        <v>Baixo</v>
      </c>
      <c r="N527" s="58" t="s">
        <v>486</v>
      </c>
      <c r="O527" s="54"/>
    </row>
    <row r="528" spans="1:15" ht="13.5" customHeight="1" x14ac:dyDescent="0.25">
      <c r="A528" s="13" t="s">
        <v>1386</v>
      </c>
      <c r="B528" s="49" t="s">
        <v>660</v>
      </c>
      <c r="C528" s="14" t="s">
        <v>1387</v>
      </c>
      <c r="D528" s="50" t="s">
        <v>662</v>
      </c>
      <c r="E528" s="65" t="s">
        <v>841</v>
      </c>
      <c r="F528" s="54" t="s">
        <v>485</v>
      </c>
      <c r="G528" s="54" t="s">
        <v>485</v>
      </c>
      <c r="H528" s="54" t="s">
        <v>485</v>
      </c>
      <c r="I528" s="43">
        <f>'01_PARÂMETROS'!$B$9</f>
        <v>50</v>
      </c>
      <c r="J528" s="44">
        <f t="shared" si="26"/>
        <v>0.9</v>
      </c>
      <c r="K528" s="62">
        <f>MAX('01_PARÂMETROS'!$B$11,MIN('01_PARÂMETROS'!$B$12,J528))</f>
        <v>0.9</v>
      </c>
      <c r="L528" s="63">
        <f t="shared" si="25"/>
        <v>-9.9999999999999978E-2</v>
      </c>
      <c r="M528" s="17" t="str">
        <f>IF(K528&lt;='01_PARÂMETROS'!$B$14,"Preferencial",IF(K528&lt;='01_PARÂMETROS'!$B$15,"Baixo",IF(K528&lt;='01_PARÂMETROS'!$B$16,"Médio",IF(K528&lt;='01_PARÂMETROS'!$B$17,"Alto","Elevado"))))</f>
        <v>Baixo</v>
      </c>
      <c r="N528" s="58" t="s">
        <v>486</v>
      </c>
      <c r="O528" s="61"/>
    </row>
    <row r="529" spans="1:15" ht="13.5" customHeight="1" x14ac:dyDescent="0.25">
      <c r="A529" s="24" t="s">
        <v>1388</v>
      </c>
      <c r="B529" s="38" t="s">
        <v>660</v>
      </c>
      <c r="C529" s="25" t="s">
        <v>1389</v>
      </c>
      <c r="D529" s="39" t="s">
        <v>662</v>
      </c>
      <c r="E529" s="65" t="s">
        <v>841</v>
      </c>
      <c r="F529" s="54" t="s">
        <v>485</v>
      </c>
      <c r="G529" s="54" t="s">
        <v>485</v>
      </c>
      <c r="H529" s="54" t="s">
        <v>485</v>
      </c>
      <c r="I529" s="43">
        <f>'01_PARÂMETROS'!$B$9</f>
        <v>50</v>
      </c>
      <c r="J529" s="44">
        <f t="shared" si="26"/>
        <v>0.9</v>
      </c>
      <c r="K529" s="62">
        <f>MAX('01_PARÂMETROS'!$B$11,MIN('01_PARÂMETROS'!$B$12,J529))</f>
        <v>0.9</v>
      </c>
      <c r="L529" s="63">
        <f t="shared" si="25"/>
        <v>-9.9999999999999978E-2</v>
      </c>
      <c r="M529" s="17" t="str">
        <f>IF(K529&lt;='01_PARÂMETROS'!$B$14,"Preferencial",IF(K529&lt;='01_PARÂMETROS'!$B$15,"Baixo",IF(K529&lt;='01_PARÂMETROS'!$B$16,"Médio",IF(K529&lt;='01_PARÂMETROS'!$B$17,"Alto","Elevado"))))</f>
        <v>Baixo</v>
      </c>
      <c r="N529" s="58" t="s">
        <v>486</v>
      </c>
      <c r="O529" s="54"/>
    </row>
    <row r="530" spans="1:15" ht="13.5" customHeight="1" x14ac:dyDescent="0.25">
      <c r="A530" s="13" t="s">
        <v>1390</v>
      </c>
      <c r="B530" s="49" t="s">
        <v>660</v>
      </c>
      <c r="C530" s="14" t="s">
        <v>1391</v>
      </c>
      <c r="D530" s="50" t="s">
        <v>662</v>
      </c>
      <c r="E530" s="65" t="s">
        <v>841</v>
      </c>
      <c r="F530" s="54" t="s">
        <v>485</v>
      </c>
      <c r="G530" s="54" t="s">
        <v>485</v>
      </c>
      <c r="H530" s="54" t="s">
        <v>485</v>
      </c>
      <c r="I530" s="43">
        <f>'01_PARÂMETROS'!$B$9</f>
        <v>50</v>
      </c>
      <c r="J530" s="44">
        <f t="shared" si="26"/>
        <v>0.9</v>
      </c>
      <c r="K530" s="62">
        <f>MAX('01_PARÂMETROS'!$B$11,MIN('01_PARÂMETROS'!$B$12,J530))</f>
        <v>0.9</v>
      </c>
      <c r="L530" s="63">
        <f t="shared" si="25"/>
        <v>-9.9999999999999978E-2</v>
      </c>
      <c r="M530" s="17" t="str">
        <f>IF(K530&lt;='01_PARÂMETROS'!$B$14,"Preferencial",IF(K530&lt;='01_PARÂMETROS'!$B$15,"Baixo",IF(K530&lt;='01_PARÂMETROS'!$B$16,"Médio",IF(K530&lt;='01_PARÂMETROS'!$B$17,"Alto","Elevado"))))</f>
        <v>Baixo</v>
      </c>
      <c r="N530" s="58" t="s">
        <v>486</v>
      </c>
      <c r="O530" s="61"/>
    </row>
    <row r="531" spans="1:15" ht="13.5" customHeight="1" x14ac:dyDescent="0.25">
      <c r="A531" s="24" t="s">
        <v>1392</v>
      </c>
      <c r="B531" s="38" t="s">
        <v>660</v>
      </c>
      <c r="C531" s="25" t="s">
        <v>1393</v>
      </c>
      <c r="D531" s="39" t="s">
        <v>662</v>
      </c>
      <c r="E531" s="65" t="s">
        <v>841</v>
      </c>
      <c r="F531" s="54" t="s">
        <v>485</v>
      </c>
      <c r="G531" s="54" t="s">
        <v>485</v>
      </c>
      <c r="H531" s="54" t="s">
        <v>485</v>
      </c>
      <c r="I531" s="43">
        <f>'01_PARÂMETROS'!$B$9</f>
        <v>50</v>
      </c>
      <c r="J531" s="44">
        <f t="shared" si="26"/>
        <v>0.9</v>
      </c>
      <c r="K531" s="62">
        <f>MAX('01_PARÂMETROS'!$B$11,MIN('01_PARÂMETROS'!$B$12,J531))</f>
        <v>0.9</v>
      </c>
      <c r="L531" s="63">
        <f t="shared" si="25"/>
        <v>-9.9999999999999978E-2</v>
      </c>
      <c r="M531" s="17" t="str">
        <f>IF(K531&lt;='01_PARÂMETROS'!$B$14,"Preferencial",IF(K531&lt;='01_PARÂMETROS'!$B$15,"Baixo",IF(K531&lt;='01_PARÂMETROS'!$B$16,"Médio",IF(K531&lt;='01_PARÂMETROS'!$B$17,"Alto","Elevado"))))</f>
        <v>Baixo</v>
      </c>
      <c r="N531" s="58" t="s">
        <v>486</v>
      </c>
      <c r="O531" s="54"/>
    </row>
    <row r="532" spans="1:15" ht="13.5" customHeight="1" x14ac:dyDescent="0.25">
      <c r="A532" s="13" t="s">
        <v>1394</v>
      </c>
      <c r="B532" s="49" t="s">
        <v>660</v>
      </c>
      <c r="C532" s="14" t="s">
        <v>1395</v>
      </c>
      <c r="D532" s="50" t="s">
        <v>662</v>
      </c>
      <c r="E532" s="65" t="s">
        <v>841</v>
      </c>
      <c r="F532" s="54" t="s">
        <v>485</v>
      </c>
      <c r="G532" s="54" t="s">
        <v>485</v>
      </c>
      <c r="H532" s="54" t="s">
        <v>485</v>
      </c>
      <c r="I532" s="43">
        <f>'01_PARÂMETROS'!$B$9</f>
        <v>50</v>
      </c>
      <c r="J532" s="44">
        <f t="shared" si="26"/>
        <v>0.9</v>
      </c>
      <c r="K532" s="62">
        <f>MAX('01_PARÂMETROS'!$B$11,MIN('01_PARÂMETROS'!$B$12,J532))</f>
        <v>0.9</v>
      </c>
      <c r="L532" s="63">
        <f t="shared" si="25"/>
        <v>-9.9999999999999978E-2</v>
      </c>
      <c r="M532" s="17" t="str">
        <f>IF(K532&lt;='01_PARÂMETROS'!$B$14,"Preferencial",IF(K532&lt;='01_PARÂMETROS'!$B$15,"Baixo",IF(K532&lt;='01_PARÂMETROS'!$B$16,"Médio",IF(K532&lt;='01_PARÂMETROS'!$B$17,"Alto","Elevado"))))</f>
        <v>Baixo</v>
      </c>
      <c r="N532" s="58" t="s">
        <v>486</v>
      </c>
      <c r="O532" s="61"/>
    </row>
    <row r="533" spans="1:15" ht="13.5" customHeight="1" x14ac:dyDescent="0.25">
      <c r="A533" s="24" t="s">
        <v>1396</v>
      </c>
      <c r="B533" s="38" t="s">
        <v>660</v>
      </c>
      <c r="C533" s="25" t="s">
        <v>1397</v>
      </c>
      <c r="D533" s="39" t="s">
        <v>662</v>
      </c>
      <c r="E533" s="65" t="s">
        <v>841</v>
      </c>
      <c r="F533" s="54" t="s">
        <v>485</v>
      </c>
      <c r="G533" s="54" t="s">
        <v>485</v>
      </c>
      <c r="H533" s="54" t="s">
        <v>485</v>
      </c>
      <c r="I533" s="43">
        <f>'01_PARÂMETROS'!$B$9</f>
        <v>50</v>
      </c>
      <c r="J533" s="44">
        <f t="shared" si="26"/>
        <v>0.9</v>
      </c>
      <c r="K533" s="62">
        <f>MAX('01_PARÂMETROS'!$B$11,MIN('01_PARÂMETROS'!$B$12,J533))</f>
        <v>0.9</v>
      </c>
      <c r="L533" s="63">
        <f t="shared" si="25"/>
        <v>-9.9999999999999978E-2</v>
      </c>
      <c r="M533" s="17" t="str">
        <f>IF(K533&lt;='01_PARÂMETROS'!$B$14,"Preferencial",IF(K533&lt;='01_PARÂMETROS'!$B$15,"Baixo",IF(K533&lt;='01_PARÂMETROS'!$B$16,"Médio",IF(K533&lt;='01_PARÂMETROS'!$B$17,"Alto","Elevado"))))</f>
        <v>Baixo</v>
      </c>
      <c r="N533" s="58" t="s">
        <v>486</v>
      </c>
      <c r="O533" s="54"/>
    </row>
    <row r="534" spans="1:15" ht="13.5" customHeight="1" x14ac:dyDescent="0.25">
      <c r="A534" s="13" t="s">
        <v>1398</v>
      </c>
      <c r="B534" s="49" t="s">
        <v>660</v>
      </c>
      <c r="C534" s="14" t="s">
        <v>1399</v>
      </c>
      <c r="D534" s="50" t="s">
        <v>662</v>
      </c>
      <c r="E534" s="65" t="s">
        <v>841</v>
      </c>
      <c r="F534" s="54" t="s">
        <v>485</v>
      </c>
      <c r="G534" s="54" t="s">
        <v>485</v>
      </c>
      <c r="H534" s="54" t="s">
        <v>485</v>
      </c>
      <c r="I534" s="43">
        <f>'01_PARÂMETROS'!$B$9</f>
        <v>50</v>
      </c>
      <c r="J534" s="44">
        <f t="shared" si="26"/>
        <v>0.9</v>
      </c>
      <c r="K534" s="62">
        <f>MAX('01_PARÂMETROS'!$B$11,MIN('01_PARÂMETROS'!$B$12,J534))</f>
        <v>0.9</v>
      </c>
      <c r="L534" s="63">
        <f t="shared" si="25"/>
        <v>-9.9999999999999978E-2</v>
      </c>
      <c r="M534" s="17" t="str">
        <f>IF(K534&lt;='01_PARÂMETROS'!$B$14,"Preferencial",IF(K534&lt;='01_PARÂMETROS'!$B$15,"Baixo",IF(K534&lt;='01_PARÂMETROS'!$B$16,"Médio",IF(K534&lt;='01_PARÂMETROS'!$B$17,"Alto","Elevado"))))</f>
        <v>Baixo</v>
      </c>
      <c r="N534" s="58" t="s">
        <v>486</v>
      </c>
      <c r="O534" s="61"/>
    </row>
    <row r="535" spans="1:15" ht="13.5" customHeight="1" x14ac:dyDescent="0.25">
      <c r="A535" s="24" t="s">
        <v>1400</v>
      </c>
      <c r="B535" s="38" t="s">
        <v>660</v>
      </c>
      <c r="C535" s="25" t="s">
        <v>1401</v>
      </c>
      <c r="D535" s="39" t="s">
        <v>662</v>
      </c>
      <c r="E535" s="65" t="s">
        <v>841</v>
      </c>
      <c r="F535" s="54" t="s">
        <v>485</v>
      </c>
      <c r="G535" s="54" t="s">
        <v>485</v>
      </c>
      <c r="H535" s="54" t="s">
        <v>485</v>
      </c>
      <c r="I535" s="43">
        <f>'01_PARÂMETROS'!$B$9</f>
        <v>50</v>
      </c>
      <c r="J535" s="44">
        <f t="shared" si="26"/>
        <v>0.9</v>
      </c>
      <c r="K535" s="62">
        <f>MAX('01_PARÂMETROS'!$B$11,MIN('01_PARÂMETROS'!$B$12,J535))</f>
        <v>0.9</v>
      </c>
      <c r="L535" s="63">
        <f t="shared" si="25"/>
        <v>-9.9999999999999978E-2</v>
      </c>
      <c r="M535" s="17" t="str">
        <f>IF(K535&lt;='01_PARÂMETROS'!$B$14,"Preferencial",IF(K535&lt;='01_PARÂMETROS'!$B$15,"Baixo",IF(K535&lt;='01_PARÂMETROS'!$B$16,"Médio",IF(K535&lt;='01_PARÂMETROS'!$B$17,"Alto","Elevado"))))</f>
        <v>Baixo</v>
      </c>
      <c r="N535" s="58" t="s">
        <v>486</v>
      </c>
      <c r="O535" s="54"/>
    </row>
    <row r="536" spans="1:15" ht="13.5" customHeight="1" x14ac:dyDescent="0.25">
      <c r="A536" s="13" t="s">
        <v>1402</v>
      </c>
      <c r="B536" s="49" t="s">
        <v>660</v>
      </c>
      <c r="C536" s="14" t="s">
        <v>1403</v>
      </c>
      <c r="D536" s="50" t="s">
        <v>662</v>
      </c>
      <c r="E536" s="65" t="s">
        <v>841</v>
      </c>
      <c r="F536" s="54" t="s">
        <v>485</v>
      </c>
      <c r="G536" s="54" t="s">
        <v>485</v>
      </c>
      <c r="H536" s="54" t="s">
        <v>485</v>
      </c>
      <c r="I536" s="43">
        <f>'01_PARÂMETROS'!$B$9</f>
        <v>50</v>
      </c>
      <c r="J536" s="44">
        <f t="shared" si="26"/>
        <v>0.9</v>
      </c>
      <c r="K536" s="62">
        <f>MAX('01_PARÂMETROS'!$B$11,MIN('01_PARÂMETROS'!$B$12,J536))</f>
        <v>0.9</v>
      </c>
      <c r="L536" s="63">
        <f t="shared" si="25"/>
        <v>-9.9999999999999978E-2</v>
      </c>
      <c r="M536" s="17" t="str">
        <f>IF(K536&lt;='01_PARÂMETROS'!$B$14,"Preferencial",IF(K536&lt;='01_PARÂMETROS'!$B$15,"Baixo",IF(K536&lt;='01_PARÂMETROS'!$B$16,"Médio",IF(K536&lt;='01_PARÂMETROS'!$B$17,"Alto","Elevado"))))</f>
        <v>Baixo</v>
      </c>
      <c r="N536" s="58" t="s">
        <v>486</v>
      </c>
      <c r="O536" s="61"/>
    </row>
    <row r="537" spans="1:15" ht="13.5" customHeight="1" x14ac:dyDescent="0.25">
      <c r="A537" s="24" t="s">
        <v>1404</v>
      </c>
      <c r="B537" s="38" t="s">
        <v>660</v>
      </c>
      <c r="C537" s="25" t="s">
        <v>1405</v>
      </c>
      <c r="D537" s="39" t="s">
        <v>662</v>
      </c>
      <c r="E537" s="65" t="s">
        <v>841</v>
      </c>
      <c r="F537" s="54" t="s">
        <v>485</v>
      </c>
      <c r="G537" s="54" t="s">
        <v>485</v>
      </c>
      <c r="H537" s="54" t="s">
        <v>485</v>
      </c>
      <c r="I537" s="43">
        <f>'01_PARÂMETROS'!$B$9</f>
        <v>50</v>
      </c>
      <c r="J537" s="44">
        <f t="shared" si="26"/>
        <v>0.9</v>
      </c>
      <c r="K537" s="62">
        <f>MAX('01_PARÂMETROS'!$B$11,MIN('01_PARÂMETROS'!$B$12,J537))</f>
        <v>0.9</v>
      </c>
      <c r="L537" s="63">
        <f t="shared" si="25"/>
        <v>-9.9999999999999978E-2</v>
      </c>
      <c r="M537" s="17" t="str">
        <f>IF(K537&lt;='01_PARÂMETROS'!$B$14,"Preferencial",IF(K537&lt;='01_PARÂMETROS'!$B$15,"Baixo",IF(K537&lt;='01_PARÂMETROS'!$B$16,"Médio",IF(K537&lt;='01_PARÂMETROS'!$B$17,"Alto","Elevado"))))</f>
        <v>Baixo</v>
      </c>
      <c r="N537" s="58" t="s">
        <v>486</v>
      </c>
      <c r="O537" s="54"/>
    </row>
    <row r="538" spans="1:15" ht="13.5" customHeight="1" x14ac:dyDescent="0.25">
      <c r="A538" s="13" t="s">
        <v>1406</v>
      </c>
      <c r="B538" s="49" t="s">
        <v>660</v>
      </c>
      <c r="C538" s="14" t="s">
        <v>1407</v>
      </c>
      <c r="D538" s="50" t="s">
        <v>662</v>
      </c>
      <c r="E538" s="65" t="s">
        <v>841</v>
      </c>
      <c r="F538" s="54" t="s">
        <v>485</v>
      </c>
      <c r="G538" s="54" t="s">
        <v>485</v>
      </c>
      <c r="H538" s="54" t="s">
        <v>485</v>
      </c>
      <c r="I538" s="43">
        <f>'01_PARÂMETROS'!$B$9</f>
        <v>50</v>
      </c>
      <c r="J538" s="44">
        <f t="shared" si="26"/>
        <v>0.9</v>
      </c>
      <c r="K538" s="62">
        <f>MAX('01_PARÂMETROS'!$B$11,MIN('01_PARÂMETROS'!$B$12,J538))</f>
        <v>0.9</v>
      </c>
      <c r="L538" s="63">
        <f t="shared" si="25"/>
        <v>-9.9999999999999978E-2</v>
      </c>
      <c r="M538" s="17" t="str">
        <f>IF(K538&lt;='01_PARÂMETROS'!$B$14,"Preferencial",IF(K538&lt;='01_PARÂMETROS'!$B$15,"Baixo",IF(K538&lt;='01_PARÂMETROS'!$B$16,"Médio",IF(K538&lt;='01_PARÂMETROS'!$B$17,"Alto","Elevado"))))</f>
        <v>Baixo</v>
      </c>
      <c r="N538" s="58" t="s">
        <v>486</v>
      </c>
      <c r="O538" s="61"/>
    </row>
    <row r="539" spans="1:15" ht="13.5" customHeight="1" x14ac:dyDescent="0.25">
      <c r="A539" s="24" t="s">
        <v>1408</v>
      </c>
      <c r="B539" s="38" t="s">
        <v>660</v>
      </c>
      <c r="C539" s="25" t="s">
        <v>1409</v>
      </c>
      <c r="D539" s="39" t="s">
        <v>662</v>
      </c>
      <c r="E539" s="65" t="s">
        <v>841</v>
      </c>
      <c r="F539" s="54" t="s">
        <v>485</v>
      </c>
      <c r="G539" s="54" t="s">
        <v>485</v>
      </c>
      <c r="H539" s="54" t="s">
        <v>485</v>
      </c>
      <c r="I539" s="43">
        <f>'01_PARÂMETROS'!$B$9</f>
        <v>50</v>
      </c>
      <c r="J539" s="44">
        <f t="shared" si="26"/>
        <v>0.9</v>
      </c>
      <c r="K539" s="62">
        <f>MAX('01_PARÂMETROS'!$B$11,MIN('01_PARÂMETROS'!$B$12,J539))</f>
        <v>0.9</v>
      </c>
      <c r="L539" s="63">
        <f t="shared" si="25"/>
        <v>-9.9999999999999978E-2</v>
      </c>
      <c r="M539" s="17" t="str">
        <f>IF(K539&lt;='01_PARÂMETROS'!$B$14,"Preferencial",IF(K539&lt;='01_PARÂMETROS'!$B$15,"Baixo",IF(K539&lt;='01_PARÂMETROS'!$B$16,"Médio",IF(K539&lt;='01_PARÂMETROS'!$B$17,"Alto","Elevado"))))</f>
        <v>Baixo</v>
      </c>
      <c r="N539" s="58" t="s">
        <v>486</v>
      </c>
      <c r="O539" s="54"/>
    </row>
    <row r="540" spans="1:15" ht="13.5" customHeight="1" x14ac:dyDescent="0.25">
      <c r="A540" s="13" t="s">
        <v>1410</v>
      </c>
      <c r="B540" s="49" t="s">
        <v>660</v>
      </c>
      <c r="C540" s="14" t="s">
        <v>1411</v>
      </c>
      <c r="D540" s="50" t="s">
        <v>662</v>
      </c>
      <c r="E540" s="65" t="s">
        <v>841</v>
      </c>
      <c r="F540" s="54" t="s">
        <v>485</v>
      </c>
      <c r="G540" s="54" t="s">
        <v>485</v>
      </c>
      <c r="H540" s="54" t="s">
        <v>485</v>
      </c>
      <c r="I540" s="43">
        <f>'01_PARÂMETROS'!$B$9</f>
        <v>50</v>
      </c>
      <c r="J540" s="44">
        <f t="shared" si="26"/>
        <v>0.9</v>
      </c>
      <c r="K540" s="62">
        <f>MAX('01_PARÂMETROS'!$B$11,MIN('01_PARÂMETROS'!$B$12,J540))</f>
        <v>0.9</v>
      </c>
      <c r="L540" s="63">
        <f t="shared" si="25"/>
        <v>-9.9999999999999978E-2</v>
      </c>
      <c r="M540" s="17" t="str">
        <f>IF(K540&lt;='01_PARÂMETROS'!$B$14,"Preferencial",IF(K540&lt;='01_PARÂMETROS'!$B$15,"Baixo",IF(K540&lt;='01_PARÂMETROS'!$B$16,"Médio",IF(K540&lt;='01_PARÂMETROS'!$B$17,"Alto","Elevado"))))</f>
        <v>Baixo</v>
      </c>
      <c r="N540" s="58" t="s">
        <v>486</v>
      </c>
      <c r="O540" s="61"/>
    </row>
    <row r="541" spans="1:15" ht="13.5" customHeight="1" x14ac:dyDescent="0.25">
      <c r="A541" s="24" t="s">
        <v>1412</v>
      </c>
      <c r="B541" s="38" t="s">
        <v>660</v>
      </c>
      <c r="C541" s="25" t="s">
        <v>1413</v>
      </c>
      <c r="D541" s="39" t="s">
        <v>662</v>
      </c>
      <c r="E541" s="65" t="s">
        <v>841</v>
      </c>
      <c r="F541" s="54" t="s">
        <v>485</v>
      </c>
      <c r="G541" s="54" t="s">
        <v>485</v>
      </c>
      <c r="H541" s="54" t="s">
        <v>485</v>
      </c>
      <c r="I541" s="43">
        <f>'01_PARÂMETROS'!$B$9</f>
        <v>50</v>
      </c>
      <c r="J541" s="44">
        <f t="shared" si="26"/>
        <v>0.9</v>
      </c>
      <c r="K541" s="62">
        <f>MAX('01_PARÂMETROS'!$B$11,MIN('01_PARÂMETROS'!$B$12,J541))</f>
        <v>0.9</v>
      </c>
      <c r="L541" s="63">
        <f t="shared" si="25"/>
        <v>-9.9999999999999978E-2</v>
      </c>
      <c r="M541" s="17" t="str">
        <f>IF(K541&lt;='01_PARÂMETROS'!$B$14,"Preferencial",IF(K541&lt;='01_PARÂMETROS'!$B$15,"Baixo",IF(K541&lt;='01_PARÂMETROS'!$B$16,"Médio",IF(K541&lt;='01_PARÂMETROS'!$B$17,"Alto","Elevado"))))</f>
        <v>Baixo</v>
      </c>
      <c r="N541" s="58" t="s">
        <v>486</v>
      </c>
      <c r="O541" s="54"/>
    </row>
    <row r="542" spans="1:15" ht="13.5" customHeight="1" x14ac:dyDescent="0.25">
      <c r="A542" s="13" t="s">
        <v>1414</v>
      </c>
      <c r="B542" s="49" t="s">
        <v>660</v>
      </c>
      <c r="C542" s="14" t="s">
        <v>1415</v>
      </c>
      <c r="D542" s="50" t="s">
        <v>662</v>
      </c>
      <c r="E542" s="65" t="s">
        <v>841</v>
      </c>
      <c r="F542" s="54" t="s">
        <v>485</v>
      </c>
      <c r="G542" s="54" t="s">
        <v>485</v>
      </c>
      <c r="H542" s="54" t="s">
        <v>485</v>
      </c>
      <c r="I542" s="43">
        <f>'01_PARÂMETROS'!$B$9</f>
        <v>50</v>
      </c>
      <c r="J542" s="44">
        <f t="shared" si="26"/>
        <v>0.9</v>
      </c>
      <c r="K542" s="62">
        <f>MAX('01_PARÂMETROS'!$B$11,MIN('01_PARÂMETROS'!$B$12,J542))</f>
        <v>0.9</v>
      </c>
      <c r="L542" s="63">
        <f t="shared" si="25"/>
        <v>-9.9999999999999978E-2</v>
      </c>
      <c r="M542" s="17" t="str">
        <f>IF(K542&lt;='01_PARÂMETROS'!$B$14,"Preferencial",IF(K542&lt;='01_PARÂMETROS'!$B$15,"Baixo",IF(K542&lt;='01_PARÂMETROS'!$B$16,"Médio",IF(K542&lt;='01_PARÂMETROS'!$B$17,"Alto","Elevado"))))</f>
        <v>Baixo</v>
      </c>
      <c r="N542" s="58" t="s">
        <v>486</v>
      </c>
      <c r="O542" s="61"/>
    </row>
    <row r="543" spans="1:15" ht="13.5" customHeight="1" x14ac:dyDescent="0.25">
      <c r="A543" s="24" t="s">
        <v>1416</v>
      </c>
      <c r="B543" s="38" t="s">
        <v>660</v>
      </c>
      <c r="C543" s="25" t="s">
        <v>1417</v>
      </c>
      <c r="D543" s="39" t="s">
        <v>662</v>
      </c>
      <c r="E543" s="65" t="s">
        <v>841</v>
      </c>
      <c r="F543" s="54" t="s">
        <v>485</v>
      </c>
      <c r="G543" s="54" t="s">
        <v>485</v>
      </c>
      <c r="H543" s="54" t="s">
        <v>485</v>
      </c>
      <c r="I543" s="43">
        <f>'01_PARÂMETROS'!$B$9</f>
        <v>50</v>
      </c>
      <c r="J543" s="44">
        <f t="shared" si="26"/>
        <v>0.9</v>
      </c>
      <c r="K543" s="62">
        <f>MAX('01_PARÂMETROS'!$B$11,MIN('01_PARÂMETROS'!$B$12,J543))</f>
        <v>0.9</v>
      </c>
      <c r="L543" s="63">
        <f t="shared" si="25"/>
        <v>-9.9999999999999978E-2</v>
      </c>
      <c r="M543" s="17" t="str">
        <f>IF(K543&lt;='01_PARÂMETROS'!$B$14,"Preferencial",IF(K543&lt;='01_PARÂMETROS'!$B$15,"Baixo",IF(K543&lt;='01_PARÂMETROS'!$B$16,"Médio",IF(K543&lt;='01_PARÂMETROS'!$B$17,"Alto","Elevado"))))</f>
        <v>Baixo</v>
      </c>
      <c r="N543" s="58" t="s">
        <v>486</v>
      </c>
      <c r="O543" s="54"/>
    </row>
    <row r="544" spans="1:15" ht="13.5" customHeight="1" x14ac:dyDescent="0.25">
      <c r="A544" s="13" t="s">
        <v>1418</v>
      </c>
      <c r="B544" s="49" t="s">
        <v>660</v>
      </c>
      <c r="C544" s="14" t="s">
        <v>1419</v>
      </c>
      <c r="D544" s="50" t="s">
        <v>662</v>
      </c>
      <c r="E544" s="65" t="s">
        <v>841</v>
      </c>
      <c r="F544" s="54" t="s">
        <v>485</v>
      </c>
      <c r="G544" s="54" t="s">
        <v>485</v>
      </c>
      <c r="H544" s="54" t="s">
        <v>485</v>
      </c>
      <c r="I544" s="43">
        <f>'01_PARÂMETROS'!$B$9</f>
        <v>50</v>
      </c>
      <c r="J544" s="44">
        <f t="shared" si="26"/>
        <v>0.9</v>
      </c>
      <c r="K544" s="62">
        <f>MAX('01_PARÂMETROS'!$B$11,MIN('01_PARÂMETROS'!$B$12,J544))</f>
        <v>0.9</v>
      </c>
      <c r="L544" s="63">
        <f t="shared" si="25"/>
        <v>-9.9999999999999978E-2</v>
      </c>
      <c r="M544" s="17" t="str">
        <f>IF(K544&lt;='01_PARÂMETROS'!$B$14,"Preferencial",IF(K544&lt;='01_PARÂMETROS'!$B$15,"Baixo",IF(K544&lt;='01_PARÂMETROS'!$B$16,"Médio",IF(K544&lt;='01_PARÂMETROS'!$B$17,"Alto","Elevado"))))</f>
        <v>Baixo</v>
      </c>
      <c r="N544" s="58" t="s">
        <v>486</v>
      </c>
      <c r="O544" s="61"/>
    </row>
    <row r="545" spans="1:15" ht="13.5" customHeight="1" x14ac:dyDescent="0.25">
      <c r="A545" s="24" t="s">
        <v>1420</v>
      </c>
      <c r="B545" s="38" t="s">
        <v>660</v>
      </c>
      <c r="C545" s="25" t="s">
        <v>1421</v>
      </c>
      <c r="D545" s="39" t="s">
        <v>662</v>
      </c>
      <c r="E545" s="65" t="s">
        <v>841</v>
      </c>
      <c r="F545" s="54" t="s">
        <v>485</v>
      </c>
      <c r="G545" s="54" t="s">
        <v>485</v>
      </c>
      <c r="H545" s="54" t="s">
        <v>485</v>
      </c>
      <c r="I545" s="43">
        <f>'01_PARÂMETROS'!$B$9</f>
        <v>50</v>
      </c>
      <c r="J545" s="44">
        <f t="shared" si="26"/>
        <v>0.9</v>
      </c>
      <c r="K545" s="62">
        <f>MAX('01_PARÂMETROS'!$B$11,MIN('01_PARÂMETROS'!$B$12,J545))</f>
        <v>0.9</v>
      </c>
      <c r="L545" s="63">
        <f t="shared" si="25"/>
        <v>-9.9999999999999978E-2</v>
      </c>
      <c r="M545" s="17" t="str">
        <f>IF(K545&lt;='01_PARÂMETROS'!$B$14,"Preferencial",IF(K545&lt;='01_PARÂMETROS'!$B$15,"Baixo",IF(K545&lt;='01_PARÂMETROS'!$B$16,"Médio",IF(K545&lt;='01_PARÂMETROS'!$B$17,"Alto","Elevado"))))</f>
        <v>Baixo</v>
      </c>
      <c r="N545" s="58" t="s">
        <v>486</v>
      </c>
      <c r="O545" s="54"/>
    </row>
    <row r="546" spans="1:15" ht="13.5" customHeight="1" x14ac:dyDescent="0.25">
      <c r="A546" s="13" t="s">
        <v>1422</v>
      </c>
      <c r="B546" s="49" t="s">
        <v>660</v>
      </c>
      <c r="C546" s="14" t="s">
        <v>1423</v>
      </c>
      <c r="D546" s="50" t="s">
        <v>662</v>
      </c>
      <c r="E546" s="65" t="s">
        <v>841</v>
      </c>
      <c r="F546" s="54" t="s">
        <v>485</v>
      </c>
      <c r="G546" s="54" t="s">
        <v>485</v>
      </c>
      <c r="H546" s="54" t="s">
        <v>485</v>
      </c>
      <c r="I546" s="43">
        <f>'01_PARÂMETROS'!$B$9</f>
        <v>50</v>
      </c>
      <c r="J546" s="44">
        <f t="shared" si="26"/>
        <v>0.9</v>
      </c>
      <c r="K546" s="62">
        <f>MAX('01_PARÂMETROS'!$B$11,MIN('01_PARÂMETROS'!$B$12,J546))</f>
        <v>0.9</v>
      </c>
      <c r="L546" s="63">
        <f t="shared" si="25"/>
        <v>-9.9999999999999978E-2</v>
      </c>
      <c r="M546" s="17" t="str">
        <f>IF(K546&lt;='01_PARÂMETROS'!$B$14,"Preferencial",IF(K546&lt;='01_PARÂMETROS'!$B$15,"Baixo",IF(K546&lt;='01_PARÂMETROS'!$B$16,"Médio",IF(K546&lt;='01_PARÂMETROS'!$B$17,"Alto","Elevado"))))</f>
        <v>Baixo</v>
      </c>
      <c r="N546" s="58" t="s">
        <v>486</v>
      </c>
      <c r="O546" s="61"/>
    </row>
    <row r="547" spans="1:15" ht="13.5" customHeight="1" x14ac:dyDescent="0.25">
      <c r="A547" s="24" t="s">
        <v>1424</v>
      </c>
      <c r="B547" s="38" t="s">
        <v>660</v>
      </c>
      <c r="C547" s="25" t="s">
        <v>1425</v>
      </c>
      <c r="D547" s="39" t="s">
        <v>662</v>
      </c>
      <c r="E547" s="65" t="s">
        <v>841</v>
      </c>
      <c r="F547" s="54" t="s">
        <v>485</v>
      </c>
      <c r="G547" s="54" t="s">
        <v>485</v>
      </c>
      <c r="H547" s="54" t="s">
        <v>485</v>
      </c>
      <c r="I547" s="43">
        <f>'01_PARÂMETROS'!$B$9</f>
        <v>50</v>
      </c>
      <c r="J547" s="44">
        <f t="shared" si="26"/>
        <v>0.9</v>
      </c>
      <c r="K547" s="62">
        <f>MAX('01_PARÂMETROS'!$B$11,MIN('01_PARÂMETROS'!$B$12,J547))</f>
        <v>0.9</v>
      </c>
      <c r="L547" s="63">
        <f t="shared" si="25"/>
        <v>-9.9999999999999978E-2</v>
      </c>
      <c r="M547" s="17" t="str">
        <f>IF(K547&lt;='01_PARÂMETROS'!$B$14,"Preferencial",IF(K547&lt;='01_PARÂMETROS'!$B$15,"Baixo",IF(K547&lt;='01_PARÂMETROS'!$B$16,"Médio",IF(K547&lt;='01_PARÂMETROS'!$B$17,"Alto","Elevado"))))</f>
        <v>Baixo</v>
      </c>
      <c r="N547" s="58" t="s">
        <v>486</v>
      </c>
      <c r="O547" s="54"/>
    </row>
    <row r="548" spans="1:15" ht="13.5" customHeight="1" x14ac:dyDescent="0.25">
      <c r="A548" s="13" t="s">
        <v>1426</v>
      </c>
      <c r="B548" s="49" t="s">
        <v>660</v>
      </c>
      <c r="C548" s="14" t="s">
        <v>1427</v>
      </c>
      <c r="D548" s="50" t="s">
        <v>662</v>
      </c>
      <c r="E548" s="65" t="s">
        <v>841</v>
      </c>
      <c r="F548" s="54" t="s">
        <v>485</v>
      </c>
      <c r="G548" s="54" t="s">
        <v>485</v>
      </c>
      <c r="H548" s="54" t="s">
        <v>485</v>
      </c>
      <c r="I548" s="43">
        <f>'01_PARÂMETROS'!$B$9</f>
        <v>50</v>
      </c>
      <c r="J548" s="44">
        <f t="shared" si="26"/>
        <v>0.9</v>
      </c>
      <c r="K548" s="62">
        <f>MAX('01_PARÂMETROS'!$B$11,MIN('01_PARÂMETROS'!$B$12,J548))</f>
        <v>0.9</v>
      </c>
      <c r="L548" s="63">
        <f t="shared" si="25"/>
        <v>-9.9999999999999978E-2</v>
      </c>
      <c r="M548" s="17" t="str">
        <f>IF(K548&lt;='01_PARÂMETROS'!$B$14,"Preferencial",IF(K548&lt;='01_PARÂMETROS'!$B$15,"Baixo",IF(K548&lt;='01_PARÂMETROS'!$B$16,"Médio",IF(K548&lt;='01_PARÂMETROS'!$B$17,"Alto","Elevado"))))</f>
        <v>Baixo</v>
      </c>
      <c r="N548" s="58" t="s">
        <v>486</v>
      </c>
      <c r="O548" s="61"/>
    </row>
    <row r="549" spans="1:15" ht="13.5" customHeight="1" x14ac:dyDescent="0.25">
      <c r="A549" s="24" t="s">
        <v>1428</v>
      </c>
      <c r="B549" s="38" t="s">
        <v>660</v>
      </c>
      <c r="C549" s="25" t="s">
        <v>1429</v>
      </c>
      <c r="D549" s="39" t="s">
        <v>662</v>
      </c>
      <c r="E549" s="65" t="s">
        <v>841</v>
      </c>
      <c r="F549" s="54" t="s">
        <v>485</v>
      </c>
      <c r="G549" s="54" t="s">
        <v>485</v>
      </c>
      <c r="H549" s="54" t="s">
        <v>485</v>
      </c>
      <c r="I549" s="43">
        <f>'01_PARÂMETROS'!$B$9</f>
        <v>50</v>
      </c>
      <c r="J549" s="44">
        <f t="shared" si="26"/>
        <v>0.9</v>
      </c>
      <c r="K549" s="62">
        <f>MAX('01_PARÂMETROS'!$B$11,MIN('01_PARÂMETROS'!$B$12,J549))</f>
        <v>0.9</v>
      </c>
      <c r="L549" s="63">
        <f t="shared" si="25"/>
        <v>-9.9999999999999978E-2</v>
      </c>
      <c r="M549" s="17" t="str">
        <f>IF(K549&lt;='01_PARÂMETROS'!$B$14,"Preferencial",IF(K549&lt;='01_PARÂMETROS'!$B$15,"Baixo",IF(K549&lt;='01_PARÂMETROS'!$B$16,"Médio",IF(K549&lt;='01_PARÂMETROS'!$B$17,"Alto","Elevado"))))</f>
        <v>Baixo</v>
      </c>
      <c r="N549" s="58" t="s">
        <v>486</v>
      </c>
      <c r="O549" s="54"/>
    </row>
    <row r="550" spans="1:15" ht="13.5" customHeight="1" x14ac:dyDescent="0.25">
      <c r="A550" s="13" t="s">
        <v>1430</v>
      </c>
      <c r="B550" s="49" t="s">
        <v>660</v>
      </c>
      <c r="C550" s="14" t="s">
        <v>1431</v>
      </c>
      <c r="D550" s="50" t="s">
        <v>662</v>
      </c>
      <c r="E550" s="65" t="s">
        <v>841</v>
      </c>
      <c r="F550" s="54" t="s">
        <v>485</v>
      </c>
      <c r="G550" s="54" t="s">
        <v>485</v>
      </c>
      <c r="H550" s="54" t="s">
        <v>485</v>
      </c>
      <c r="I550" s="43">
        <f>'01_PARÂMETROS'!$B$9</f>
        <v>50</v>
      </c>
      <c r="J550" s="44">
        <f t="shared" si="26"/>
        <v>0.9</v>
      </c>
      <c r="K550" s="62">
        <f>MAX('01_PARÂMETROS'!$B$11,MIN('01_PARÂMETROS'!$B$12,J550))</f>
        <v>0.9</v>
      </c>
      <c r="L550" s="63">
        <f t="shared" si="25"/>
        <v>-9.9999999999999978E-2</v>
      </c>
      <c r="M550" s="17" t="str">
        <f>IF(K550&lt;='01_PARÂMETROS'!$B$14,"Preferencial",IF(K550&lt;='01_PARÂMETROS'!$B$15,"Baixo",IF(K550&lt;='01_PARÂMETROS'!$B$16,"Médio",IF(K550&lt;='01_PARÂMETROS'!$B$17,"Alto","Elevado"))))</f>
        <v>Baixo</v>
      </c>
      <c r="N550" s="58" t="s">
        <v>486</v>
      </c>
      <c r="O550" s="61"/>
    </row>
    <row r="551" spans="1:15" ht="13.5" customHeight="1" x14ac:dyDescent="0.25">
      <c r="A551" s="24" t="s">
        <v>1432</v>
      </c>
      <c r="B551" s="38" t="s">
        <v>660</v>
      </c>
      <c r="C551" s="25" t="s">
        <v>1433</v>
      </c>
      <c r="D551" s="39" t="s">
        <v>662</v>
      </c>
      <c r="E551" s="65" t="s">
        <v>841</v>
      </c>
      <c r="F551" s="54" t="s">
        <v>485</v>
      </c>
      <c r="G551" s="54" t="s">
        <v>485</v>
      </c>
      <c r="H551" s="54" t="s">
        <v>485</v>
      </c>
      <c r="I551" s="43">
        <f>'01_PARÂMETROS'!$B$9</f>
        <v>50</v>
      </c>
      <c r="J551" s="44">
        <f t="shared" si="26"/>
        <v>0.9</v>
      </c>
      <c r="K551" s="62">
        <f>MAX('01_PARÂMETROS'!$B$11,MIN('01_PARÂMETROS'!$B$12,J551))</f>
        <v>0.9</v>
      </c>
      <c r="L551" s="63">
        <f t="shared" si="25"/>
        <v>-9.9999999999999978E-2</v>
      </c>
      <c r="M551" s="17" t="str">
        <f>IF(K551&lt;='01_PARÂMETROS'!$B$14,"Preferencial",IF(K551&lt;='01_PARÂMETROS'!$B$15,"Baixo",IF(K551&lt;='01_PARÂMETROS'!$B$16,"Médio",IF(K551&lt;='01_PARÂMETROS'!$B$17,"Alto","Elevado"))))</f>
        <v>Baixo</v>
      </c>
      <c r="N551" s="58" t="s">
        <v>486</v>
      </c>
      <c r="O551" s="54"/>
    </row>
    <row r="552" spans="1:15" ht="13.5" customHeight="1" x14ac:dyDescent="0.25">
      <c r="A552" s="13" t="s">
        <v>1434</v>
      </c>
      <c r="B552" s="49" t="s">
        <v>660</v>
      </c>
      <c r="C552" s="14" t="s">
        <v>1435</v>
      </c>
      <c r="D552" s="50" t="s">
        <v>662</v>
      </c>
      <c r="E552" s="65" t="s">
        <v>841</v>
      </c>
      <c r="F552" s="54" t="s">
        <v>485</v>
      </c>
      <c r="G552" s="54" t="s">
        <v>485</v>
      </c>
      <c r="H552" s="54" t="s">
        <v>485</v>
      </c>
      <c r="I552" s="43">
        <f>'01_PARÂMETROS'!$B$9</f>
        <v>50</v>
      </c>
      <c r="J552" s="44">
        <f t="shared" si="26"/>
        <v>0.9</v>
      </c>
      <c r="K552" s="62">
        <f>MAX('01_PARÂMETROS'!$B$11,MIN('01_PARÂMETROS'!$B$12,J552))</f>
        <v>0.9</v>
      </c>
      <c r="L552" s="63">
        <f t="shared" si="25"/>
        <v>-9.9999999999999978E-2</v>
      </c>
      <c r="M552" s="17" t="str">
        <f>IF(K552&lt;='01_PARÂMETROS'!$B$14,"Preferencial",IF(K552&lt;='01_PARÂMETROS'!$B$15,"Baixo",IF(K552&lt;='01_PARÂMETROS'!$B$16,"Médio",IF(K552&lt;='01_PARÂMETROS'!$B$17,"Alto","Elevado"))))</f>
        <v>Baixo</v>
      </c>
      <c r="N552" s="58" t="s">
        <v>486</v>
      </c>
      <c r="O552" s="61"/>
    </row>
    <row r="553" spans="1:15" ht="13.5" customHeight="1" x14ac:dyDescent="0.25">
      <c r="A553" s="24" t="s">
        <v>1436</v>
      </c>
      <c r="B553" s="38" t="s">
        <v>660</v>
      </c>
      <c r="C553" s="25" t="s">
        <v>1437</v>
      </c>
      <c r="D553" s="39" t="s">
        <v>1438</v>
      </c>
      <c r="E553" s="40" t="s">
        <v>477</v>
      </c>
      <c r="F553" s="54" t="s">
        <v>485</v>
      </c>
      <c r="G553" s="54" t="s">
        <v>485</v>
      </c>
      <c r="H553" s="54" t="s">
        <v>485</v>
      </c>
      <c r="I553" s="43">
        <f>'01_PARÂMETROS'!$B$9</f>
        <v>50</v>
      </c>
      <c r="J553" s="44">
        <f>1</f>
        <v>1</v>
      </c>
      <c r="K553" s="55">
        <f>MAX('01_PARÂMETROS'!$B$11,MIN('01_PARÂMETROS'!$B$12,J553))</f>
        <v>1</v>
      </c>
      <c r="L553" s="56">
        <f t="shared" si="25"/>
        <v>0</v>
      </c>
      <c r="M553" s="57" t="str">
        <f>IF(K553&lt;='01_PARÂMETROS'!$B$14,"Preferencial",IF(K553&lt;='01_PARÂMETROS'!$B$15,"Baixo",IF(K553&lt;='01_PARÂMETROS'!$B$16,"Médio",IF(K553&lt;='01_PARÂMETROS'!$B$17,"Alto","Elevado"))))</f>
        <v>Médio</v>
      </c>
      <c r="N553" s="58" t="s">
        <v>486</v>
      </c>
      <c r="O553" s="54"/>
    </row>
    <row r="554" spans="1:15" ht="13.5" customHeight="1" x14ac:dyDescent="0.25">
      <c r="A554" s="13" t="s">
        <v>1439</v>
      </c>
      <c r="B554" s="49" t="s">
        <v>660</v>
      </c>
      <c r="C554" s="14" t="s">
        <v>1440</v>
      </c>
      <c r="D554" s="50" t="s">
        <v>1438</v>
      </c>
      <c r="E554" s="40" t="s">
        <v>477</v>
      </c>
      <c r="F554" s="54" t="s">
        <v>485</v>
      </c>
      <c r="G554" s="54" t="s">
        <v>485</v>
      </c>
      <c r="H554" s="54" t="s">
        <v>485</v>
      </c>
      <c r="I554" s="43">
        <f>'01_PARÂMETROS'!$B$9</f>
        <v>50</v>
      </c>
      <c r="J554" s="44">
        <f>1</f>
        <v>1</v>
      </c>
      <c r="K554" s="55">
        <f>MAX('01_PARÂMETROS'!$B$11,MIN('01_PARÂMETROS'!$B$12,J554))</f>
        <v>1</v>
      </c>
      <c r="L554" s="56">
        <f t="shared" si="25"/>
        <v>0</v>
      </c>
      <c r="M554" s="57" t="str">
        <f>IF(K554&lt;='01_PARÂMETROS'!$B$14,"Preferencial",IF(K554&lt;='01_PARÂMETROS'!$B$15,"Baixo",IF(K554&lt;='01_PARÂMETROS'!$B$16,"Médio",IF(K554&lt;='01_PARÂMETROS'!$B$17,"Alto","Elevado"))))</f>
        <v>Médio</v>
      </c>
      <c r="N554" s="58" t="s">
        <v>486</v>
      </c>
      <c r="O554" s="61"/>
    </row>
    <row r="555" spans="1:15" ht="13.5" customHeight="1" x14ac:dyDescent="0.25">
      <c r="A555" s="24" t="s">
        <v>1441</v>
      </c>
      <c r="B555" s="38" t="s">
        <v>660</v>
      </c>
      <c r="C555" s="25" t="s">
        <v>1442</v>
      </c>
      <c r="D555" s="39" t="s">
        <v>1438</v>
      </c>
      <c r="E555" s="40" t="s">
        <v>477</v>
      </c>
      <c r="F555" s="54" t="s">
        <v>485</v>
      </c>
      <c r="G555" s="54" t="s">
        <v>485</v>
      </c>
      <c r="H555" s="54" t="s">
        <v>485</v>
      </c>
      <c r="I555" s="43">
        <f>'01_PARÂMETROS'!$B$9</f>
        <v>50</v>
      </c>
      <c r="J555" s="44">
        <f>1</f>
        <v>1</v>
      </c>
      <c r="K555" s="55">
        <f>MAX('01_PARÂMETROS'!$B$11,MIN('01_PARÂMETROS'!$B$12,J555))</f>
        <v>1</v>
      </c>
      <c r="L555" s="56">
        <f t="shared" si="25"/>
        <v>0</v>
      </c>
      <c r="M555" s="57" t="str">
        <f>IF(K555&lt;='01_PARÂMETROS'!$B$14,"Preferencial",IF(K555&lt;='01_PARÂMETROS'!$B$15,"Baixo",IF(K555&lt;='01_PARÂMETROS'!$B$16,"Médio",IF(K555&lt;='01_PARÂMETROS'!$B$17,"Alto","Elevado"))))</f>
        <v>Médio</v>
      </c>
      <c r="N555" s="58" t="s">
        <v>486</v>
      </c>
      <c r="O555" s="54"/>
    </row>
    <row r="556" spans="1:15" ht="13.5" customHeight="1" x14ac:dyDescent="0.25">
      <c r="A556" s="13" t="s">
        <v>1443</v>
      </c>
      <c r="B556" s="49" t="s">
        <v>660</v>
      </c>
      <c r="C556" s="14" t="s">
        <v>1444</v>
      </c>
      <c r="D556" s="50" t="s">
        <v>1438</v>
      </c>
      <c r="E556" s="40" t="s">
        <v>477</v>
      </c>
      <c r="F556" s="54" t="s">
        <v>485</v>
      </c>
      <c r="G556" s="54" t="s">
        <v>485</v>
      </c>
      <c r="H556" s="54" t="s">
        <v>485</v>
      </c>
      <c r="I556" s="43">
        <f>'01_PARÂMETROS'!$B$9</f>
        <v>50</v>
      </c>
      <c r="J556" s="44">
        <f>1</f>
        <v>1</v>
      </c>
      <c r="K556" s="55">
        <f>MAX('01_PARÂMETROS'!$B$11,MIN('01_PARÂMETROS'!$B$12,J556))</f>
        <v>1</v>
      </c>
      <c r="L556" s="56">
        <f t="shared" si="25"/>
        <v>0</v>
      </c>
      <c r="M556" s="57" t="str">
        <f>IF(K556&lt;='01_PARÂMETROS'!$B$14,"Preferencial",IF(K556&lt;='01_PARÂMETROS'!$B$15,"Baixo",IF(K556&lt;='01_PARÂMETROS'!$B$16,"Médio",IF(K556&lt;='01_PARÂMETROS'!$B$17,"Alto","Elevado"))))</f>
        <v>Médio</v>
      </c>
      <c r="N556" s="58" t="s">
        <v>486</v>
      </c>
      <c r="O556" s="61"/>
    </row>
    <row r="557" spans="1:15" ht="13.5" customHeight="1" x14ac:dyDescent="0.25">
      <c r="A557" s="24" t="s">
        <v>1445</v>
      </c>
      <c r="B557" s="38" t="s">
        <v>660</v>
      </c>
      <c r="C557" s="25" t="s">
        <v>1446</v>
      </c>
      <c r="D557" s="39" t="s">
        <v>1438</v>
      </c>
      <c r="E557" s="40" t="s">
        <v>477</v>
      </c>
      <c r="F557" s="54" t="s">
        <v>485</v>
      </c>
      <c r="G557" s="54" t="s">
        <v>485</v>
      </c>
      <c r="H557" s="54" t="s">
        <v>485</v>
      </c>
      <c r="I557" s="43">
        <f>'01_PARÂMETROS'!$B$9</f>
        <v>50</v>
      </c>
      <c r="J557" s="44">
        <f>1</f>
        <v>1</v>
      </c>
      <c r="K557" s="55">
        <f>MAX('01_PARÂMETROS'!$B$11,MIN('01_PARÂMETROS'!$B$12,J557))</f>
        <v>1</v>
      </c>
      <c r="L557" s="56">
        <f t="shared" si="25"/>
        <v>0</v>
      </c>
      <c r="M557" s="57" t="str">
        <f>IF(K557&lt;='01_PARÂMETROS'!$B$14,"Preferencial",IF(K557&lt;='01_PARÂMETROS'!$B$15,"Baixo",IF(K557&lt;='01_PARÂMETROS'!$B$16,"Médio",IF(K557&lt;='01_PARÂMETROS'!$B$17,"Alto","Elevado"))))</f>
        <v>Médio</v>
      </c>
      <c r="N557" s="58" t="s">
        <v>486</v>
      </c>
      <c r="O557" s="54"/>
    </row>
    <row r="558" spans="1:15" ht="13.5" customHeight="1" x14ac:dyDescent="0.25">
      <c r="A558" s="13" t="s">
        <v>1447</v>
      </c>
      <c r="B558" s="49" t="s">
        <v>660</v>
      </c>
      <c r="C558" s="14" t="s">
        <v>1448</v>
      </c>
      <c r="D558" s="50" t="s">
        <v>1438</v>
      </c>
      <c r="E558" s="40" t="s">
        <v>477</v>
      </c>
      <c r="F558" s="54" t="s">
        <v>485</v>
      </c>
      <c r="G558" s="54" t="s">
        <v>485</v>
      </c>
      <c r="H558" s="54" t="s">
        <v>485</v>
      </c>
      <c r="I558" s="43">
        <f>'01_PARÂMETROS'!$B$9</f>
        <v>50</v>
      </c>
      <c r="J558" s="44">
        <f>1</f>
        <v>1</v>
      </c>
      <c r="K558" s="55">
        <f>MAX('01_PARÂMETROS'!$B$11,MIN('01_PARÂMETROS'!$B$12,J558))</f>
        <v>1</v>
      </c>
      <c r="L558" s="56">
        <f t="shared" si="25"/>
        <v>0</v>
      </c>
      <c r="M558" s="57" t="str">
        <f>IF(K558&lt;='01_PARÂMETROS'!$B$14,"Preferencial",IF(K558&lt;='01_PARÂMETROS'!$B$15,"Baixo",IF(K558&lt;='01_PARÂMETROS'!$B$16,"Médio",IF(K558&lt;='01_PARÂMETROS'!$B$17,"Alto","Elevado"))))</f>
        <v>Médio</v>
      </c>
      <c r="N558" s="58" t="s">
        <v>486</v>
      </c>
      <c r="O558" s="61"/>
    </row>
    <row r="559" spans="1:15" ht="13.5" customHeight="1" x14ac:dyDescent="0.25">
      <c r="A559" s="24" t="s">
        <v>1449</v>
      </c>
      <c r="B559" s="38" t="s">
        <v>660</v>
      </c>
      <c r="C559" s="25" t="s">
        <v>1450</v>
      </c>
      <c r="D559" s="39" t="s">
        <v>1438</v>
      </c>
      <c r="E559" s="40" t="s">
        <v>477</v>
      </c>
      <c r="F559" s="54" t="s">
        <v>485</v>
      </c>
      <c r="G559" s="54" t="s">
        <v>485</v>
      </c>
      <c r="H559" s="54" t="s">
        <v>485</v>
      </c>
      <c r="I559" s="43">
        <f>'01_PARÂMETROS'!$B$9</f>
        <v>50</v>
      </c>
      <c r="J559" s="44">
        <f>1</f>
        <v>1</v>
      </c>
      <c r="K559" s="55">
        <f>MAX('01_PARÂMETROS'!$B$11,MIN('01_PARÂMETROS'!$B$12,J559))</f>
        <v>1</v>
      </c>
      <c r="L559" s="56">
        <f t="shared" si="25"/>
        <v>0</v>
      </c>
      <c r="M559" s="57" t="str">
        <f>IF(K559&lt;='01_PARÂMETROS'!$B$14,"Preferencial",IF(K559&lt;='01_PARÂMETROS'!$B$15,"Baixo",IF(K559&lt;='01_PARÂMETROS'!$B$16,"Médio",IF(K559&lt;='01_PARÂMETROS'!$B$17,"Alto","Elevado"))))</f>
        <v>Médio</v>
      </c>
      <c r="N559" s="58" t="s">
        <v>486</v>
      </c>
      <c r="O559" s="54"/>
    </row>
    <row r="560" spans="1:15" ht="13.5" customHeight="1" x14ac:dyDescent="0.25">
      <c r="A560" s="13" t="s">
        <v>1451</v>
      </c>
      <c r="B560" s="49" t="s">
        <v>660</v>
      </c>
      <c r="C560" s="14" t="s">
        <v>1452</v>
      </c>
      <c r="D560" s="50" t="s">
        <v>1438</v>
      </c>
      <c r="E560" s="40" t="s">
        <v>477</v>
      </c>
      <c r="F560" s="54" t="s">
        <v>485</v>
      </c>
      <c r="G560" s="54" t="s">
        <v>485</v>
      </c>
      <c r="H560" s="54" t="s">
        <v>485</v>
      </c>
      <c r="I560" s="43">
        <f>'01_PARÂMETROS'!$B$9</f>
        <v>50</v>
      </c>
      <c r="J560" s="44">
        <f>1</f>
        <v>1</v>
      </c>
      <c r="K560" s="55">
        <f>MAX('01_PARÂMETROS'!$B$11,MIN('01_PARÂMETROS'!$B$12,J560))</f>
        <v>1</v>
      </c>
      <c r="L560" s="56">
        <f t="shared" si="25"/>
        <v>0</v>
      </c>
      <c r="M560" s="57" t="str">
        <f>IF(K560&lt;='01_PARÂMETROS'!$B$14,"Preferencial",IF(K560&lt;='01_PARÂMETROS'!$B$15,"Baixo",IF(K560&lt;='01_PARÂMETROS'!$B$16,"Médio",IF(K560&lt;='01_PARÂMETROS'!$B$17,"Alto","Elevado"))))</f>
        <v>Médio</v>
      </c>
      <c r="N560" s="58" t="s">
        <v>486</v>
      </c>
      <c r="O560" s="61"/>
    </row>
    <row r="561" spans="1:15" ht="13.5" customHeight="1" x14ac:dyDescent="0.25">
      <c r="A561" s="24" t="s">
        <v>1453</v>
      </c>
      <c r="B561" s="38" t="s">
        <v>660</v>
      </c>
      <c r="C561" s="25" t="s">
        <v>1454</v>
      </c>
      <c r="D561" s="39" t="s">
        <v>1438</v>
      </c>
      <c r="E561" s="40" t="s">
        <v>477</v>
      </c>
      <c r="F561" s="54" t="s">
        <v>485</v>
      </c>
      <c r="G561" s="54" t="s">
        <v>485</v>
      </c>
      <c r="H561" s="54" t="s">
        <v>485</v>
      </c>
      <c r="I561" s="43">
        <f>'01_PARÂMETROS'!$B$9</f>
        <v>50</v>
      </c>
      <c r="J561" s="44">
        <f>1</f>
        <v>1</v>
      </c>
      <c r="K561" s="55">
        <f>MAX('01_PARÂMETROS'!$B$11,MIN('01_PARÂMETROS'!$B$12,J561))</f>
        <v>1</v>
      </c>
      <c r="L561" s="56">
        <f t="shared" si="25"/>
        <v>0</v>
      </c>
      <c r="M561" s="57" t="str">
        <f>IF(K561&lt;='01_PARÂMETROS'!$B$14,"Preferencial",IF(K561&lt;='01_PARÂMETROS'!$B$15,"Baixo",IF(K561&lt;='01_PARÂMETROS'!$B$16,"Médio",IF(K561&lt;='01_PARÂMETROS'!$B$17,"Alto","Elevado"))))</f>
        <v>Médio</v>
      </c>
      <c r="N561" s="58" t="s">
        <v>486</v>
      </c>
      <c r="O561" s="54"/>
    </row>
    <row r="562" spans="1:15" ht="13.5" customHeight="1" x14ac:dyDescent="0.25">
      <c r="A562" s="13" t="s">
        <v>1455</v>
      </c>
      <c r="B562" s="49" t="s">
        <v>660</v>
      </c>
      <c r="C562" s="14" t="s">
        <v>1456</v>
      </c>
      <c r="D562" s="50" t="s">
        <v>1438</v>
      </c>
      <c r="E562" s="40" t="s">
        <v>477</v>
      </c>
      <c r="F562" s="54" t="s">
        <v>485</v>
      </c>
      <c r="G562" s="54" t="s">
        <v>485</v>
      </c>
      <c r="H562" s="54" t="s">
        <v>485</v>
      </c>
      <c r="I562" s="43">
        <f>'01_PARÂMETROS'!$B$9</f>
        <v>50</v>
      </c>
      <c r="J562" s="44">
        <f>1</f>
        <v>1</v>
      </c>
      <c r="K562" s="55">
        <f>MAX('01_PARÂMETROS'!$B$11,MIN('01_PARÂMETROS'!$B$12,J562))</f>
        <v>1</v>
      </c>
      <c r="L562" s="56">
        <f t="shared" si="25"/>
        <v>0</v>
      </c>
      <c r="M562" s="57" t="str">
        <f>IF(K562&lt;='01_PARÂMETROS'!$B$14,"Preferencial",IF(K562&lt;='01_PARÂMETROS'!$B$15,"Baixo",IF(K562&lt;='01_PARÂMETROS'!$B$16,"Médio",IF(K562&lt;='01_PARÂMETROS'!$B$17,"Alto","Elevado"))))</f>
        <v>Médio</v>
      </c>
      <c r="N562" s="58" t="s">
        <v>486</v>
      </c>
      <c r="O562" s="61"/>
    </row>
    <row r="563" spans="1:15" ht="13.5" customHeight="1" x14ac:dyDescent="0.25">
      <c r="A563" s="24" t="s">
        <v>1457</v>
      </c>
      <c r="B563" s="38" t="s">
        <v>660</v>
      </c>
      <c r="C563" s="25" t="s">
        <v>1458</v>
      </c>
      <c r="D563" s="39" t="s">
        <v>1438</v>
      </c>
      <c r="E563" s="40" t="s">
        <v>477</v>
      </c>
      <c r="F563" s="54" t="s">
        <v>485</v>
      </c>
      <c r="G563" s="54" t="s">
        <v>485</v>
      </c>
      <c r="H563" s="54" t="s">
        <v>485</v>
      </c>
      <c r="I563" s="43">
        <f>'01_PARÂMETROS'!$B$9</f>
        <v>50</v>
      </c>
      <c r="J563" s="44">
        <f>1</f>
        <v>1</v>
      </c>
      <c r="K563" s="55">
        <f>MAX('01_PARÂMETROS'!$B$11,MIN('01_PARÂMETROS'!$B$12,J563))</f>
        <v>1</v>
      </c>
      <c r="L563" s="56">
        <f t="shared" si="25"/>
        <v>0</v>
      </c>
      <c r="M563" s="57" t="str">
        <f>IF(K563&lt;='01_PARÂMETROS'!$B$14,"Preferencial",IF(K563&lt;='01_PARÂMETROS'!$B$15,"Baixo",IF(K563&lt;='01_PARÂMETROS'!$B$16,"Médio",IF(K563&lt;='01_PARÂMETROS'!$B$17,"Alto","Elevado"))))</f>
        <v>Médio</v>
      </c>
      <c r="N563" s="58" t="s">
        <v>486</v>
      </c>
      <c r="O563" s="54"/>
    </row>
    <row r="564" spans="1:15" ht="13.5" customHeight="1" x14ac:dyDescent="0.25">
      <c r="A564" s="13" t="s">
        <v>1459</v>
      </c>
      <c r="B564" s="49" t="s">
        <v>660</v>
      </c>
      <c r="C564" s="14" t="s">
        <v>1460</v>
      </c>
      <c r="D564" s="50" t="s">
        <v>1438</v>
      </c>
      <c r="E564" s="40" t="s">
        <v>477</v>
      </c>
      <c r="F564" s="54" t="s">
        <v>485</v>
      </c>
      <c r="G564" s="54" t="s">
        <v>485</v>
      </c>
      <c r="H564" s="54" t="s">
        <v>485</v>
      </c>
      <c r="I564" s="43">
        <f>'01_PARÂMETROS'!$B$9</f>
        <v>50</v>
      </c>
      <c r="J564" s="44">
        <f>1</f>
        <v>1</v>
      </c>
      <c r="K564" s="55">
        <f>MAX('01_PARÂMETROS'!$B$11,MIN('01_PARÂMETROS'!$B$12,J564))</f>
        <v>1</v>
      </c>
      <c r="L564" s="56">
        <f t="shared" si="25"/>
        <v>0</v>
      </c>
      <c r="M564" s="57" t="str">
        <f>IF(K564&lt;='01_PARÂMETROS'!$B$14,"Preferencial",IF(K564&lt;='01_PARÂMETROS'!$B$15,"Baixo",IF(K564&lt;='01_PARÂMETROS'!$B$16,"Médio",IF(K564&lt;='01_PARÂMETROS'!$B$17,"Alto","Elevado"))))</f>
        <v>Médio</v>
      </c>
      <c r="N564" s="58" t="s">
        <v>486</v>
      </c>
      <c r="O564" s="61"/>
    </row>
    <row r="565" spans="1:15" ht="13.5" customHeight="1" x14ac:dyDescent="0.25">
      <c r="A565" s="24" t="s">
        <v>1461</v>
      </c>
      <c r="B565" s="38" t="s">
        <v>660</v>
      </c>
      <c r="C565" s="25" t="s">
        <v>1462</v>
      </c>
      <c r="D565" s="39" t="s">
        <v>1438</v>
      </c>
      <c r="E565" s="40" t="s">
        <v>477</v>
      </c>
      <c r="F565" s="54" t="s">
        <v>485</v>
      </c>
      <c r="G565" s="54" t="s">
        <v>485</v>
      </c>
      <c r="H565" s="54" t="s">
        <v>485</v>
      </c>
      <c r="I565" s="43">
        <f>'01_PARÂMETROS'!$B$9</f>
        <v>50</v>
      </c>
      <c r="J565" s="44">
        <f>1</f>
        <v>1</v>
      </c>
      <c r="K565" s="55">
        <f>MAX('01_PARÂMETROS'!$B$11,MIN('01_PARÂMETROS'!$B$12,J565))</f>
        <v>1</v>
      </c>
      <c r="L565" s="56">
        <f t="shared" si="25"/>
        <v>0</v>
      </c>
      <c r="M565" s="57" t="str">
        <f>IF(K565&lt;='01_PARÂMETROS'!$B$14,"Preferencial",IF(K565&lt;='01_PARÂMETROS'!$B$15,"Baixo",IF(K565&lt;='01_PARÂMETROS'!$B$16,"Médio",IF(K565&lt;='01_PARÂMETROS'!$B$17,"Alto","Elevado"))))</f>
        <v>Médio</v>
      </c>
      <c r="N565" s="58" t="s">
        <v>486</v>
      </c>
      <c r="O565" s="54"/>
    </row>
    <row r="566" spans="1:15" ht="13.5" customHeight="1" x14ac:dyDescent="0.25">
      <c r="A566" s="13" t="s">
        <v>1463</v>
      </c>
      <c r="B566" s="49" t="s">
        <v>660</v>
      </c>
      <c r="C566" s="14" t="s">
        <v>1464</v>
      </c>
      <c r="D566" s="50" t="s">
        <v>1438</v>
      </c>
      <c r="E566" s="40" t="s">
        <v>477</v>
      </c>
      <c r="F566" s="54" t="s">
        <v>485</v>
      </c>
      <c r="G566" s="54" t="s">
        <v>485</v>
      </c>
      <c r="H566" s="54" t="s">
        <v>485</v>
      </c>
      <c r="I566" s="43">
        <f>'01_PARÂMETROS'!$B$9</f>
        <v>50</v>
      </c>
      <c r="J566" s="44">
        <f>1</f>
        <v>1</v>
      </c>
      <c r="K566" s="55">
        <f>MAX('01_PARÂMETROS'!$B$11,MIN('01_PARÂMETROS'!$B$12,J566))</f>
        <v>1</v>
      </c>
      <c r="L566" s="56">
        <f t="shared" si="25"/>
        <v>0</v>
      </c>
      <c r="M566" s="57" t="str">
        <f>IF(K566&lt;='01_PARÂMETROS'!$B$14,"Preferencial",IF(K566&lt;='01_PARÂMETROS'!$B$15,"Baixo",IF(K566&lt;='01_PARÂMETROS'!$B$16,"Médio",IF(K566&lt;='01_PARÂMETROS'!$B$17,"Alto","Elevado"))))</f>
        <v>Médio</v>
      </c>
      <c r="N566" s="58" t="s">
        <v>486</v>
      </c>
      <c r="O566" s="61"/>
    </row>
    <row r="567" spans="1:15" ht="13.5" customHeight="1" x14ac:dyDescent="0.25">
      <c r="A567" s="24" t="s">
        <v>1465</v>
      </c>
      <c r="B567" s="38" t="s">
        <v>660</v>
      </c>
      <c r="C567" s="25" t="s">
        <v>1466</v>
      </c>
      <c r="D567" s="39" t="s">
        <v>1438</v>
      </c>
      <c r="E567" s="40" t="s">
        <v>477</v>
      </c>
      <c r="F567" s="54" t="s">
        <v>485</v>
      </c>
      <c r="G567" s="54" t="s">
        <v>485</v>
      </c>
      <c r="H567" s="54" t="s">
        <v>485</v>
      </c>
      <c r="I567" s="43">
        <f>'01_PARÂMETROS'!$B$9</f>
        <v>50</v>
      </c>
      <c r="J567" s="44">
        <f>1</f>
        <v>1</v>
      </c>
      <c r="K567" s="55">
        <f>MAX('01_PARÂMETROS'!$B$11,MIN('01_PARÂMETROS'!$B$12,J567))</f>
        <v>1</v>
      </c>
      <c r="L567" s="56">
        <f t="shared" si="25"/>
        <v>0</v>
      </c>
      <c r="M567" s="57" t="str">
        <f>IF(K567&lt;='01_PARÂMETROS'!$B$14,"Preferencial",IF(K567&lt;='01_PARÂMETROS'!$B$15,"Baixo",IF(K567&lt;='01_PARÂMETROS'!$B$16,"Médio",IF(K567&lt;='01_PARÂMETROS'!$B$17,"Alto","Elevado"))))</f>
        <v>Médio</v>
      </c>
      <c r="N567" s="58" t="s">
        <v>486</v>
      </c>
      <c r="O567" s="54"/>
    </row>
    <row r="568" spans="1:15" ht="13.5" customHeight="1" x14ac:dyDescent="0.25">
      <c r="A568" s="13" t="s">
        <v>1467</v>
      </c>
      <c r="B568" s="49" t="s">
        <v>660</v>
      </c>
      <c r="C568" s="14" t="s">
        <v>1468</v>
      </c>
      <c r="D568" s="50" t="s">
        <v>1438</v>
      </c>
      <c r="E568" s="40" t="s">
        <v>477</v>
      </c>
      <c r="F568" s="54" t="s">
        <v>485</v>
      </c>
      <c r="G568" s="54" t="s">
        <v>485</v>
      </c>
      <c r="H568" s="54" t="s">
        <v>485</v>
      </c>
      <c r="I568" s="43">
        <f>'01_PARÂMETROS'!$B$9</f>
        <v>50</v>
      </c>
      <c r="J568" s="44">
        <f>1</f>
        <v>1</v>
      </c>
      <c r="K568" s="55">
        <f>MAX('01_PARÂMETROS'!$B$11,MIN('01_PARÂMETROS'!$B$12,J568))</f>
        <v>1</v>
      </c>
      <c r="L568" s="56">
        <f t="shared" si="25"/>
        <v>0</v>
      </c>
      <c r="M568" s="57" t="str">
        <f>IF(K568&lt;='01_PARÂMETROS'!$B$14,"Preferencial",IF(K568&lt;='01_PARÂMETROS'!$B$15,"Baixo",IF(K568&lt;='01_PARÂMETROS'!$B$16,"Médio",IF(K568&lt;='01_PARÂMETROS'!$B$17,"Alto","Elevado"))))</f>
        <v>Médio</v>
      </c>
      <c r="N568" s="58" t="s">
        <v>486</v>
      </c>
      <c r="O568" s="61"/>
    </row>
    <row r="569" spans="1:15" ht="13.5" customHeight="1" x14ac:dyDescent="0.25">
      <c r="A569" s="24" t="s">
        <v>1469</v>
      </c>
      <c r="B569" s="38" t="s">
        <v>660</v>
      </c>
      <c r="C569" s="25" t="s">
        <v>1470</v>
      </c>
      <c r="D569" s="39" t="s">
        <v>1438</v>
      </c>
      <c r="E569" s="40" t="s">
        <v>477</v>
      </c>
      <c r="F569" s="54" t="s">
        <v>485</v>
      </c>
      <c r="G569" s="54" t="s">
        <v>485</v>
      </c>
      <c r="H569" s="54" t="s">
        <v>485</v>
      </c>
      <c r="I569" s="43">
        <f>'01_PARÂMETROS'!$B$9</f>
        <v>50</v>
      </c>
      <c r="J569" s="44">
        <f>1</f>
        <v>1</v>
      </c>
      <c r="K569" s="55">
        <f>MAX('01_PARÂMETROS'!$B$11,MIN('01_PARÂMETROS'!$B$12,J569))</f>
        <v>1</v>
      </c>
      <c r="L569" s="56">
        <f t="shared" si="25"/>
        <v>0</v>
      </c>
      <c r="M569" s="57" t="str">
        <f>IF(K569&lt;='01_PARÂMETROS'!$B$14,"Preferencial",IF(K569&lt;='01_PARÂMETROS'!$B$15,"Baixo",IF(K569&lt;='01_PARÂMETROS'!$B$16,"Médio",IF(K569&lt;='01_PARÂMETROS'!$B$17,"Alto","Elevado"))))</f>
        <v>Médio</v>
      </c>
      <c r="N569" s="58" t="s">
        <v>486</v>
      </c>
      <c r="O569" s="54"/>
    </row>
    <row r="570" spans="1:15" ht="13.5" customHeight="1" x14ac:dyDescent="0.25">
      <c r="A570" s="13" t="s">
        <v>1471</v>
      </c>
      <c r="B570" s="49" t="s">
        <v>660</v>
      </c>
      <c r="C570" s="14" t="s">
        <v>1472</v>
      </c>
      <c r="D570" s="50" t="s">
        <v>1438</v>
      </c>
      <c r="E570" s="40" t="s">
        <v>477</v>
      </c>
      <c r="F570" s="54" t="s">
        <v>485</v>
      </c>
      <c r="G570" s="54" t="s">
        <v>485</v>
      </c>
      <c r="H570" s="54" t="s">
        <v>485</v>
      </c>
      <c r="I570" s="43">
        <f>'01_PARÂMETROS'!$B$9</f>
        <v>50</v>
      </c>
      <c r="J570" s="44">
        <f>1</f>
        <v>1</v>
      </c>
      <c r="K570" s="55">
        <f>MAX('01_PARÂMETROS'!$B$11,MIN('01_PARÂMETROS'!$B$12,J570))</f>
        <v>1</v>
      </c>
      <c r="L570" s="56">
        <f t="shared" si="25"/>
        <v>0</v>
      </c>
      <c r="M570" s="57" t="str">
        <f>IF(K570&lt;='01_PARÂMETROS'!$B$14,"Preferencial",IF(K570&lt;='01_PARÂMETROS'!$B$15,"Baixo",IF(K570&lt;='01_PARÂMETROS'!$B$16,"Médio",IF(K570&lt;='01_PARÂMETROS'!$B$17,"Alto","Elevado"))))</f>
        <v>Médio</v>
      </c>
      <c r="N570" s="58" t="s">
        <v>486</v>
      </c>
      <c r="O570" s="61"/>
    </row>
    <row r="571" spans="1:15" ht="13.5" customHeight="1" x14ac:dyDescent="0.25">
      <c r="A571" s="24" t="s">
        <v>1473</v>
      </c>
      <c r="B571" s="38" t="s">
        <v>660</v>
      </c>
      <c r="C571" s="25" t="s">
        <v>1474</v>
      </c>
      <c r="D571" s="39" t="s">
        <v>1438</v>
      </c>
      <c r="E571" s="40" t="s">
        <v>477</v>
      </c>
      <c r="F571" s="54" t="s">
        <v>485</v>
      </c>
      <c r="G571" s="54" t="s">
        <v>485</v>
      </c>
      <c r="H571" s="54" t="s">
        <v>485</v>
      </c>
      <c r="I571" s="43">
        <f>'01_PARÂMETROS'!$B$9</f>
        <v>50</v>
      </c>
      <c r="J571" s="44">
        <f>1</f>
        <v>1</v>
      </c>
      <c r="K571" s="55">
        <f>MAX('01_PARÂMETROS'!$B$11,MIN('01_PARÂMETROS'!$B$12,J571))</f>
        <v>1</v>
      </c>
      <c r="L571" s="56">
        <f t="shared" si="25"/>
        <v>0</v>
      </c>
      <c r="M571" s="57" t="str">
        <f>IF(K571&lt;='01_PARÂMETROS'!$B$14,"Preferencial",IF(K571&lt;='01_PARÂMETROS'!$B$15,"Baixo",IF(K571&lt;='01_PARÂMETROS'!$B$16,"Médio",IF(K571&lt;='01_PARÂMETROS'!$B$17,"Alto","Elevado"))))</f>
        <v>Médio</v>
      </c>
      <c r="N571" s="58" t="s">
        <v>486</v>
      </c>
      <c r="O571" s="54"/>
    </row>
    <row r="572" spans="1:15" ht="13.5" customHeight="1" x14ac:dyDescent="0.25">
      <c r="A572" s="13" t="s">
        <v>1475</v>
      </c>
      <c r="B572" s="49" t="s">
        <v>660</v>
      </c>
      <c r="C572" s="14" t="s">
        <v>1476</v>
      </c>
      <c r="D572" s="50" t="s">
        <v>1438</v>
      </c>
      <c r="E572" s="40" t="s">
        <v>477</v>
      </c>
      <c r="F572" s="54" t="s">
        <v>485</v>
      </c>
      <c r="G572" s="54" t="s">
        <v>485</v>
      </c>
      <c r="H572" s="54" t="s">
        <v>485</v>
      </c>
      <c r="I572" s="43">
        <f>'01_PARÂMETROS'!$B$9</f>
        <v>50</v>
      </c>
      <c r="J572" s="44">
        <f>1</f>
        <v>1</v>
      </c>
      <c r="K572" s="55">
        <f>MAX('01_PARÂMETROS'!$B$11,MIN('01_PARÂMETROS'!$B$12,J572))</f>
        <v>1</v>
      </c>
      <c r="L572" s="56">
        <f t="shared" si="25"/>
        <v>0</v>
      </c>
      <c r="M572" s="57" t="str">
        <f>IF(K572&lt;='01_PARÂMETROS'!$B$14,"Preferencial",IF(K572&lt;='01_PARÂMETROS'!$B$15,"Baixo",IF(K572&lt;='01_PARÂMETROS'!$B$16,"Médio",IF(K572&lt;='01_PARÂMETROS'!$B$17,"Alto","Elevado"))))</f>
        <v>Médio</v>
      </c>
      <c r="N572" s="58" t="s">
        <v>486</v>
      </c>
      <c r="O572" s="61"/>
    </row>
    <row r="573" spans="1:15" ht="13.5" customHeight="1" x14ac:dyDescent="0.25">
      <c r="A573" s="24" t="s">
        <v>1477</v>
      </c>
      <c r="B573" s="38" t="s">
        <v>660</v>
      </c>
      <c r="C573" s="25" t="s">
        <v>1478</v>
      </c>
      <c r="D573" s="39" t="s">
        <v>1438</v>
      </c>
      <c r="E573" s="40" t="s">
        <v>477</v>
      </c>
      <c r="F573" s="54" t="s">
        <v>485</v>
      </c>
      <c r="G573" s="54" t="s">
        <v>485</v>
      </c>
      <c r="H573" s="54" t="s">
        <v>485</v>
      </c>
      <c r="I573" s="43">
        <f>'01_PARÂMETROS'!$B$9</f>
        <v>50</v>
      </c>
      <c r="J573" s="44">
        <f>1</f>
        <v>1</v>
      </c>
      <c r="K573" s="55">
        <f>MAX('01_PARÂMETROS'!$B$11,MIN('01_PARÂMETROS'!$B$12,J573))</f>
        <v>1</v>
      </c>
      <c r="L573" s="56">
        <f t="shared" si="25"/>
        <v>0</v>
      </c>
      <c r="M573" s="57" t="str">
        <f>IF(K573&lt;='01_PARÂMETROS'!$B$14,"Preferencial",IF(K573&lt;='01_PARÂMETROS'!$B$15,"Baixo",IF(K573&lt;='01_PARÂMETROS'!$B$16,"Médio",IF(K573&lt;='01_PARÂMETROS'!$B$17,"Alto","Elevado"))))</f>
        <v>Médio</v>
      </c>
      <c r="N573" s="58" t="s">
        <v>486</v>
      </c>
      <c r="O573" s="54"/>
    </row>
    <row r="574" spans="1:15" ht="13.5" customHeight="1" x14ac:dyDescent="0.25">
      <c r="A574" s="13" t="s">
        <v>1479</v>
      </c>
      <c r="B574" s="49" t="s">
        <v>660</v>
      </c>
      <c r="C574" s="14" t="s">
        <v>1480</v>
      </c>
      <c r="D574" s="50" t="s">
        <v>1438</v>
      </c>
      <c r="E574" s="40" t="s">
        <v>477</v>
      </c>
      <c r="F574" s="54" t="s">
        <v>485</v>
      </c>
      <c r="G574" s="54" t="s">
        <v>485</v>
      </c>
      <c r="H574" s="54" t="s">
        <v>485</v>
      </c>
      <c r="I574" s="43">
        <f>'01_PARÂMETROS'!$B$9</f>
        <v>50</v>
      </c>
      <c r="J574" s="44">
        <f>1</f>
        <v>1</v>
      </c>
      <c r="K574" s="55">
        <f>MAX('01_PARÂMETROS'!$B$11,MIN('01_PARÂMETROS'!$B$12,J574))</f>
        <v>1</v>
      </c>
      <c r="L574" s="56">
        <f t="shared" si="25"/>
        <v>0</v>
      </c>
      <c r="M574" s="57" t="str">
        <f>IF(K574&lt;='01_PARÂMETROS'!$B$14,"Preferencial",IF(K574&lt;='01_PARÂMETROS'!$B$15,"Baixo",IF(K574&lt;='01_PARÂMETROS'!$B$16,"Médio",IF(K574&lt;='01_PARÂMETROS'!$B$17,"Alto","Elevado"))))</f>
        <v>Médio</v>
      </c>
      <c r="N574" s="58" t="s">
        <v>486</v>
      </c>
      <c r="O574" s="61"/>
    </row>
    <row r="575" spans="1:15" ht="13.5" customHeight="1" x14ac:dyDescent="0.25">
      <c r="A575" s="24" t="s">
        <v>1481</v>
      </c>
      <c r="B575" s="38" t="s">
        <v>660</v>
      </c>
      <c r="C575" s="25" t="s">
        <v>1482</v>
      </c>
      <c r="D575" s="39" t="s">
        <v>1438</v>
      </c>
      <c r="E575" s="40" t="s">
        <v>477</v>
      </c>
      <c r="F575" s="54" t="s">
        <v>485</v>
      </c>
      <c r="G575" s="54" t="s">
        <v>485</v>
      </c>
      <c r="H575" s="54" t="s">
        <v>485</v>
      </c>
      <c r="I575" s="43">
        <f>'01_PARÂMETROS'!$B$9</f>
        <v>50</v>
      </c>
      <c r="J575" s="44">
        <f>1</f>
        <v>1</v>
      </c>
      <c r="K575" s="55">
        <f>MAX('01_PARÂMETROS'!$B$11,MIN('01_PARÂMETROS'!$B$12,J575))</f>
        <v>1</v>
      </c>
      <c r="L575" s="56">
        <f t="shared" si="25"/>
        <v>0</v>
      </c>
      <c r="M575" s="57" t="str">
        <f>IF(K575&lt;='01_PARÂMETROS'!$B$14,"Preferencial",IF(K575&lt;='01_PARÂMETROS'!$B$15,"Baixo",IF(K575&lt;='01_PARÂMETROS'!$B$16,"Médio",IF(K575&lt;='01_PARÂMETROS'!$B$17,"Alto","Elevado"))))</f>
        <v>Médio</v>
      </c>
      <c r="N575" s="58" t="s">
        <v>486</v>
      </c>
      <c r="O575" s="54"/>
    </row>
    <row r="576" spans="1:15" ht="13.5" customHeight="1" x14ac:dyDescent="0.25">
      <c r="A576" s="13" t="s">
        <v>1483</v>
      </c>
      <c r="B576" s="49" t="s">
        <v>660</v>
      </c>
      <c r="C576" s="14" t="s">
        <v>1484</v>
      </c>
      <c r="D576" s="50" t="s">
        <v>1438</v>
      </c>
      <c r="E576" s="40" t="s">
        <v>477</v>
      </c>
      <c r="F576" s="54" t="s">
        <v>485</v>
      </c>
      <c r="G576" s="54" t="s">
        <v>485</v>
      </c>
      <c r="H576" s="54" t="s">
        <v>485</v>
      </c>
      <c r="I576" s="43">
        <f>'01_PARÂMETROS'!$B$9</f>
        <v>50</v>
      </c>
      <c r="J576" s="44">
        <f>1</f>
        <v>1</v>
      </c>
      <c r="K576" s="55">
        <f>MAX('01_PARÂMETROS'!$B$11,MIN('01_PARÂMETROS'!$B$12,J576))</f>
        <v>1</v>
      </c>
      <c r="L576" s="56">
        <f t="shared" si="25"/>
        <v>0</v>
      </c>
      <c r="M576" s="57" t="str">
        <f>IF(K576&lt;='01_PARÂMETROS'!$B$14,"Preferencial",IF(K576&lt;='01_PARÂMETROS'!$B$15,"Baixo",IF(K576&lt;='01_PARÂMETROS'!$B$16,"Médio",IF(K576&lt;='01_PARÂMETROS'!$B$17,"Alto","Elevado"))))</f>
        <v>Médio</v>
      </c>
      <c r="N576" s="58" t="s">
        <v>486</v>
      </c>
      <c r="O576" s="61"/>
    </row>
    <row r="577" spans="1:15" ht="13.5" customHeight="1" x14ac:dyDescent="0.25">
      <c r="A577" s="24" t="s">
        <v>1485</v>
      </c>
      <c r="B577" s="38" t="s">
        <v>660</v>
      </c>
      <c r="C577" s="25" t="s">
        <v>1486</v>
      </c>
      <c r="D577" s="39" t="s">
        <v>1438</v>
      </c>
      <c r="E577" s="40" t="s">
        <v>477</v>
      </c>
      <c r="F577" s="54" t="s">
        <v>485</v>
      </c>
      <c r="G577" s="54" t="s">
        <v>485</v>
      </c>
      <c r="H577" s="54" t="s">
        <v>485</v>
      </c>
      <c r="I577" s="43">
        <f>'01_PARÂMETROS'!$B$9</f>
        <v>50</v>
      </c>
      <c r="J577" s="44">
        <f>1</f>
        <v>1</v>
      </c>
      <c r="K577" s="55">
        <f>MAX('01_PARÂMETROS'!$B$11,MIN('01_PARÂMETROS'!$B$12,J577))</f>
        <v>1</v>
      </c>
      <c r="L577" s="56">
        <f t="shared" si="25"/>
        <v>0</v>
      </c>
      <c r="M577" s="57" t="str">
        <f>IF(K577&lt;='01_PARÂMETROS'!$B$14,"Preferencial",IF(K577&lt;='01_PARÂMETROS'!$B$15,"Baixo",IF(K577&lt;='01_PARÂMETROS'!$B$16,"Médio",IF(K577&lt;='01_PARÂMETROS'!$B$17,"Alto","Elevado"))))</f>
        <v>Médio</v>
      </c>
      <c r="N577" s="58" t="s">
        <v>486</v>
      </c>
      <c r="O577" s="54"/>
    </row>
    <row r="578" spans="1:15" ht="13.5" customHeight="1" x14ac:dyDescent="0.25">
      <c r="A578" s="13" t="s">
        <v>1487</v>
      </c>
      <c r="B578" s="49" t="s">
        <v>660</v>
      </c>
      <c r="C578" s="14" t="s">
        <v>1488</v>
      </c>
      <c r="D578" s="50" t="s">
        <v>1438</v>
      </c>
      <c r="E578" s="40" t="s">
        <v>477</v>
      </c>
      <c r="F578" s="54" t="s">
        <v>485</v>
      </c>
      <c r="G578" s="54" t="s">
        <v>485</v>
      </c>
      <c r="H578" s="54" t="s">
        <v>485</v>
      </c>
      <c r="I578" s="43">
        <f>'01_PARÂMETROS'!$B$9</f>
        <v>50</v>
      </c>
      <c r="J578" s="44">
        <f>1</f>
        <v>1</v>
      </c>
      <c r="K578" s="55">
        <f>MAX('01_PARÂMETROS'!$B$11,MIN('01_PARÂMETROS'!$B$12,J578))</f>
        <v>1</v>
      </c>
      <c r="L578" s="56">
        <f t="shared" si="25"/>
        <v>0</v>
      </c>
      <c r="M578" s="57" t="str">
        <f>IF(K578&lt;='01_PARÂMETROS'!$B$14,"Preferencial",IF(K578&lt;='01_PARÂMETROS'!$B$15,"Baixo",IF(K578&lt;='01_PARÂMETROS'!$B$16,"Médio",IF(K578&lt;='01_PARÂMETROS'!$B$17,"Alto","Elevado"))))</f>
        <v>Médio</v>
      </c>
      <c r="N578" s="58" t="s">
        <v>486</v>
      </c>
      <c r="O578" s="61"/>
    </row>
    <row r="579" spans="1:15" ht="13.5" customHeight="1" x14ac:dyDescent="0.25">
      <c r="A579" s="24" t="s">
        <v>1489</v>
      </c>
      <c r="B579" s="38" t="s">
        <v>660</v>
      </c>
      <c r="C579" s="25" t="s">
        <v>1490</v>
      </c>
      <c r="D579" s="39" t="s">
        <v>1438</v>
      </c>
      <c r="E579" s="40" t="s">
        <v>477</v>
      </c>
      <c r="F579" s="54" t="s">
        <v>485</v>
      </c>
      <c r="G579" s="54" t="s">
        <v>485</v>
      </c>
      <c r="H579" s="54" t="s">
        <v>485</v>
      </c>
      <c r="I579" s="43">
        <f>'01_PARÂMETROS'!$B$9</f>
        <v>50</v>
      </c>
      <c r="J579" s="44">
        <f>1</f>
        <v>1</v>
      </c>
      <c r="K579" s="55">
        <f>MAX('01_PARÂMETROS'!$B$11,MIN('01_PARÂMETROS'!$B$12,J579))</f>
        <v>1</v>
      </c>
      <c r="L579" s="56">
        <f t="shared" si="25"/>
        <v>0</v>
      </c>
      <c r="M579" s="57" t="str">
        <f>IF(K579&lt;='01_PARÂMETROS'!$B$14,"Preferencial",IF(K579&lt;='01_PARÂMETROS'!$B$15,"Baixo",IF(K579&lt;='01_PARÂMETROS'!$B$16,"Médio",IF(K579&lt;='01_PARÂMETROS'!$B$17,"Alto","Elevado"))))</f>
        <v>Médio</v>
      </c>
      <c r="N579" s="58" t="s">
        <v>486</v>
      </c>
      <c r="O579" s="54"/>
    </row>
    <row r="580" spans="1:15" ht="13.5" customHeight="1" x14ac:dyDescent="0.25">
      <c r="A580" s="13" t="s">
        <v>1491</v>
      </c>
      <c r="B580" s="49" t="s">
        <v>660</v>
      </c>
      <c r="C580" s="14" t="s">
        <v>1492</v>
      </c>
      <c r="D580" s="50" t="s">
        <v>1438</v>
      </c>
      <c r="E580" s="40" t="s">
        <v>477</v>
      </c>
      <c r="F580" s="54" t="s">
        <v>485</v>
      </c>
      <c r="G580" s="54" t="s">
        <v>485</v>
      </c>
      <c r="H580" s="54" t="s">
        <v>485</v>
      </c>
      <c r="I580" s="43">
        <f>'01_PARÂMETROS'!$B$9</f>
        <v>50</v>
      </c>
      <c r="J580" s="44">
        <f>1</f>
        <v>1</v>
      </c>
      <c r="K580" s="55">
        <f>MAX('01_PARÂMETROS'!$B$11,MIN('01_PARÂMETROS'!$B$12,J580))</f>
        <v>1</v>
      </c>
      <c r="L580" s="56">
        <f t="shared" si="25"/>
        <v>0</v>
      </c>
      <c r="M580" s="57" t="str">
        <f>IF(K580&lt;='01_PARÂMETROS'!$B$14,"Preferencial",IF(K580&lt;='01_PARÂMETROS'!$B$15,"Baixo",IF(K580&lt;='01_PARÂMETROS'!$B$16,"Médio",IF(K580&lt;='01_PARÂMETROS'!$B$17,"Alto","Elevado"))))</f>
        <v>Médio</v>
      </c>
      <c r="N580" s="58" t="s">
        <v>486</v>
      </c>
      <c r="O580" s="61"/>
    </row>
    <row r="581" spans="1:15" ht="13.5" customHeight="1" x14ac:dyDescent="0.25">
      <c r="A581" s="24" t="s">
        <v>1493</v>
      </c>
      <c r="B581" s="38" t="s">
        <v>660</v>
      </c>
      <c r="C581" s="25" t="s">
        <v>1494</v>
      </c>
      <c r="D581" s="39" t="s">
        <v>1438</v>
      </c>
      <c r="E581" s="40" t="s">
        <v>477</v>
      </c>
      <c r="F581" s="54" t="s">
        <v>485</v>
      </c>
      <c r="G581" s="54" t="s">
        <v>485</v>
      </c>
      <c r="H581" s="54" t="s">
        <v>485</v>
      </c>
      <c r="I581" s="43">
        <f>'01_PARÂMETROS'!$B$9</f>
        <v>50</v>
      </c>
      <c r="J581" s="44">
        <f>1</f>
        <v>1</v>
      </c>
      <c r="K581" s="55">
        <f>MAX('01_PARÂMETROS'!$B$11,MIN('01_PARÂMETROS'!$B$12,J581))</f>
        <v>1</v>
      </c>
      <c r="L581" s="56">
        <f t="shared" ref="L581:L644" si="27">(K581-1)</f>
        <v>0</v>
      </c>
      <c r="M581" s="57" t="str">
        <f>IF(K581&lt;='01_PARÂMETROS'!$B$14,"Preferencial",IF(K581&lt;='01_PARÂMETROS'!$B$15,"Baixo",IF(K581&lt;='01_PARÂMETROS'!$B$16,"Médio",IF(K581&lt;='01_PARÂMETROS'!$B$17,"Alto","Elevado"))))</f>
        <v>Médio</v>
      </c>
      <c r="N581" s="58" t="s">
        <v>486</v>
      </c>
      <c r="O581" s="54"/>
    </row>
    <row r="582" spans="1:15" ht="13.5" customHeight="1" x14ac:dyDescent="0.25">
      <c r="A582" s="13" t="s">
        <v>1495</v>
      </c>
      <c r="B582" s="49" t="s">
        <v>660</v>
      </c>
      <c r="C582" s="14" t="s">
        <v>1496</v>
      </c>
      <c r="D582" s="50" t="s">
        <v>1438</v>
      </c>
      <c r="E582" s="40" t="s">
        <v>477</v>
      </c>
      <c r="F582" s="54" t="s">
        <v>485</v>
      </c>
      <c r="G582" s="54" t="s">
        <v>485</v>
      </c>
      <c r="H582" s="54" t="s">
        <v>485</v>
      </c>
      <c r="I582" s="43">
        <f>'01_PARÂMETROS'!$B$9</f>
        <v>50</v>
      </c>
      <c r="J582" s="44">
        <f>1</f>
        <v>1</v>
      </c>
      <c r="K582" s="55">
        <f>MAX('01_PARÂMETROS'!$B$11,MIN('01_PARÂMETROS'!$B$12,J582))</f>
        <v>1</v>
      </c>
      <c r="L582" s="56">
        <f t="shared" si="27"/>
        <v>0</v>
      </c>
      <c r="M582" s="57" t="str">
        <f>IF(K582&lt;='01_PARÂMETROS'!$B$14,"Preferencial",IF(K582&lt;='01_PARÂMETROS'!$B$15,"Baixo",IF(K582&lt;='01_PARÂMETROS'!$B$16,"Médio",IF(K582&lt;='01_PARÂMETROS'!$B$17,"Alto","Elevado"))))</f>
        <v>Médio</v>
      </c>
      <c r="N582" s="58" t="s">
        <v>486</v>
      </c>
      <c r="O582" s="61"/>
    </row>
    <row r="583" spans="1:15" ht="13.5" customHeight="1" x14ac:dyDescent="0.25">
      <c r="A583" s="24" t="s">
        <v>1497</v>
      </c>
      <c r="B583" s="38" t="s">
        <v>660</v>
      </c>
      <c r="C583" s="25" t="s">
        <v>1498</v>
      </c>
      <c r="D583" s="39" t="s">
        <v>1438</v>
      </c>
      <c r="E583" s="40" t="s">
        <v>477</v>
      </c>
      <c r="F583" s="54" t="s">
        <v>485</v>
      </c>
      <c r="G583" s="54" t="s">
        <v>485</v>
      </c>
      <c r="H583" s="54" t="s">
        <v>485</v>
      </c>
      <c r="I583" s="43">
        <f>'01_PARÂMETROS'!$B$9</f>
        <v>50</v>
      </c>
      <c r="J583" s="44">
        <f>1</f>
        <v>1</v>
      </c>
      <c r="K583" s="55">
        <f>MAX('01_PARÂMETROS'!$B$11,MIN('01_PARÂMETROS'!$B$12,J583))</f>
        <v>1</v>
      </c>
      <c r="L583" s="56">
        <f t="shared" si="27"/>
        <v>0</v>
      </c>
      <c r="M583" s="57" t="str">
        <f>IF(K583&lt;='01_PARÂMETROS'!$B$14,"Preferencial",IF(K583&lt;='01_PARÂMETROS'!$B$15,"Baixo",IF(K583&lt;='01_PARÂMETROS'!$B$16,"Médio",IF(K583&lt;='01_PARÂMETROS'!$B$17,"Alto","Elevado"))))</f>
        <v>Médio</v>
      </c>
      <c r="N583" s="58" t="s">
        <v>486</v>
      </c>
      <c r="O583" s="54"/>
    </row>
    <row r="584" spans="1:15" ht="13.5" customHeight="1" x14ac:dyDescent="0.25">
      <c r="A584" s="13" t="s">
        <v>1499</v>
      </c>
      <c r="B584" s="49" t="s">
        <v>660</v>
      </c>
      <c r="C584" s="14" t="s">
        <v>1500</v>
      </c>
      <c r="D584" s="50" t="s">
        <v>1438</v>
      </c>
      <c r="E584" s="40" t="s">
        <v>477</v>
      </c>
      <c r="F584" s="54" t="s">
        <v>485</v>
      </c>
      <c r="G584" s="54" t="s">
        <v>485</v>
      </c>
      <c r="H584" s="54" t="s">
        <v>485</v>
      </c>
      <c r="I584" s="43">
        <f>'01_PARÂMETROS'!$B$9</f>
        <v>50</v>
      </c>
      <c r="J584" s="44">
        <f>1</f>
        <v>1</v>
      </c>
      <c r="K584" s="55">
        <f>MAX('01_PARÂMETROS'!$B$11,MIN('01_PARÂMETROS'!$B$12,J584))</f>
        <v>1</v>
      </c>
      <c r="L584" s="56">
        <f t="shared" si="27"/>
        <v>0</v>
      </c>
      <c r="M584" s="57" t="str">
        <f>IF(K584&lt;='01_PARÂMETROS'!$B$14,"Preferencial",IF(K584&lt;='01_PARÂMETROS'!$B$15,"Baixo",IF(K584&lt;='01_PARÂMETROS'!$B$16,"Médio",IF(K584&lt;='01_PARÂMETROS'!$B$17,"Alto","Elevado"))))</f>
        <v>Médio</v>
      </c>
      <c r="N584" s="58" t="s">
        <v>486</v>
      </c>
      <c r="O584" s="61"/>
    </row>
    <row r="585" spans="1:15" ht="13.5" customHeight="1" x14ac:dyDescent="0.25">
      <c r="A585" s="24" t="s">
        <v>1501</v>
      </c>
      <c r="B585" s="38" t="s">
        <v>660</v>
      </c>
      <c r="C585" s="25" t="s">
        <v>1502</v>
      </c>
      <c r="D585" s="39" t="s">
        <v>1438</v>
      </c>
      <c r="E585" s="40" t="s">
        <v>477</v>
      </c>
      <c r="F585" s="54" t="s">
        <v>485</v>
      </c>
      <c r="G585" s="54" t="s">
        <v>485</v>
      </c>
      <c r="H585" s="54" t="s">
        <v>485</v>
      </c>
      <c r="I585" s="43">
        <f>'01_PARÂMETROS'!$B$9</f>
        <v>50</v>
      </c>
      <c r="J585" s="44">
        <f>1</f>
        <v>1</v>
      </c>
      <c r="K585" s="55">
        <f>MAX('01_PARÂMETROS'!$B$11,MIN('01_PARÂMETROS'!$B$12,J585))</f>
        <v>1</v>
      </c>
      <c r="L585" s="56">
        <f t="shared" si="27"/>
        <v>0</v>
      </c>
      <c r="M585" s="57" t="str">
        <f>IF(K585&lt;='01_PARÂMETROS'!$B$14,"Preferencial",IF(K585&lt;='01_PARÂMETROS'!$B$15,"Baixo",IF(K585&lt;='01_PARÂMETROS'!$B$16,"Médio",IF(K585&lt;='01_PARÂMETROS'!$B$17,"Alto","Elevado"))))</f>
        <v>Médio</v>
      </c>
      <c r="N585" s="58" t="s">
        <v>486</v>
      </c>
      <c r="O585" s="54"/>
    </row>
    <row r="586" spans="1:15" ht="13.5" customHeight="1" x14ac:dyDescent="0.25">
      <c r="A586" s="13" t="s">
        <v>1503</v>
      </c>
      <c r="B586" s="49" t="s">
        <v>660</v>
      </c>
      <c r="C586" s="14" t="s">
        <v>1504</v>
      </c>
      <c r="D586" s="50" t="s">
        <v>1438</v>
      </c>
      <c r="E586" s="40" t="s">
        <v>477</v>
      </c>
      <c r="F586" s="54" t="s">
        <v>485</v>
      </c>
      <c r="G586" s="54" t="s">
        <v>485</v>
      </c>
      <c r="H586" s="54" t="s">
        <v>485</v>
      </c>
      <c r="I586" s="43">
        <f>'01_PARÂMETROS'!$B$9</f>
        <v>50</v>
      </c>
      <c r="J586" s="44">
        <f>1</f>
        <v>1</v>
      </c>
      <c r="K586" s="55">
        <f>MAX('01_PARÂMETROS'!$B$11,MIN('01_PARÂMETROS'!$B$12,J586))</f>
        <v>1</v>
      </c>
      <c r="L586" s="56">
        <f t="shared" si="27"/>
        <v>0</v>
      </c>
      <c r="M586" s="57" t="str">
        <f>IF(K586&lt;='01_PARÂMETROS'!$B$14,"Preferencial",IF(K586&lt;='01_PARÂMETROS'!$B$15,"Baixo",IF(K586&lt;='01_PARÂMETROS'!$B$16,"Médio",IF(K586&lt;='01_PARÂMETROS'!$B$17,"Alto","Elevado"))))</f>
        <v>Médio</v>
      </c>
      <c r="N586" s="58" t="s">
        <v>486</v>
      </c>
      <c r="O586" s="61"/>
    </row>
    <row r="587" spans="1:15" ht="13.5" customHeight="1" x14ac:dyDescent="0.25">
      <c r="A587" s="24" t="s">
        <v>1505</v>
      </c>
      <c r="B587" s="38" t="s">
        <v>660</v>
      </c>
      <c r="C587" s="25" t="s">
        <v>1506</v>
      </c>
      <c r="D587" s="39" t="s">
        <v>1438</v>
      </c>
      <c r="E587" s="40" t="s">
        <v>477</v>
      </c>
      <c r="F587" s="54" t="s">
        <v>485</v>
      </c>
      <c r="G587" s="54" t="s">
        <v>485</v>
      </c>
      <c r="H587" s="54" t="s">
        <v>485</v>
      </c>
      <c r="I587" s="43">
        <f>'01_PARÂMETROS'!$B$9</f>
        <v>50</v>
      </c>
      <c r="J587" s="44">
        <f>1</f>
        <v>1</v>
      </c>
      <c r="K587" s="55">
        <f>MAX('01_PARÂMETROS'!$B$11,MIN('01_PARÂMETROS'!$B$12,J587))</f>
        <v>1</v>
      </c>
      <c r="L587" s="56">
        <f t="shared" si="27"/>
        <v>0</v>
      </c>
      <c r="M587" s="57" t="str">
        <f>IF(K587&lt;='01_PARÂMETROS'!$B$14,"Preferencial",IF(K587&lt;='01_PARÂMETROS'!$B$15,"Baixo",IF(K587&lt;='01_PARÂMETROS'!$B$16,"Médio",IF(K587&lt;='01_PARÂMETROS'!$B$17,"Alto","Elevado"))))</f>
        <v>Médio</v>
      </c>
      <c r="N587" s="58" t="s">
        <v>486</v>
      </c>
      <c r="O587" s="54"/>
    </row>
    <row r="588" spans="1:15" ht="13.5" customHeight="1" x14ac:dyDescent="0.25">
      <c r="A588" s="13" t="s">
        <v>1507</v>
      </c>
      <c r="B588" s="49" t="s">
        <v>660</v>
      </c>
      <c r="C588" s="14" t="s">
        <v>1508</v>
      </c>
      <c r="D588" s="50" t="s">
        <v>1438</v>
      </c>
      <c r="E588" s="40" t="s">
        <v>477</v>
      </c>
      <c r="F588" s="54" t="s">
        <v>485</v>
      </c>
      <c r="G588" s="54" t="s">
        <v>485</v>
      </c>
      <c r="H588" s="54" t="s">
        <v>485</v>
      </c>
      <c r="I588" s="43">
        <f>'01_PARÂMETROS'!$B$9</f>
        <v>50</v>
      </c>
      <c r="J588" s="44">
        <f>1</f>
        <v>1</v>
      </c>
      <c r="K588" s="55">
        <f>MAX('01_PARÂMETROS'!$B$11,MIN('01_PARÂMETROS'!$B$12,J588))</f>
        <v>1</v>
      </c>
      <c r="L588" s="56">
        <f t="shared" si="27"/>
        <v>0</v>
      </c>
      <c r="M588" s="57" t="str">
        <f>IF(K588&lt;='01_PARÂMETROS'!$B$14,"Preferencial",IF(K588&lt;='01_PARÂMETROS'!$B$15,"Baixo",IF(K588&lt;='01_PARÂMETROS'!$B$16,"Médio",IF(K588&lt;='01_PARÂMETROS'!$B$17,"Alto","Elevado"))))</f>
        <v>Médio</v>
      </c>
      <c r="N588" s="58" t="s">
        <v>486</v>
      </c>
      <c r="O588" s="61"/>
    </row>
    <row r="589" spans="1:15" ht="13.5" customHeight="1" x14ac:dyDescent="0.25">
      <c r="A589" s="24" t="s">
        <v>1509</v>
      </c>
      <c r="B589" s="38" t="s">
        <v>660</v>
      </c>
      <c r="C589" s="25" t="s">
        <v>1510</v>
      </c>
      <c r="D589" s="39" t="s">
        <v>1438</v>
      </c>
      <c r="E589" s="40" t="s">
        <v>477</v>
      </c>
      <c r="F589" s="54" t="s">
        <v>485</v>
      </c>
      <c r="G589" s="54" t="s">
        <v>485</v>
      </c>
      <c r="H589" s="54" t="s">
        <v>485</v>
      </c>
      <c r="I589" s="43">
        <f>'01_PARÂMETROS'!$B$9</f>
        <v>50</v>
      </c>
      <c r="J589" s="44">
        <f>1</f>
        <v>1</v>
      </c>
      <c r="K589" s="55">
        <f>MAX('01_PARÂMETROS'!$B$11,MIN('01_PARÂMETROS'!$B$12,J589))</f>
        <v>1</v>
      </c>
      <c r="L589" s="56">
        <f t="shared" si="27"/>
        <v>0</v>
      </c>
      <c r="M589" s="57" t="str">
        <f>IF(K589&lt;='01_PARÂMETROS'!$B$14,"Preferencial",IF(K589&lt;='01_PARÂMETROS'!$B$15,"Baixo",IF(K589&lt;='01_PARÂMETROS'!$B$16,"Médio",IF(K589&lt;='01_PARÂMETROS'!$B$17,"Alto","Elevado"))))</f>
        <v>Médio</v>
      </c>
      <c r="N589" s="58" t="s">
        <v>486</v>
      </c>
      <c r="O589" s="54"/>
    </row>
    <row r="590" spans="1:15" ht="13.5" customHeight="1" x14ac:dyDescent="0.25">
      <c r="A590" s="13" t="s">
        <v>1511</v>
      </c>
      <c r="B590" s="49" t="s">
        <v>660</v>
      </c>
      <c r="C590" s="14" t="s">
        <v>1512</v>
      </c>
      <c r="D590" s="50" t="s">
        <v>1438</v>
      </c>
      <c r="E590" s="40" t="s">
        <v>477</v>
      </c>
      <c r="F590" s="54" t="s">
        <v>485</v>
      </c>
      <c r="G590" s="54" t="s">
        <v>485</v>
      </c>
      <c r="H590" s="54" t="s">
        <v>485</v>
      </c>
      <c r="I590" s="43">
        <f>'01_PARÂMETROS'!$B$9</f>
        <v>50</v>
      </c>
      <c r="J590" s="44">
        <f>1</f>
        <v>1</v>
      </c>
      <c r="K590" s="55">
        <f>MAX('01_PARÂMETROS'!$B$11,MIN('01_PARÂMETROS'!$B$12,J590))</f>
        <v>1</v>
      </c>
      <c r="L590" s="56">
        <f t="shared" si="27"/>
        <v>0</v>
      </c>
      <c r="M590" s="57" t="str">
        <f>IF(K590&lt;='01_PARÂMETROS'!$B$14,"Preferencial",IF(K590&lt;='01_PARÂMETROS'!$B$15,"Baixo",IF(K590&lt;='01_PARÂMETROS'!$B$16,"Médio",IF(K590&lt;='01_PARÂMETROS'!$B$17,"Alto","Elevado"))))</f>
        <v>Médio</v>
      </c>
      <c r="N590" s="58" t="s">
        <v>486</v>
      </c>
      <c r="O590" s="61"/>
    </row>
    <row r="591" spans="1:15" ht="13.5" customHeight="1" x14ac:dyDescent="0.25">
      <c r="A591" s="24" t="s">
        <v>1513</v>
      </c>
      <c r="B591" s="38" t="s">
        <v>660</v>
      </c>
      <c r="C591" s="25" t="s">
        <v>1514</v>
      </c>
      <c r="D591" s="39" t="s">
        <v>1438</v>
      </c>
      <c r="E591" s="40" t="s">
        <v>477</v>
      </c>
      <c r="F591" s="54" t="s">
        <v>485</v>
      </c>
      <c r="G591" s="54" t="s">
        <v>485</v>
      </c>
      <c r="H591" s="54" t="s">
        <v>485</v>
      </c>
      <c r="I591" s="43">
        <f>'01_PARÂMETROS'!$B$9</f>
        <v>50</v>
      </c>
      <c r="J591" s="44">
        <f>1</f>
        <v>1</v>
      </c>
      <c r="K591" s="55">
        <f>MAX('01_PARÂMETROS'!$B$11,MIN('01_PARÂMETROS'!$B$12,J591))</f>
        <v>1</v>
      </c>
      <c r="L591" s="56">
        <f t="shared" si="27"/>
        <v>0</v>
      </c>
      <c r="M591" s="57" t="str">
        <f>IF(K591&lt;='01_PARÂMETROS'!$B$14,"Preferencial",IF(K591&lt;='01_PARÂMETROS'!$B$15,"Baixo",IF(K591&lt;='01_PARÂMETROS'!$B$16,"Médio",IF(K591&lt;='01_PARÂMETROS'!$B$17,"Alto","Elevado"))))</f>
        <v>Médio</v>
      </c>
      <c r="N591" s="58" t="s">
        <v>486</v>
      </c>
      <c r="O591" s="54"/>
    </row>
    <row r="592" spans="1:15" ht="13.5" customHeight="1" x14ac:dyDescent="0.25">
      <c r="A592" s="13" t="s">
        <v>1515</v>
      </c>
      <c r="B592" s="49" t="s">
        <v>1516</v>
      </c>
      <c r="C592" s="14" t="s">
        <v>1517</v>
      </c>
      <c r="D592" s="50" t="s">
        <v>1518</v>
      </c>
      <c r="E592" s="64" t="s">
        <v>566</v>
      </c>
      <c r="F592" s="54" t="s">
        <v>485</v>
      </c>
      <c r="G592" s="54" t="s">
        <v>485</v>
      </c>
      <c r="H592" s="54" t="s">
        <v>485</v>
      </c>
      <c r="I592" s="43">
        <f>'01_PARÂMETROS'!$B$9</f>
        <v>50</v>
      </c>
      <c r="J592" s="44">
        <f t="shared" ref="J592:J599" si="28">1.15</f>
        <v>1.1499999999999999</v>
      </c>
      <c r="K592" s="45">
        <f>MAX('01_PARÂMETROS'!$B$11,MIN('01_PARÂMETROS'!$B$12,J592))</f>
        <v>1.1499999999999999</v>
      </c>
      <c r="L592" s="46">
        <f t="shared" si="27"/>
        <v>0.14999999999999991</v>
      </c>
      <c r="M592" s="47" t="str">
        <f>IF(K592&lt;='01_PARÂMETROS'!$B$14,"Preferencial",IF(K592&lt;='01_PARÂMETROS'!$B$15,"Baixo",IF(K592&lt;='01_PARÂMETROS'!$B$16,"Médio",IF(K592&lt;='01_PARÂMETROS'!$B$17,"Alto","Elevado"))))</f>
        <v>Alto</v>
      </c>
      <c r="N592" s="58" t="s">
        <v>486</v>
      </c>
      <c r="O592" s="61"/>
    </row>
    <row r="593" spans="1:15" ht="13.5" customHeight="1" x14ac:dyDescent="0.25">
      <c r="A593" s="24" t="s">
        <v>1519</v>
      </c>
      <c r="B593" s="38" t="s">
        <v>1516</v>
      </c>
      <c r="C593" s="25" t="s">
        <v>1520</v>
      </c>
      <c r="D593" s="39" t="s">
        <v>1518</v>
      </c>
      <c r="E593" s="64" t="s">
        <v>566</v>
      </c>
      <c r="F593" s="54" t="s">
        <v>485</v>
      </c>
      <c r="G593" s="54" t="s">
        <v>485</v>
      </c>
      <c r="H593" s="54" t="s">
        <v>485</v>
      </c>
      <c r="I593" s="43">
        <f>'01_PARÂMETROS'!$B$9</f>
        <v>50</v>
      </c>
      <c r="J593" s="44">
        <f t="shared" si="28"/>
        <v>1.1499999999999999</v>
      </c>
      <c r="K593" s="45">
        <f>MAX('01_PARÂMETROS'!$B$11,MIN('01_PARÂMETROS'!$B$12,J593))</f>
        <v>1.1499999999999999</v>
      </c>
      <c r="L593" s="46">
        <f t="shared" si="27"/>
        <v>0.14999999999999991</v>
      </c>
      <c r="M593" s="47" t="str">
        <f>IF(K593&lt;='01_PARÂMETROS'!$B$14,"Preferencial",IF(K593&lt;='01_PARÂMETROS'!$B$15,"Baixo",IF(K593&lt;='01_PARÂMETROS'!$B$16,"Médio",IF(K593&lt;='01_PARÂMETROS'!$B$17,"Alto","Elevado"))))</f>
        <v>Alto</v>
      </c>
      <c r="N593" s="58" t="s">
        <v>486</v>
      </c>
      <c r="O593" s="54"/>
    </row>
    <row r="594" spans="1:15" ht="13.5" customHeight="1" x14ac:dyDescent="0.25">
      <c r="A594" s="13" t="s">
        <v>1521</v>
      </c>
      <c r="B594" s="49" t="s">
        <v>1516</v>
      </c>
      <c r="C594" s="14" t="s">
        <v>1522</v>
      </c>
      <c r="D594" s="50" t="s">
        <v>1518</v>
      </c>
      <c r="E594" s="64" t="s">
        <v>566</v>
      </c>
      <c r="F594" s="54" t="s">
        <v>485</v>
      </c>
      <c r="G594" s="54" t="s">
        <v>485</v>
      </c>
      <c r="H594" s="54" t="s">
        <v>485</v>
      </c>
      <c r="I594" s="43">
        <f>'01_PARÂMETROS'!$B$9</f>
        <v>50</v>
      </c>
      <c r="J594" s="44">
        <f t="shared" si="28"/>
        <v>1.1499999999999999</v>
      </c>
      <c r="K594" s="45">
        <f>MAX('01_PARÂMETROS'!$B$11,MIN('01_PARÂMETROS'!$B$12,J594))</f>
        <v>1.1499999999999999</v>
      </c>
      <c r="L594" s="46">
        <f t="shared" si="27"/>
        <v>0.14999999999999991</v>
      </c>
      <c r="M594" s="47" t="str">
        <f>IF(K594&lt;='01_PARÂMETROS'!$B$14,"Preferencial",IF(K594&lt;='01_PARÂMETROS'!$B$15,"Baixo",IF(K594&lt;='01_PARÂMETROS'!$B$16,"Médio",IF(K594&lt;='01_PARÂMETROS'!$B$17,"Alto","Elevado"))))</f>
        <v>Alto</v>
      </c>
      <c r="N594" s="58" t="s">
        <v>486</v>
      </c>
      <c r="O594" s="61"/>
    </row>
    <row r="595" spans="1:15" ht="13.5" customHeight="1" x14ac:dyDescent="0.25">
      <c r="A595" s="24" t="s">
        <v>1523</v>
      </c>
      <c r="B595" s="38" t="s">
        <v>1516</v>
      </c>
      <c r="C595" s="25" t="s">
        <v>1524</v>
      </c>
      <c r="D595" s="39" t="s">
        <v>1518</v>
      </c>
      <c r="E595" s="64" t="s">
        <v>566</v>
      </c>
      <c r="F595" s="54" t="s">
        <v>485</v>
      </c>
      <c r="G595" s="54" t="s">
        <v>485</v>
      </c>
      <c r="H595" s="54" t="s">
        <v>485</v>
      </c>
      <c r="I595" s="43">
        <f>'01_PARÂMETROS'!$B$9</f>
        <v>50</v>
      </c>
      <c r="J595" s="44">
        <f t="shared" si="28"/>
        <v>1.1499999999999999</v>
      </c>
      <c r="K595" s="45">
        <f>MAX('01_PARÂMETROS'!$B$11,MIN('01_PARÂMETROS'!$B$12,J595))</f>
        <v>1.1499999999999999</v>
      </c>
      <c r="L595" s="46">
        <f t="shared" si="27"/>
        <v>0.14999999999999991</v>
      </c>
      <c r="M595" s="47" t="str">
        <f>IF(K595&lt;='01_PARÂMETROS'!$B$14,"Preferencial",IF(K595&lt;='01_PARÂMETROS'!$B$15,"Baixo",IF(K595&lt;='01_PARÂMETROS'!$B$16,"Médio",IF(K595&lt;='01_PARÂMETROS'!$B$17,"Alto","Elevado"))))</f>
        <v>Alto</v>
      </c>
      <c r="N595" s="58" t="s">
        <v>486</v>
      </c>
      <c r="O595" s="54"/>
    </row>
    <row r="596" spans="1:15" ht="13.5" customHeight="1" x14ac:dyDescent="0.25">
      <c r="A596" s="13" t="s">
        <v>1525</v>
      </c>
      <c r="B596" s="49" t="s">
        <v>1516</v>
      </c>
      <c r="C596" s="14" t="s">
        <v>1526</v>
      </c>
      <c r="D596" s="50" t="s">
        <v>1518</v>
      </c>
      <c r="E596" s="64" t="s">
        <v>566</v>
      </c>
      <c r="F596" s="54" t="s">
        <v>485</v>
      </c>
      <c r="G596" s="54" t="s">
        <v>485</v>
      </c>
      <c r="H596" s="54" t="s">
        <v>485</v>
      </c>
      <c r="I596" s="43">
        <f>'01_PARÂMETROS'!$B$9</f>
        <v>50</v>
      </c>
      <c r="J596" s="44">
        <f t="shared" si="28"/>
        <v>1.1499999999999999</v>
      </c>
      <c r="K596" s="45">
        <f>MAX('01_PARÂMETROS'!$B$11,MIN('01_PARÂMETROS'!$B$12,J596))</f>
        <v>1.1499999999999999</v>
      </c>
      <c r="L596" s="46">
        <f t="shared" si="27"/>
        <v>0.14999999999999991</v>
      </c>
      <c r="M596" s="47" t="str">
        <f>IF(K596&lt;='01_PARÂMETROS'!$B$14,"Preferencial",IF(K596&lt;='01_PARÂMETROS'!$B$15,"Baixo",IF(K596&lt;='01_PARÂMETROS'!$B$16,"Médio",IF(K596&lt;='01_PARÂMETROS'!$B$17,"Alto","Elevado"))))</f>
        <v>Alto</v>
      </c>
      <c r="N596" s="58" t="s">
        <v>486</v>
      </c>
      <c r="O596" s="61"/>
    </row>
    <row r="597" spans="1:15" ht="13.5" customHeight="1" x14ac:dyDescent="0.25">
      <c r="A597" s="24" t="s">
        <v>1527</v>
      </c>
      <c r="B597" s="38" t="s">
        <v>1516</v>
      </c>
      <c r="C597" s="25" t="s">
        <v>1528</v>
      </c>
      <c r="D597" s="39" t="s">
        <v>1518</v>
      </c>
      <c r="E597" s="64" t="s">
        <v>566</v>
      </c>
      <c r="F597" s="54" t="s">
        <v>485</v>
      </c>
      <c r="G597" s="54" t="s">
        <v>485</v>
      </c>
      <c r="H597" s="54" t="s">
        <v>485</v>
      </c>
      <c r="I597" s="43">
        <f>'01_PARÂMETROS'!$B$9</f>
        <v>50</v>
      </c>
      <c r="J597" s="44">
        <f t="shared" si="28"/>
        <v>1.1499999999999999</v>
      </c>
      <c r="K597" s="45">
        <f>MAX('01_PARÂMETROS'!$B$11,MIN('01_PARÂMETROS'!$B$12,J597))</f>
        <v>1.1499999999999999</v>
      </c>
      <c r="L597" s="46">
        <f t="shared" si="27"/>
        <v>0.14999999999999991</v>
      </c>
      <c r="M597" s="47" t="str">
        <f>IF(K597&lt;='01_PARÂMETROS'!$B$14,"Preferencial",IF(K597&lt;='01_PARÂMETROS'!$B$15,"Baixo",IF(K597&lt;='01_PARÂMETROS'!$B$16,"Médio",IF(K597&lt;='01_PARÂMETROS'!$B$17,"Alto","Elevado"))))</f>
        <v>Alto</v>
      </c>
      <c r="N597" s="58" t="s">
        <v>486</v>
      </c>
      <c r="O597" s="54"/>
    </row>
    <row r="598" spans="1:15" ht="13.5" customHeight="1" x14ac:dyDescent="0.25">
      <c r="A598" s="13" t="s">
        <v>1529</v>
      </c>
      <c r="B598" s="49" t="s">
        <v>1516</v>
      </c>
      <c r="C598" s="14" t="s">
        <v>1530</v>
      </c>
      <c r="D598" s="50" t="s">
        <v>1518</v>
      </c>
      <c r="E598" s="64" t="s">
        <v>566</v>
      </c>
      <c r="F598" s="54" t="s">
        <v>485</v>
      </c>
      <c r="G598" s="54" t="s">
        <v>485</v>
      </c>
      <c r="H598" s="54" t="s">
        <v>485</v>
      </c>
      <c r="I598" s="43">
        <f>'01_PARÂMETROS'!$B$9</f>
        <v>50</v>
      </c>
      <c r="J598" s="44">
        <f t="shared" si="28"/>
        <v>1.1499999999999999</v>
      </c>
      <c r="K598" s="45">
        <f>MAX('01_PARÂMETROS'!$B$11,MIN('01_PARÂMETROS'!$B$12,J598))</f>
        <v>1.1499999999999999</v>
      </c>
      <c r="L598" s="46">
        <f t="shared" si="27"/>
        <v>0.14999999999999991</v>
      </c>
      <c r="M598" s="47" t="str">
        <f>IF(K598&lt;='01_PARÂMETROS'!$B$14,"Preferencial",IF(K598&lt;='01_PARÂMETROS'!$B$15,"Baixo",IF(K598&lt;='01_PARÂMETROS'!$B$16,"Médio",IF(K598&lt;='01_PARÂMETROS'!$B$17,"Alto","Elevado"))))</f>
        <v>Alto</v>
      </c>
      <c r="N598" s="58" t="s">
        <v>486</v>
      </c>
      <c r="O598" s="61"/>
    </row>
    <row r="599" spans="1:15" ht="13.5" customHeight="1" x14ac:dyDescent="0.25">
      <c r="A599" s="24" t="s">
        <v>1531</v>
      </c>
      <c r="B599" s="38" t="s">
        <v>1516</v>
      </c>
      <c r="C599" s="25" t="s">
        <v>1532</v>
      </c>
      <c r="D599" s="39" t="s">
        <v>1518</v>
      </c>
      <c r="E599" s="64" t="s">
        <v>566</v>
      </c>
      <c r="F599" s="54" t="s">
        <v>485</v>
      </c>
      <c r="G599" s="54" t="s">
        <v>485</v>
      </c>
      <c r="H599" s="54" t="s">
        <v>485</v>
      </c>
      <c r="I599" s="43">
        <f>'01_PARÂMETROS'!$B$9</f>
        <v>50</v>
      </c>
      <c r="J599" s="44">
        <f t="shared" si="28"/>
        <v>1.1499999999999999</v>
      </c>
      <c r="K599" s="45">
        <f>MAX('01_PARÂMETROS'!$B$11,MIN('01_PARÂMETROS'!$B$12,J599))</f>
        <v>1.1499999999999999</v>
      </c>
      <c r="L599" s="46">
        <f t="shared" si="27"/>
        <v>0.14999999999999991</v>
      </c>
      <c r="M599" s="47" t="str">
        <f>IF(K599&lt;='01_PARÂMETROS'!$B$14,"Preferencial",IF(K599&lt;='01_PARÂMETROS'!$B$15,"Baixo",IF(K599&lt;='01_PARÂMETROS'!$B$16,"Médio",IF(K599&lt;='01_PARÂMETROS'!$B$17,"Alto","Elevado"))))</f>
        <v>Alto</v>
      </c>
      <c r="N599" s="58" t="s">
        <v>486</v>
      </c>
      <c r="O599" s="54"/>
    </row>
    <row r="600" spans="1:15" ht="13.5" customHeight="1" x14ac:dyDescent="0.25">
      <c r="A600" s="13" t="s">
        <v>1533</v>
      </c>
      <c r="B600" s="49" t="s">
        <v>1534</v>
      </c>
      <c r="C600" s="14" t="s">
        <v>1535</v>
      </c>
      <c r="D600" s="50" t="s">
        <v>1536</v>
      </c>
      <c r="E600" s="40" t="s">
        <v>477</v>
      </c>
      <c r="F600" s="54" t="s">
        <v>485</v>
      </c>
      <c r="G600" s="54" t="s">
        <v>485</v>
      </c>
      <c r="H600" s="54" t="s">
        <v>485</v>
      </c>
      <c r="I600" s="43">
        <f>'01_PARÂMETROS'!$B$9</f>
        <v>50</v>
      </c>
      <c r="J600" s="44">
        <f>1</f>
        <v>1</v>
      </c>
      <c r="K600" s="55">
        <f>MAX('01_PARÂMETROS'!$B$11,MIN('01_PARÂMETROS'!$B$12,J600))</f>
        <v>1</v>
      </c>
      <c r="L600" s="56">
        <f t="shared" si="27"/>
        <v>0</v>
      </c>
      <c r="M600" s="57" t="str">
        <f>IF(K600&lt;='01_PARÂMETROS'!$B$14,"Preferencial",IF(K600&lt;='01_PARÂMETROS'!$B$15,"Baixo",IF(K600&lt;='01_PARÂMETROS'!$B$16,"Médio",IF(K600&lt;='01_PARÂMETROS'!$B$17,"Alto","Elevado"))))</f>
        <v>Médio</v>
      </c>
      <c r="N600" s="58" t="s">
        <v>486</v>
      </c>
      <c r="O600" s="61"/>
    </row>
    <row r="601" spans="1:15" ht="13.5" customHeight="1" x14ac:dyDescent="0.25">
      <c r="A601" s="24" t="s">
        <v>1537</v>
      </c>
      <c r="B601" s="38" t="s">
        <v>1534</v>
      </c>
      <c r="C601" s="25" t="s">
        <v>1538</v>
      </c>
      <c r="D601" s="39" t="s">
        <v>1536</v>
      </c>
      <c r="E601" s="40" t="s">
        <v>477</v>
      </c>
      <c r="F601" s="54" t="s">
        <v>485</v>
      </c>
      <c r="G601" s="54" t="s">
        <v>485</v>
      </c>
      <c r="H601" s="54" t="s">
        <v>485</v>
      </c>
      <c r="I601" s="43">
        <f>'01_PARÂMETROS'!$B$9</f>
        <v>50</v>
      </c>
      <c r="J601" s="44">
        <f>1</f>
        <v>1</v>
      </c>
      <c r="K601" s="55">
        <f>MAX('01_PARÂMETROS'!$B$11,MIN('01_PARÂMETROS'!$B$12,J601))</f>
        <v>1</v>
      </c>
      <c r="L601" s="56">
        <f t="shared" si="27"/>
        <v>0</v>
      </c>
      <c r="M601" s="57" t="str">
        <f>IF(K601&lt;='01_PARÂMETROS'!$B$14,"Preferencial",IF(K601&lt;='01_PARÂMETROS'!$B$15,"Baixo",IF(K601&lt;='01_PARÂMETROS'!$B$16,"Médio",IF(K601&lt;='01_PARÂMETROS'!$B$17,"Alto","Elevado"))))</f>
        <v>Médio</v>
      </c>
      <c r="N601" s="58" t="s">
        <v>486</v>
      </c>
      <c r="O601" s="54"/>
    </row>
    <row r="602" spans="1:15" ht="13.5" customHeight="1" x14ac:dyDescent="0.25">
      <c r="A602" s="13" t="s">
        <v>1539</v>
      </c>
      <c r="B602" s="49" t="s">
        <v>1534</v>
      </c>
      <c r="C602" s="14" t="s">
        <v>1540</v>
      </c>
      <c r="D602" s="50" t="s">
        <v>1541</v>
      </c>
      <c r="E602" s="64" t="s">
        <v>566</v>
      </c>
      <c r="F602" s="54" t="s">
        <v>485</v>
      </c>
      <c r="G602" s="54" t="s">
        <v>485</v>
      </c>
      <c r="H602" s="54" t="s">
        <v>485</v>
      </c>
      <c r="I602" s="43">
        <f>'01_PARÂMETROS'!$B$9</f>
        <v>50</v>
      </c>
      <c r="J602" s="44">
        <f t="shared" ref="J602:J613" si="29">1.15</f>
        <v>1.1499999999999999</v>
      </c>
      <c r="K602" s="45">
        <f>MAX('01_PARÂMETROS'!$B$11,MIN('01_PARÂMETROS'!$B$12,J602))</f>
        <v>1.1499999999999999</v>
      </c>
      <c r="L602" s="46">
        <f t="shared" si="27"/>
        <v>0.14999999999999991</v>
      </c>
      <c r="M602" s="47" t="str">
        <f>IF(K602&lt;='01_PARÂMETROS'!$B$14,"Preferencial",IF(K602&lt;='01_PARÂMETROS'!$B$15,"Baixo",IF(K602&lt;='01_PARÂMETROS'!$B$16,"Médio",IF(K602&lt;='01_PARÂMETROS'!$B$17,"Alto","Elevado"))))</f>
        <v>Alto</v>
      </c>
      <c r="N602" s="58" t="s">
        <v>486</v>
      </c>
      <c r="O602" s="61"/>
    </row>
    <row r="603" spans="1:15" ht="13.5" customHeight="1" x14ac:dyDescent="0.25">
      <c r="A603" s="24" t="s">
        <v>1542</v>
      </c>
      <c r="B603" s="38" t="s">
        <v>1534</v>
      </c>
      <c r="C603" s="25" t="s">
        <v>1543</v>
      </c>
      <c r="D603" s="39" t="s">
        <v>1541</v>
      </c>
      <c r="E603" s="64" t="s">
        <v>566</v>
      </c>
      <c r="F603" s="54" t="s">
        <v>485</v>
      </c>
      <c r="G603" s="54" t="s">
        <v>485</v>
      </c>
      <c r="H603" s="54" t="s">
        <v>485</v>
      </c>
      <c r="I603" s="43">
        <f>'01_PARÂMETROS'!$B$9</f>
        <v>50</v>
      </c>
      <c r="J603" s="44">
        <f t="shared" si="29"/>
        <v>1.1499999999999999</v>
      </c>
      <c r="K603" s="45">
        <f>MAX('01_PARÂMETROS'!$B$11,MIN('01_PARÂMETROS'!$B$12,J603))</f>
        <v>1.1499999999999999</v>
      </c>
      <c r="L603" s="46">
        <f t="shared" si="27"/>
        <v>0.14999999999999991</v>
      </c>
      <c r="M603" s="47" t="str">
        <f>IF(K603&lt;='01_PARÂMETROS'!$B$14,"Preferencial",IF(K603&lt;='01_PARÂMETROS'!$B$15,"Baixo",IF(K603&lt;='01_PARÂMETROS'!$B$16,"Médio",IF(K603&lt;='01_PARÂMETROS'!$B$17,"Alto","Elevado"))))</f>
        <v>Alto</v>
      </c>
      <c r="N603" s="58" t="s">
        <v>486</v>
      </c>
      <c r="O603" s="54"/>
    </row>
    <row r="604" spans="1:15" ht="13.5" customHeight="1" x14ac:dyDescent="0.25">
      <c r="A604" s="13" t="s">
        <v>1544</v>
      </c>
      <c r="B604" s="49" t="s">
        <v>1534</v>
      </c>
      <c r="C604" s="14" t="s">
        <v>1545</v>
      </c>
      <c r="D604" s="50" t="s">
        <v>1546</v>
      </c>
      <c r="E604" s="64" t="s">
        <v>566</v>
      </c>
      <c r="F604" s="54" t="s">
        <v>485</v>
      </c>
      <c r="G604" s="54" t="s">
        <v>485</v>
      </c>
      <c r="H604" s="54" t="s">
        <v>485</v>
      </c>
      <c r="I604" s="43">
        <f>'01_PARÂMETROS'!$B$9</f>
        <v>50</v>
      </c>
      <c r="J604" s="44">
        <f t="shared" si="29"/>
        <v>1.1499999999999999</v>
      </c>
      <c r="K604" s="45">
        <f>MAX('01_PARÂMETROS'!$B$11,MIN('01_PARÂMETROS'!$B$12,J604))</f>
        <v>1.1499999999999999</v>
      </c>
      <c r="L604" s="46">
        <f t="shared" si="27"/>
        <v>0.14999999999999991</v>
      </c>
      <c r="M604" s="47" t="str">
        <f>IF(K604&lt;='01_PARÂMETROS'!$B$14,"Preferencial",IF(K604&lt;='01_PARÂMETROS'!$B$15,"Baixo",IF(K604&lt;='01_PARÂMETROS'!$B$16,"Médio",IF(K604&lt;='01_PARÂMETROS'!$B$17,"Alto","Elevado"))))</f>
        <v>Alto</v>
      </c>
      <c r="N604" s="58" t="s">
        <v>486</v>
      </c>
      <c r="O604" s="61"/>
    </row>
    <row r="605" spans="1:15" ht="13.5" customHeight="1" x14ac:dyDescent="0.25">
      <c r="A605" s="24" t="s">
        <v>1547</v>
      </c>
      <c r="B605" s="38" t="s">
        <v>1534</v>
      </c>
      <c r="C605" s="25" t="s">
        <v>1548</v>
      </c>
      <c r="D605" s="39" t="s">
        <v>1546</v>
      </c>
      <c r="E605" s="64" t="s">
        <v>566</v>
      </c>
      <c r="F605" s="54" t="s">
        <v>485</v>
      </c>
      <c r="G605" s="54" t="s">
        <v>485</v>
      </c>
      <c r="H605" s="54" t="s">
        <v>485</v>
      </c>
      <c r="I605" s="43">
        <f>'01_PARÂMETROS'!$B$9</f>
        <v>50</v>
      </c>
      <c r="J605" s="44">
        <f t="shared" si="29"/>
        <v>1.1499999999999999</v>
      </c>
      <c r="K605" s="45">
        <f>MAX('01_PARÂMETROS'!$B$11,MIN('01_PARÂMETROS'!$B$12,J605))</f>
        <v>1.1499999999999999</v>
      </c>
      <c r="L605" s="46">
        <f t="shared" si="27"/>
        <v>0.14999999999999991</v>
      </c>
      <c r="M605" s="47" t="str">
        <f>IF(K605&lt;='01_PARÂMETROS'!$B$14,"Preferencial",IF(K605&lt;='01_PARÂMETROS'!$B$15,"Baixo",IF(K605&lt;='01_PARÂMETROS'!$B$16,"Médio",IF(K605&lt;='01_PARÂMETROS'!$B$17,"Alto","Elevado"))))</f>
        <v>Alto</v>
      </c>
      <c r="N605" s="58" t="s">
        <v>486</v>
      </c>
      <c r="O605" s="54"/>
    </row>
    <row r="606" spans="1:15" ht="13.5" customHeight="1" x14ac:dyDescent="0.25">
      <c r="A606" s="13" t="s">
        <v>1549</v>
      </c>
      <c r="B606" s="49" t="s">
        <v>1534</v>
      </c>
      <c r="C606" s="14" t="s">
        <v>1550</v>
      </c>
      <c r="D606" s="50" t="s">
        <v>1546</v>
      </c>
      <c r="E606" s="64" t="s">
        <v>566</v>
      </c>
      <c r="F606" s="54" t="s">
        <v>485</v>
      </c>
      <c r="G606" s="54" t="s">
        <v>485</v>
      </c>
      <c r="H606" s="54" t="s">
        <v>485</v>
      </c>
      <c r="I606" s="43">
        <f>'01_PARÂMETROS'!$B$9</f>
        <v>50</v>
      </c>
      <c r="J606" s="44">
        <f t="shared" si="29"/>
        <v>1.1499999999999999</v>
      </c>
      <c r="K606" s="45">
        <f>MAX('01_PARÂMETROS'!$B$11,MIN('01_PARÂMETROS'!$B$12,J606))</f>
        <v>1.1499999999999999</v>
      </c>
      <c r="L606" s="46">
        <f t="shared" si="27"/>
        <v>0.14999999999999991</v>
      </c>
      <c r="M606" s="47" t="str">
        <f>IF(K606&lt;='01_PARÂMETROS'!$B$14,"Preferencial",IF(K606&lt;='01_PARÂMETROS'!$B$15,"Baixo",IF(K606&lt;='01_PARÂMETROS'!$B$16,"Médio",IF(K606&lt;='01_PARÂMETROS'!$B$17,"Alto","Elevado"))))</f>
        <v>Alto</v>
      </c>
      <c r="N606" s="58" t="s">
        <v>486</v>
      </c>
      <c r="O606" s="61"/>
    </row>
    <row r="607" spans="1:15" ht="13.5" customHeight="1" x14ac:dyDescent="0.25">
      <c r="A607" s="24" t="s">
        <v>1551</v>
      </c>
      <c r="B607" s="38" t="s">
        <v>1534</v>
      </c>
      <c r="C607" s="25" t="s">
        <v>1552</v>
      </c>
      <c r="D607" s="39" t="s">
        <v>1546</v>
      </c>
      <c r="E607" s="64" t="s">
        <v>566</v>
      </c>
      <c r="F607" s="54" t="s">
        <v>485</v>
      </c>
      <c r="G607" s="54" t="s">
        <v>485</v>
      </c>
      <c r="H607" s="54" t="s">
        <v>485</v>
      </c>
      <c r="I607" s="43">
        <f>'01_PARÂMETROS'!$B$9</f>
        <v>50</v>
      </c>
      <c r="J607" s="44">
        <f t="shared" si="29"/>
        <v>1.1499999999999999</v>
      </c>
      <c r="K607" s="45">
        <f>MAX('01_PARÂMETROS'!$B$11,MIN('01_PARÂMETROS'!$B$12,J607))</f>
        <v>1.1499999999999999</v>
      </c>
      <c r="L607" s="46">
        <f t="shared" si="27"/>
        <v>0.14999999999999991</v>
      </c>
      <c r="M607" s="47" t="str">
        <f>IF(K607&lt;='01_PARÂMETROS'!$B$14,"Preferencial",IF(K607&lt;='01_PARÂMETROS'!$B$15,"Baixo",IF(K607&lt;='01_PARÂMETROS'!$B$16,"Médio",IF(K607&lt;='01_PARÂMETROS'!$B$17,"Alto","Elevado"))))</f>
        <v>Alto</v>
      </c>
      <c r="N607" s="58" t="s">
        <v>486</v>
      </c>
      <c r="O607" s="54"/>
    </row>
    <row r="608" spans="1:15" ht="13.5" customHeight="1" x14ac:dyDescent="0.25">
      <c r="A608" s="13" t="s">
        <v>1553</v>
      </c>
      <c r="B608" s="49" t="s">
        <v>1534</v>
      </c>
      <c r="C608" s="14" t="s">
        <v>1554</v>
      </c>
      <c r="D608" s="50" t="s">
        <v>1546</v>
      </c>
      <c r="E608" s="64" t="s">
        <v>566</v>
      </c>
      <c r="F608" s="54" t="s">
        <v>485</v>
      </c>
      <c r="G608" s="54" t="s">
        <v>485</v>
      </c>
      <c r="H608" s="54" t="s">
        <v>485</v>
      </c>
      <c r="I608" s="43">
        <f>'01_PARÂMETROS'!$B$9</f>
        <v>50</v>
      </c>
      <c r="J608" s="44">
        <f t="shared" si="29"/>
        <v>1.1499999999999999</v>
      </c>
      <c r="K608" s="45">
        <f>MAX('01_PARÂMETROS'!$B$11,MIN('01_PARÂMETROS'!$B$12,J608))</f>
        <v>1.1499999999999999</v>
      </c>
      <c r="L608" s="46">
        <f t="shared" si="27"/>
        <v>0.14999999999999991</v>
      </c>
      <c r="M608" s="47" t="str">
        <f>IF(K608&lt;='01_PARÂMETROS'!$B$14,"Preferencial",IF(K608&lt;='01_PARÂMETROS'!$B$15,"Baixo",IF(K608&lt;='01_PARÂMETROS'!$B$16,"Médio",IF(K608&lt;='01_PARÂMETROS'!$B$17,"Alto","Elevado"))))</f>
        <v>Alto</v>
      </c>
      <c r="N608" s="58" t="s">
        <v>486</v>
      </c>
      <c r="O608" s="61"/>
    </row>
    <row r="609" spans="1:15" ht="13.5" customHeight="1" x14ac:dyDescent="0.25">
      <c r="A609" s="24" t="s">
        <v>1555</v>
      </c>
      <c r="B609" s="38" t="s">
        <v>1534</v>
      </c>
      <c r="C609" s="25" t="s">
        <v>1556</v>
      </c>
      <c r="D609" s="39" t="s">
        <v>1546</v>
      </c>
      <c r="E609" s="64" t="s">
        <v>566</v>
      </c>
      <c r="F609" s="54" t="s">
        <v>485</v>
      </c>
      <c r="G609" s="54" t="s">
        <v>485</v>
      </c>
      <c r="H609" s="54" t="s">
        <v>485</v>
      </c>
      <c r="I609" s="43">
        <f>'01_PARÂMETROS'!$B$9</f>
        <v>50</v>
      </c>
      <c r="J609" s="44">
        <f t="shared" si="29"/>
        <v>1.1499999999999999</v>
      </c>
      <c r="K609" s="45">
        <f>MAX('01_PARÂMETROS'!$B$11,MIN('01_PARÂMETROS'!$B$12,J609))</f>
        <v>1.1499999999999999</v>
      </c>
      <c r="L609" s="46">
        <f t="shared" si="27"/>
        <v>0.14999999999999991</v>
      </c>
      <c r="M609" s="47" t="str">
        <f>IF(K609&lt;='01_PARÂMETROS'!$B$14,"Preferencial",IF(K609&lt;='01_PARÂMETROS'!$B$15,"Baixo",IF(K609&lt;='01_PARÂMETROS'!$B$16,"Médio",IF(K609&lt;='01_PARÂMETROS'!$B$17,"Alto","Elevado"))))</f>
        <v>Alto</v>
      </c>
      <c r="N609" s="58" t="s">
        <v>486</v>
      </c>
      <c r="O609" s="54"/>
    </row>
    <row r="610" spans="1:15" ht="13.5" customHeight="1" x14ac:dyDescent="0.25">
      <c r="A610" s="13" t="s">
        <v>1557</v>
      </c>
      <c r="B610" s="49" t="s">
        <v>1534</v>
      </c>
      <c r="C610" s="14" t="s">
        <v>1558</v>
      </c>
      <c r="D610" s="50" t="s">
        <v>1546</v>
      </c>
      <c r="E610" s="64" t="s">
        <v>566</v>
      </c>
      <c r="F610" s="54" t="s">
        <v>485</v>
      </c>
      <c r="G610" s="54" t="s">
        <v>485</v>
      </c>
      <c r="H610" s="54" t="s">
        <v>485</v>
      </c>
      <c r="I610" s="43">
        <f>'01_PARÂMETROS'!$B$9</f>
        <v>50</v>
      </c>
      <c r="J610" s="44">
        <f t="shared" si="29"/>
        <v>1.1499999999999999</v>
      </c>
      <c r="K610" s="45">
        <f>MAX('01_PARÂMETROS'!$B$11,MIN('01_PARÂMETROS'!$B$12,J610))</f>
        <v>1.1499999999999999</v>
      </c>
      <c r="L610" s="46">
        <f t="shared" si="27"/>
        <v>0.14999999999999991</v>
      </c>
      <c r="M610" s="47" t="str">
        <f>IF(K610&lt;='01_PARÂMETROS'!$B$14,"Preferencial",IF(K610&lt;='01_PARÂMETROS'!$B$15,"Baixo",IF(K610&lt;='01_PARÂMETROS'!$B$16,"Médio",IF(K610&lt;='01_PARÂMETROS'!$B$17,"Alto","Elevado"))))</f>
        <v>Alto</v>
      </c>
      <c r="N610" s="58" t="s">
        <v>486</v>
      </c>
      <c r="O610" s="61"/>
    </row>
    <row r="611" spans="1:15" ht="13.5" customHeight="1" x14ac:dyDescent="0.25">
      <c r="A611" s="24" t="s">
        <v>1559</v>
      </c>
      <c r="B611" s="38" t="s">
        <v>1534</v>
      </c>
      <c r="C611" s="25" t="s">
        <v>1560</v>
      </c>
      <c r="D611" s="39" t="s">
        <v>1546</v>
      </c>
      <c r="E611" s="64" t="s">
        <v>566</v>
      </c>
      <c r="F611" s="54" t="s">
        <v>485</v>
      </c>
      <c r="G611" s="54" t="s">
        <v>485</v>
      </c>
      <c r="H611" s="54" t="s">
        <v>485</v>
      </c>
      <c r="I611" s="43">
        <f>'01_PARÂMETROS'!$B$9</f>
        <v>50</v>
      </c>
      <c r="J611" s="44">
        <f t="shared" si="29"/>
        <v>1.1499999999999999</v>
      </c>
      <c r="K611" s="45">
        <f>MAX('01_PARÂMETROS'!$B$11,MIN('01_PARÂMETROS'!$B$12,J611))</f>
        <v>1.1499999999999999</v>
      </c>
      <c r="L611" s="46">
        <f t="shared" si="27"/>
        <v>0.14999999999999991</v>
      </c>
      <c r="M611" s="47" t="str">
        <f>IF(K611&lt;='01_PARÂMETROS'!$B$14,"Preferencial",IF(K611&lt;='01_PARÂMETROS'!$B$15,"Baixo",IF(K611&lt;='01_PARÂMETROS'!$B$16,"Médio",IF(K611&lt;='01_PARÂMETROS'!$B$17,"Alto","Elevado"))))</f>
        <v>Alto</v>
      </c>
      <c r="N611" s="58" t="s">
        <v>486</v>
      </c>
      <c r="O611" s="54"/>
    </row>
    <row r="612" spans="1:15" ht="13.5" customHeight="1" x14ac:dyDescent="0.25">
      <c r="A612" s="13" t="s">
        <v>1561</v>
      </c>
      <c r="B612" s="49" t="s">
        <v>1534</v>
      </c>
      <c r="C612" s="14" t="s">
        <v>1562</v>
      </c>
      <c r="D612" s="50" t="s">
        <v>1546</v>
      </c>
      <c r="E612" s="64" t="s">
        <v>566</v>
      </c>
      <c r="F612" s="54" t="s">
        <v>485</v>
      </c>
      <c r="G612" s="54" t="s">
        <v>485</v>
      </c>
      <c r="H612" s="54" t="s">
        <v>485</v>
      </c>
      <c r="I612" s="43">
        <f>'01_PARÂMETROS'!$B$9</f>
        <v>50</v>
      </c>
      <c r="J612" s="44">
        <f t="shared" si="29"/>
        <v>1.1499999999999999</v>
      </c>
      <c r="K612" s="45">
        <f>MAX('01_PARÂMETROS'!$B$11,MIN('01_PARÂMETROS'!$B$12,J612))</f>
        <v>1.1499999999999999</v>
      </c>
      <c r="L612" s="46">
        <f t="shared" si="27"/>
        <v>0.14999999999999991</v>
      </c>
      <c r="M612" s="47" t="str">
        <f>IF(K612&lt;='01_PARÂMETROS'!$B$14,"Preferencial",IF(K612&lt;='01_PARÂMETROS'!$B$15,"Baixo",IF(K612&lt;='01_PARÂMETROS'!$B$16,"Médio",IF(K612&lt;='01_PARÂMETROS'!$B$17,"Alto","Elevado"))))</f>
        <v>Alto</v>
      </c>
      <c r="N612" s="58" t="s">
        <v>486</v>
      </c>
      <c r="O612" s="61"/>
    </row>
    <row r="613" spans="1:15" ht="13.5" customHeight="1" x14ac:dyDescent="0.25">
      <c r="A613" s="24" t="s">
        <v>1563</v>
      </c>
      <c r="B613" s="38" t="s">
        <v>1534</v>
      </c>
      <c r="C613" s="25" t="s">
        <v>1564</v>
      </c>
      <c r="D613" s="39" t="s">
        <v>1565</v>
      </c>
      <c r="E613" s="64" t="s">
        <v>566</v>
      </c>
      <c r="F613" s="54" t="s">
        <v>485</v>
      </c>
      <c r="G613" s="54" t="s">
        <v>485</v>
      </c>
      <c r="H613" s="54" t="s">
        <v>485</v>
      </c>
      <c r="I613" s="43">
        <f>'01_PARÂMETROS'!$B$9</f>
        <v>50</v>
      </c>
      <c r="J613" s="44">
        <f t="shared" si="29"/>
        <v>1.1499999999999999</v>
      </c>
      <c r="K613" s="45">
        <f>MAX('01_PARÂMETROS'!$B$11,MIN('01_PARÂMETROS'!$B$12,J613))</f>
        <v>1.1499999999999999</v>
      </c>
      <c r="L613" s="46">
        <f t="shared" si="27"/>
        <v>0.14999999999999991</v>
      </c>
      <c r="M613" s="47" t="str">
        <f>IF(K613&lt;='01_PARÂMETROS'!$B$14,"Preferencial",IF(K613&lt;='01_PARÂMETROS'!$B$15,"Baixo",IF(K613&lt;='01_PARÂMETROS'!$B$16,"Médio",IF(K613&lt;='01_PARÂMETROS'!$B$17,"Alto","Elevado"))))</f>
        <v>Alto</v>
      </c>
      <c r="N613" s="58" t="s">
        <v>486</v>
      </c>
      <c r="O613" s="54"/>
    </row>
    <row r="614" spans="1:15" ht="13.5" customHeight="1" x14ac:dyDescent="0.25">
      <c r="A614" s="13" t="s">
        <v>1566</v>
      </c>
      <c r="B614" s="49" t="s">
        <v>1567</v>
      </c>
      <c r="C614" s="14" t="s">
        <v>1568</v>
      </c>
      <c r="D614" s="50" t="s">
        <v>1569</v>
      </c>
      <c r="E614" s="65" t="s">
        <v>841</v>
      </c>
      <c r="F614" s="54" t="s">
        <v>485</v>
      </c>
      <c r="G614" s="54" t="s">
        <v>485</v>
      </c>
      <c r="H614" s="54" t="s">
        <v>485</v>
      </c>
      <c r="I614" s="43">
        <f>'01_PARÂMETROS'!$B$9</f>
        <v>50</v>
      </c>
      <c r="J614" s="44">
        <f>0.9</f>
        <v>0.9</v>
      </c>
      <c r="K614" s="62">
        <f>MAX('01_PARÂMETROS'!$B$11,MIN('01_PARÂMETROS'!$B$12,J614))</f>
        <v>0.9</v>
      </c>
      <c r="L614" s="63">
        <f t="shared" si="27"/>
        <v>-9.9999999999999978E-2</v>
      </c>
      <c r="M614" s="17" t="str">
        <f>IF(K614&lt;='01_PARÂMETROS'!$B$14,"Preferencial",IF(K614&lt;='01_PARÂMETROS'!$B$15,"Baixo",IF(K614&lt;='01_PARÂMETROS'!$B$16,"Médio",IF(K614&lt;='01_PARÂMETROS'!$B$17,"Alto","Elevado"))))</f>
        <v>Baixo</v>
      </c>
      <c r="N614" s="58" t="s">
        <v>486</v>
      </c>
      <c r="O614" s="61"/>
    </row>
    <row r="615" spans="1:15" ht="13.5" customHeight="1" x14ac:dyDescent="0.25">
      <c r="A615" s="24" t="s">
        <v>1570</v>
      </c>
      <c r="B615" s="38" t="s">
        <v>1567</v>
      </c>
      <c r="C615" s="25" t="s">
        <v>1571</v>
      </c>
      <c r="D615" s="39" t="s">
        <v>1569</v>
      </c>
      <c r="E615" s="64" t="s">
        <v>566</v>
      </c>
      <c r="F615" s="54" t="s">
        <v>485</v>
      </c>
      <c r="G615" s="54" t="s">
        <v>485</v>
      </c>
      <c r="H615" s="54" t="s">
        <v>485</v>
      </c>
      <c r="I615" s="43">
        <f>'01_PARÂMETROS'!$B$9</f>
        <v>50</v>
      </c>
      <c r="J615" s="44">
        <f t="shared" ref="J615:J660" si="30">1.15</f>
        <v>1.1499999999999999</v>
      </c>
      <c r="K615" s="45">
        <f>MAX('01_PARÂMETROS'!$B$11,MIN('01_PARÂMETROS'!$B$12,J615))</f>
        <v>1.1499999999999999</v>
      </c>
      <c r="L615" s="46">
        <f t="shared" si="27"/>
        <v>0.14999999999999991</v>
      </c>
      <c r="M615" s="47" t="str">
        <f>IF(K615&lt;='01_PARÂMETROS'!$B$14,"Preferencial",IF(K615&lt;='01_PARÂMETROS'!$B$15,"Baixo",IF(K615&lt;='01_PARÂMETROS'!$B$16,"Médio",IF(K615&lt;='01_PARÂMETROS'!$B$17,"Alto","Elevado"))))</f>
        <v>Alto</v>
      </c>
      <c r="N615" s="58" t="s">
        <v>486</v>
      </c>
      <c r="O615" s="54"/>
    </row>
    <row r="616" spans="1:15" ht="13.5" customHeight="1" x14ac:dyDescent="0.25">
      <c r="A616" s="13" t="s">
        <v>1572</v>
      </c>
      <c r="B616" s="49" t="s">
        <v>1567</v>
      </c>
      <c r="C616" s="14" t="s">
        <v>1573</v>
      </c>
      <c r="D616" s="50" t="s">
        <v>1574</v>
      </c>
      <c r="E616" s="64" t="s">
        <v>566</v>
      </c>
      <c r="F616" s="54" t="s">
        <v>485</v>
      </c>
      <c r="G616" s="54" t="s">
        <v>485</v>
      </c>
      <c r="H616" s="54" t="s">
        <v>485</v>
      </c>
      <c r="I616" s="43">
        <f>'01_PARÂMETROS'!$B$9</f>
        <v>50</v>
      </c>
      <c r="J616" s="44">
        <f t="shared" si="30"/>
        <v>1.1499999999999999</v>
      </c>
      <c r="K616" s="45">
        <f>MAX('01_PARÂMETROS'!$B$11,MIN('01_PARÂMETROS'!$B$12,J616))</f>
        <v>1.1499999999999999</v>
      </c>
      <c r="L616" s="46">
        <f t="shared" si="27"/>
        <v>0.14999999999999991</v>
      </c>
      <c r="M616" s="47" t="str">
        <f>IF(K616&lt;='01_PARÂMETROS'!$B$14,"Preferencial",IF(K616&lt;='01_PARÂMETROS'!$B$15,"Baixo",IF(K616&lt;='01_PARÂMETROS'!$B$16,"Médio",IF(K616&lt;='01_PARÂMETROS'!$B$17,"Alto","Elevado"))))</f>
        <v>Alto</v>
      </c>
      <c r="N616" s="58" t="s">
        <v>486</v>
      </c>
      <c r="O616" s="61"/>
    </row>
    <row r="617" spans="1:15" ht="13.5" customHeight="1" x14ac:dyDescent="0.25">
      <c r="A617" s="24" t="s">
        <v>1575</v>
      </c>
      <c r="B617" s="38" t="s">
        <v>1567</v>
      </c>
      <c r="C617" s="25" t="s">
        <v>1576</v>
      </c>
      <c r="D617" s="39" t="s">
        <v>1574</v>
      </c>
      <c r="E617" s="64" t="s">
        <v>566</v>
      </c>
      <c r="F617" s="54" t="s">
        <v>485</v>
      </c>
      <c r="G617" s="54" t="s">
        <v>485</v>
      </c>
      <c r="H617" s="54" t="s">
        <v>485</v>
      </c>
      <c r="I617" s="43">
        <f>'01_PARÂMETROS'!$B$9</f>
        <v>50</v>
      </c>
      <c r="J617" s="44">
        <f t="shared" si="30"/>
        <v>1.1499999999999999</v>
      </c>
      <c r="K617" s="45">
        <f>MAX('01_PARÂMETROS'!$B$11,MIN('01_PARÂMETROS'!$B$12,J617))</f>
        <v>1.1499999999999999</v>
      </c>
      <c r="L617" s="46">
        <f t="shared" si="27"/>
        <v>0.14999999999999991</v>
      </c>
      <c r="M617" s="47" t="str">
        <f>IF(K617&lt;='01_PARÂMETROS'!$B$14,"Preferencial",IF(K617&lt;='01_PARÂMETROS'!$B$15,"Baixo",IF(K617&lt;='01_PARÂMETROS'!$B$16,"Médio",IF(K617&lt;='01_PARÂMETROS'!$B$17,"Alto","Elevado"))))</f>
        <v>Alto</v>
      </c>
      <c r="N617" s="58" t="s">
        <v>486</v>
      </c>
      <c r="O617" s="54"/>
    </row>
    <row r="618" spans="1:15" ht="13.5" customHeight="1" x14ac:dyDescent="0.25">
      <c r="A618" s="13" t="s">
        <v>1577</v>
      </c>
      <c r="B618" s="49" t="s">
        <v>1567</v>
      </c>
      <c r="C618" s="14" t="s">
        <v>1578</v>
      </c>
      <c r="D618" s="50" t="s">
        <v>1574</v>
      </c>
      <c r="E618" s="64" t="s">
        <v>566</v>
      </c>
      <c r="F618" s="54" t="s">
        <v>485</v>
      </c>
      <c r="G618" s="54" t="s">
        <v>485</v>
      </c>
      <c r="H618" s="54" t="s">
        <v>485</v>
      </c>
      <c r="I618" s="43">
        <f>'01_PARÂMETROS'!$B$9</f>
        <v>50</v>
      </c>
      <c r="J618" s="44">
        <f t="shared" si="30"/>
        <v>1.1499999999999999</v>
      </c>
      <c r="K618" s="45">
        <f>MAX('01_PARÂMETROS'!$B$11,MIN('01_PARÂMETROS'!$B$12,J618))</f>
        <v>1.1499999999999999</v>
      </c>
      <c r="L618" s="46">
        <f t="shared" si="27"/>
        <v>0.14999999999999991</v>
      </c>
      <c r="M618" s="47" t="str">
        <f>IF(K618&lt;='01_PARÂMETROS'!$B$14,"Preferencial",IF(K618&lt;='01_PARÂMETROS'!$B$15,"Baixo",IF(K618&lt;='01_PARÂMETROS'!$B$16,"Médio",IF(K618&lt;='01_PARÂMETROS'!$B$17,"Alto","Elevado"))))</f>
        <v>Alto</v>
      </c>
      <c r="N618" s="58" t="s">
        <v>486</v>
      </c>
      <c r="O618" s="61"/>
    </row>
    <row r="619" spans="1:15" ht="13.5" customHeight="1" x14ac:dyDescent="0.25">
      <c r="A619" s="24" t="s">
        <v>1579</v>
      </c>
      <c r="B619" s="38" t="s">
        <v>1567</v>
      </c>
      <c r="C619" s="25" t="s">
        <v>1580</v>
      </c>
      <c r="D619" s="39" t="s">
        <v>1574</v>
      </c>
      <c r="E619" s="64" t="s">
        <v>566</v>
      </c>
      <c r="F619" s="54" t="s">
        <v>485</v>
      </c>
      <c r="G619" s="54" t="s">
        <v>485</v>
      </c>
      <c r="H619" s="54" t="s">
        <v>485</v>
      </c>
      <c r="I619" s="43">
        <f>'01_PARÂMETROS'!$B$9</f>
        <v>50</v>
      </c>
      <c r="J619" s="44">
        <f t="shared" si="30"/>
        <v>1.1499999999999999</v>
      </c>
      <c r="K619" s="45">
        <f>MAX('01_PARÂMETROS'!$B$11,MIN('01_PARÂMETROS'!$B$12,J619))</f>
        <v>1.1499999999999999</v>
      </c>
      <c r="L619" s="46">
        <f t="shared" si="27"/>
        <v>0.14999999999999991</v>
      </c>
      <c r="M619" s="47" t="str">
        <f>IF(K619&lt;='01_PARÂMETROS'!$B$14,"Preferencial",IF(K619&lt;='01_PARÂMETROS'!$B$15,"Baixo",IF(K619&lt;='01_PARÂMETROS'!$B$16,"Médio",IF(K619&lt;='01_PARÂMETROS'!$B$17,"Alto","Elevado"))))</f>
        <v>Alto</v>
      </c>
      <c r="N619" s="58" t="s">
        <v>486</v>
      </c>
      <c r="O619" s="54"/>
    </row>
    <row r="620" spans="1:15" ht="13.5" customHeight="1" x14ac:dyDescent="0.25">
      <c r="A620" s="13" t="s">
        <v>1581</v>
      </c>
      <c r="B620" s="49" t="s">
        <v>1567</v>
      </c>
      <c r="C620" s="14" t="s">
        <v>1582</v>
      </c>
      <c r="D620" s="50" t="s">
        <v>1574</v>
      </c>
      <c r="E620" s="64" t="s">
        <v>566</v>
      </c>
      <c r="F620" s="54" t="s">
        <v>485</v>
      </c>
      <c r="G620" s="54" t="s">
        <v>485</v>
      </c>
      <c r="H620" s="54" t="s">
        <v>485</v>
      </c>
      <c r="I620" s="43">
        <f>'01_PARÂMETROS'!$B$9</f>
        <v>50</v>
      </c>
      <c r="J620" s="44">
        <f t="shared" si="30"/>
        <v>1.1499999999999999</v>
      </c>
      <c r="K620" s="45">
        <f>MAX('01_PARÂMETROS'!$B$11,MIN('01_PARÂMETROS'!$B$12,J620))</f>
        <v>1.1499999999999999</v>
      </c>
      <c r="L620" s="46">
        <f t="shared" si="27"/>
        <v>0.14999999999999991</v>
      </c>
      <c r="M620" s="47" t="str">
        <f>IF(K620&lt;='01_PARÂMETROS'!$B$14,"Preferencial",IF(K620&lt;='01_PARÂMETROS'!$B$15,"Baixo",IF(K620&lt;='01_PARÂMETROS'!$B$16,"Médio",IF(K620&lt;='01_PARÂMETROS'!$B$17,"Alto","Elevado"))))</f>
        <v>Alto</v>
      </c>
      <c r="N620" s="58" t="s">
        <v>486</v>
      </c>
      <c r="O620" s="61"/>
    </row>
    <row r="621" spans="1:15" ht="13.5" customHeight="1" x14ac:dyDescent="0.25">
      <c r="A621" s="24" t="s">
        <v>1583</v>
      </c>
      <c r="B621" s="38" t="s">
        <v>1567</v>
      </c>
      <c r="C621" s="25" t="s">
        <v>1584</v>
      </c>
      <c r="D621" s="39" t="s">
        <v>1574</v>
      </c>
      <c r="E621" s="64" t="s">
        <v>566</v>
      </c>
      <c r="F621" s="54" t="s">
        <v>485</v>
      </c>
      <c r="G621" s="54" t="s">
        <v>485</v>
      </c>
      <c r="H621" s="54" t="s">
        <v>485</v>
      </c>
      <c r="I621" s="43">
        <f>'01_PARÂMETROS'!$B$9</f>
        <v>50</v>
      </c>
      <c r="J621" s="44">
        <f t="shared" si="30"/>
        <v>1.1499999999999999</v>
      </c>
      <c r="K621" s="45">
        <f>MAX('01_PARÂMETROS'!$B$11,MIN('01_PARÂMETROS'!$B$12,J621))</f>
        <v>1.1499999999999999</v>
      </c>
      <c r="L621" s="46">
        <f t="shared" si="27"/>
        <v>0.14999999999999991</v>
      </c>
      <c r="M621" s="47" t="str">
        <f>IF(K621&lt;='01_PARÂMETROS'!$B$14,"Preferencial",IF(K621&lt;='01_PARÂMETROS'!$B$15,"Baixo",IF(K621&lt;='01_PARÂMETROS'!$B$16,"Médio",IF(K621&lt;='01_PARÂMETROS'!$B$17,"Alto","Elevado"))))</f>
        <v>Alto</v>
      </c>
      <c r="N621" s="58" t="s">
        <v>486</v>
      </c>
      <c r="O621" s="54"/>
    </row>
    <row r="622" spans="1:15" ht="13.5" customHeight="1" x14ac:dyDescent="0.25">
      <c r="A622" s="13" t="s">
        <v>1585</v>
      </c>
      <c r="B622" s="49" t="s">
        <v>1567</v>
      </c>
      <c r="C622" s="14" t="s">
        <v>1586</v>
      </c>
      <c r="D622" s="50" t="s">
        <v>1574</v>
      </c>
      <c r="E622" s="64" t="s">
        <v>566</v>
      </c>
      <c r="F622" s="54" t="s">
        <v>485</v>
      </c>
      <c r="G622" s="54" t="s">
        <v>485</v>
      </c>
      <c r="H622" s="54" t="s">
        <v>485</v>
      </c>
      <c r="I622" s="43">
        <f>'01_PARÂMETROS'!$B$9</f>
        <v>50</v>
      </c>
      <c r="J622" s="44">
        <f t="shared" si="30"/>
        <v>1.1499999999999999</v>
      </c>
      <c r="K622" s="45">
        <f>MAX('01_PARÂMETROS'!$B$11,MIN('01_PARÂMETROS'!$B$12,J622))</f>
        <v>1.1499999999999999</v>
      </c>
      <c r="L622" s="46">
        <f t="shared" si="27"/>
        <v>0.14999999999999991</v>
      </c>
      <c r="M622" s="47" t="str">
        <f>IF(K622&lt;='01_PARÂMETROS'!$B$14,"Preferencial",IF(K622&lt;='01_PARÂMETROS'!$B$15,"Baixo",IF(K622&lt;='01_PARÂMETROS'!$B$16,"Médio",IF(K622&lt;='01_PARÂMETROS'!$B$17,"Alto","Elevado"))))</f>
        <v>Alto</v>
      </c>
      <c r="N622" s="58" t="s">
        <v>486</v>
      </c>
      <c r="O622" s="61"/>
    </row>
    <row r="623" spans="1:15" ht="13.5" customHeight="1" x14ac:dyDescent="0.25">
      <c r="A623" s="24" t="s">
        <v>1587</v>
      </c>
      <c r="B623" s="38" t="s">
        <v>1567</v>
      </c>
      <c r="C623" s="25" t="s">
        <v>1588</v>
      </c>
      <c r="D623" s="39" t="s">
        <v>1574</v>
      </c>
      <c r="E623" s="64" t="s">
        <v>566</v>
      </c>
      <c r="F623" s="54" t="s">
        <v>485</v>
      </c>
      <c r="G623" s="54" t="s">
        <v>485</v>
      </c>
      <c r="H623" s="54" t="s">
        <v>485</v>
      </c>
      <c r="I623" s="43">
        <f>'01_PARÂMETROS'!$B$9</f>
        <v>50</v>
      </c>
      <c r="J623" s="44">
        <f t="shared" si="30"/>
        <v>1.1499999999999999</v>
      </c>
      <c r="K623" s="45">
        <f>MAX('01_PARÂMETROS'!$B$11,MIN('01_PARÂMETROS'!$B$12,J623))</f>
        <v>1.1499999999999999</v>
      </c>
      <c r="L623" s="46">
        <f t="shared" si="27"/>
        <v>0.14999999999999991</v>
      </c>
      <c r="M623" s="47" t="str">
        <f>IF(K623&lt;='01_PARÂMETROS'!$B$14,"Preferencial",IF(K623&lt;='01_PARÂMETROS'!$B$15,"Baixo",IF(K623&lt;='01_PARÂMETROS'!$B$16,"Médio",IF(K623&lt;='01_PARÂMETROS'!$B$17,"Alto","Elevado"))))</f>
        <v>Alto</v>
      </c>
      <c r="N623" s="58" t="s">
        <v>486</v>
      </c>
      <c r="O623" s="54"/>
    </row>
    <row r="624" spans="1:15" ht="13.5" customHeight="1" x14ac:dyDescent="0.25">
      <c r="A624" s="13" t="s">
        <v>1589</v>
      </c>
      <c r="B624" s="49" t="s">
        <v>1567</v>
      </c>
      <c r="C624" s="14" t="s">
        <v>1590</v>
      </c>
      <c r="D624" s="50" t="s">
        <v>1574</v>
      </c>
      <c r="E624" s="64" t="s">
        <v>566</v>
      </c>
      <c r="F624" s="54" t="s">
        <v>485</v>
      </c>
      <c r="G624" s="54" t="s">
        <v>485</v>
      </c>
      <c r="H624" s="54" t="s">
        <v>485</v>
      </c>
      <c r="I624" s="43">
        <f>'01_PARÂMETROS'!$B$9</f>
        <v>50</v>
      </c>
      <c r="J624" s="44">
        <f t="shared" si="30"/>
        <v>1.1499999999999999</v>
      </c>
      <c r="K624" s="45">
        <f>MAX('01_PARÂMETROS'!$B$11,MIN('01_PARÂMETROS'!$B$12,J624))</f>
        <v>1.1499999999999999</v>
      </c>
      <c r="L624" s="46">
        <f t="shared" si="27"/>
        <v>0.14999999999999991</v>
      </c>
      <c r="M624" s="47" t="str">
        <f>IF(K624&lt;='01_PARÂMETROS'!$B$14,"Preferencial",IF(K624&lt;='01_PARÂMETROS'!$B$15,"Baixo",IF(K624&lt;='01_PARÂMETROS'!$B$16,"Médio",IF(K624&lt;='01_PARÂMETROS'!$B$17,"Alto","Elevado"))))</f>
        <v>Alto</v>
      </c>
      <c r="N624" s="58" t="s">
        <v>486</v>
      </c>
      <c r="O624" s="61"/>
    </row>
    <row r="625" spans="1:15" ht="13.5" customHeight="1" x14ac:dyDescent="0.25">
      <c r="A625" s="24" t="s">
        <v>1591</v>
      </c>
      <c r="B625" s="38" t="s">
        <v>1567</v>
      </c>
      <c r="C625" s="25" t="s">
        <v>1592</v>
      </c>
      <c r="D625" s="39" t="s">
        <v>1574</v>
      </c>
      <c r="E625" s="64" t="s">
        <v>566</v>
      </c>
      <c r="F625" s="54" t="s">
        <v>485</v>
      </c>
      <c r="G625" s="54" t="s">
        <v>485</v>
      </c>
      <c r="H625" s="54" t="s">
        <v>485</v>
      </c>
      <c r="I625" s="43">
        <f>'01_PARÂMETROS'!$B$9</f>
        <v>50</v>
      </c>
      <c r="J625" s="44">
        <f t="shared" si="30"/>
        <v>1.1499999999999999</v>
      </c>
      <c r="K625" s="45">
        <f>MAX('01_PARÂMETROS'!$B$11,MIN('01_PARÂMETROS'!$B$12,J625))</f>
        <v>1.1499999999999999</v>
      </c>
      <c r="L625" s="46">
        <f t="shared" si="27"/>
        <v>0.14999999999999991</v>
      </c>
      <c r="M625" s="47" t="str">
        <f>IF(K625&lt;='01_PARÂMETROS'!$B$14,"Preferencial",IF(K625&lt;='01_PARÂMETROS'!$B$15,"Baixo",IF(K625&lt;='01_PARÂMETROS'!$B$16,"Médio",IF(K625&lt;='01_PARÂMETROS'!$B$17,"Alto","Elevado"))))</f>
        <v>Alto</v>
      </c>
      <c r="N625" s="58" t="s">
        <v>486</v>
      </c>
      <c r="O625" s="54"/>
    </row>
    <row r="626" spans="1:15" ht="13.5" customHeight="1" x14ac:dyDescent="0.25">
      <c r="A626" s="13" t="s">
        <v>1593</v>
      </c>
      <c r="B626" s="49" t="s">
        <v>1567</v>
      </c>
      <c r="C626" s="14" t="s">
        <v>1594</v>
      </c>
      <c r="D626" s="50" t="s">
        <v>1574</v>
      </c>
      <c r="E626" s="64" t="s">
        <v>566</v>
      </c>
      <c r="F626" s="54" t="s">
        <v>485</v>
      </c>
      <c r="G626" s="54" t="s">
        <v>485</v>
      </c>
      <c r="H626" s="54" t="s">
        <v>485</v>
      </c>
      <c r="I626" s="43">
        <f>'01_PARÂMETROS'!$B$9</f>
        <v>50</v>
      </c>
      <c r="J626" s="44">
        <f t="shared" si="30"/>
        <v>1.1499999999999999</v>
      </c>
      <c r="K626" s="45">
        <f>MAX('01_PARÂMETROS'!$B$11,MIN('01_PARÂMETROS'!$B$12,J626))</f>
        <v>1.1499999999999999</v>
      </c>
      <c r="L626" s="46">
        <f t="shared" si="27"/>
        <v>0.14999999999999991</v>
      </c>
      <c r="M626" s="47" t="str">
        <f>IF(K626&lt;='01_PARÂMETROS'!$B$14,"Preferencial",IF(K626&lt;='01_PARÂMETROS'!$B$15,"Baixo",IF(K626&lt;='01_PARÂMETROS'!$B$16,"Médio",IF(K626&lt;='01_PARÂMETROS'!$B$17,"Alto","Elevado"))))</f>
        <v>Alto</v>
      </c>
      <c r="N626" s="58" t="s">
        <v>486</v>
      </c>
      <c r="O626" s="61"/>
    </row>
    <row r="627" spans="1:15" ht="13.5" customHeight="1" x14ac:dyDescent="0.25">
      <c r="A627" s="24" t="s">
        <v>1595</v>
      </c>
      <c r="B627" s="38" t="s">
        <v>1567</v>
      </c>
      <c r="C627" s="25" t="s">
        <v>1596</v>
      </c>
      <c r="D627" s="39" t="s">
        <v>1574</v>
      </c>
      <c r="E627" s="64" t="s">
        <v>566</v>
      </c>
      <c r="F627" s="54" t="s">
        <v>485</v>
      </c>
      <c r="G627" s="54" t="s">
        <v>485</v>
      </c>
      <c r="H627" s="54" t="s">
        <v>485</v>
      </c>
      <c r="I627" s="43">
        <f>'01_PARÂMETROS'!$B$9</f>
        <v>50</v>
      </c>
      <c r="J627" s="44">
        <f t="shared" si="30"/>
        <v>1.1499999999999999</v>
      </c>
      <c r="K627" s="45">
        <f>MAX('01_PARÂMETROS'!$B$11,MIN('01_PARÂMETROS'!$B$12,J627))</f>
        <v>1.1499999999999999</v>
      </c>
      <c r="L627" s="46">
        <f t="shared" si="27"/>
        <v>0.14999999999999991</v>
      </c>
      <c r="M627" s="47" t="str">
        <f>IF(K627&lt;='01_PARÂMETROS'!$B$14,"Preferencial",IF(K627&lt;='01_PARÂMETROS'!$B$15,"Baixo",IF(K627&lt;='01_PARÂMETROS'!$B$16,"Médio",IF(K627&lt;='01_PARÂMETROS'!$B$17,"Alto","Elevado"))))</f>
        <v>Alto</v>
      </c>
      <c r="N627" s="58" t="s">
        <v>486</v>
      </c>
      <c r="O627" s="54"/>
    </row>
    <row r="628" spans="1:15" ht="13.5" customHeight="1" x14ac:dyDescent="0.25">
      <c r="A628" s="13" t="s">
        <v>1597</v>
      </c>
      <c r="B628" s="49" t="s">
        <v>1567</v>
      </c>
      <c r="C628" s="14" t="s">
        <v>1598</v>
      </c>
      <c r="D628" s="50" t="s">
        <v>1574</v>
      </c>
      <c r="E628" s="64" t="s">
        <v>566</v>
      </c>
      <c r="F628" s="54" t="s">
        <v>485</v>
      </c>
      <c r="G628" s="54" t="s">
        <v>485</v>
      </c>
      <c r="H628" s="54" t="s">
        <v>485</v>
      </c>
      <c r="I628" s="43">
        <f>'01_PARÂMETROS'!$B$9</f>
        <v>50</v>
      </c>
      <c r="J628" s="44">
        <f t="shared" si="30"/>
        <v>1.1499999999999999</v>
      </c>
      <c r="K628" s="45">
        <f>MAX('01_PARÂMETROS'!$B$11,MIN('01_PARÂMETROS'!$B$12,J628))</f>
        <v>1.1499999999999999</v>
      </c>
      <c r="L628" s="46">
        <f t="shared" si="27"/>
        <v>0.14999999999999991</v>
      </c>
      <c r="M628" s="47" t="str">
        <f>IF(K628&lt;='01_PARÂMETROS'!$B$14,"Preferencial",IF(K628&lt;='01_PARÂMETROS'!$B$15,"Baixo",IF(K628&lt;='01_PARÂMETROS'!$B$16,"Médio",IF(K628&lt;='01_PARÂMETROS'!$B$17,"Alto","Elevado"))))</f>
        <v>Alto</v>
      </c>
      <c r="N628" s="58" t="s">
        <v>486</v>
      </c>
      <c r="O628" s="61"/>
    </row>
    <row r="629" spans="1:15" ht="13.5" customHeight="1" x14ac:dyDescent="0.25">
      <c r="A629" s="24" t="s">
        <v>1599</v>
      </c>
      <c r="B629" s="38" t="s">
        <v>1567</v>
      </c>
      <c r="C629" s="25" t="s">
        <v>1600</v>
      </c>
      <c r="D629" s="39" t="s">
        <v>1574</v>
      </c>
      <c r="E629" s="64" t="s">
        <v>566</v>
      </c>
      <c r="F629" s="54" t="s">
        <v>485</v>
      </c>
      <c r="G629" s="54" t="s">
        <v>485</v>
      </c>
      <c r="H629" s="54" t="s">
        <v>485</v>
      </c>
      <c r="I629" s="43">
        <f>'01_PARÂMETROS'!$B$9</f>
        <v>50</v>
      </c>
      <c r="J629" s="44">
        <f t="shared" si="30"/>
        <v>1.1499999999999999</v>
      </c>
      <c r="K629" s="45">
        <f>MAX('01_PARÂMETROS'!$B$11,MIN('01_PARÂMETROS'!$B$12,J629))</f>
        <v>1.1499999999999999</v>
      </c>
      <c r="L629" s="46">
        <f t="shared" si="27"/>
        <v>0.14999999999999991</v>
      </c>
      <c r="M629" s="47" t="str">
        <f>IF(K629&lt;='01_PARÂMETROS'!$B$14,"Preferencial",IF(K629&lt;='01_PARÂMETROS'!$B$15,"Baixo",IF(K629&lt;='01_PARÂMETROS'!$B$16,"Médio",IF(K629&lt;='01_PARÂMETROS'!$B$17,"Alto","Elevado"))))</f>
        <v>Alto</v>
      </c>
      <c r="N629" s="58" t="s">
        <v>486</v>
      </c>
      <c r="O629" s="54"/>
    </row>
    <row r="630" spans="1:15" ht="13.5" customHeight="1" x14ac:dyDescent="0.25">
      <c r="A630" s="13" t="s">
        <v>1601</v>
      </c>
      <c r="B630" s="49" t="s">
        <v>1567</v>
      </c>
      <c r="C630" s="14" t="s">
        <v>1602</v>
      </c>
      <c r="D630" s="50" t="s">
        <v>1574</v>
      </c>
      <c r="E630" s="64" t="s">
        <v>566</v>
      </c>
      <c r="F630" s="54" t="s">
        <v>485</v>
      </c>
      <c r="G630" s="54" t="s">
        <v>485</v>
      </c>
      <c r="H630" s="54" t="s">
        <v>485</v>
      </c>
      <c r="I630" s="43">
        <f>'01_PARÂMETROS'!$B$9</f>
        <v>50</v>
      </c>
      <c r="J630" s="44">
        <f t="shared" si="30"/>
        <v>1.1499999999999999</v>
      </c>
      <c r="K630" s="45">
        <f>MAX('01_PARÂMETROS'!$B$11,MIN('01_PARÂMETROS'!$B$12,J630))</f>
        <v>1.1499999999999999</v>
      </c>
      <c r="L630" s="46">
        <f t="shared" si="27"/>
        <v>0.14999999999999991</v>
      </c>
      <c r="M630" s="47" t="str">
        <f>IF(K630&lt;='01_PARÂMETROS'!$B$14,"Preferencial",IF(K630&lt;='01_PARÂMETROS'!$B$15,"Baixo",IF(K630&lt;='01_PARÂMETROS'!$B$16,"Médio",IF(K630&lt;='01_PARÂMETROS'!$B$17,"Alto","Elevado"))))</f>
        <v>Alto</v>
      </c>
      <c r="N630" s="58" t="s">
        <v>486</v>
      </c>
      <c r="O630" s="61"/>
    </row>
    <row r="631" spans="1:15" ht="13.5" customHeight="1" x14ac:dyDescent="0.25">
      <c r="A631" s="24" t="s">
        <v>1603</v>
      </c>
      <c r="B631" s="38" t="s">
        <v>1567</v>
      </c>
      <c r="C631" s="25" t="s">
        <v>1604</v>
      </c>
      <c r="D631" s="39" t="s">
        <v>1574</v>
      </c>
      <c r="E631" s="64" t="s">
        <v>566</v>
      </c>
      <c r="F631" s="54" t="s">
        <v>485</v>
      </c>
      <c r="G631" s="54" t="s">
        <v>485</v>
      </c>
      <c r="H631" s="54" t="s">
        <v>485</v>
      </c>
      <c r="I631" s="43">
        <f>'01_PARÂMETROS'!$B$9</f>
        <v>50</v>
      </c>
      <c r="J631" s="44">
        <f t="shared" si="30"/>
        <v>1.1499999999999999</v>
      </c>
      <c r="K631" s="45">
        <f>MAX('01_PARÂMETROS'!$B$11,MIN('01_PARÂMETROS'!$B$12,J631))</f>
        <v>1.1499999999999999</v>
      </c>
      <c r="L631" s="46">
        <f t="shared" si="27"/>
        <v>0.14999999999999991</v>
      </c>
      <c r="M631" s="47" t="str">
        <f>IF(K631&lt;='01_PARÂMETROS'!$B$14,"Preferencial",IF(K631&lt;='01_PARÂMETROS'!$B$15,"Baixo",IF(K631&lt;='01_PARÂMETROS'!$B$16,"Médio",IF(K631&lt;='01_PARÂMETROS'!$B$17,"Alto","Elevado"))))</f>
        <v>Alto</v>
      </c>
      <c r="N631" s="58" t="s">
        <v>486</v>
      </c>
      <c r="O631" s="54"/>
    </row>
    <row r="632" spans="1:15" ht="13.5" customHeight="1" x14ac:dyDescent="0.25">
      <c r="A632" s="13" t="s">
        <v>1605</v>
      </c>
      <c r="B632" s="49" t="s">
        <v>1567</v>
      </c>
      <c r="C632" s="14" t="s">
        <v>1606</v>
      </c>
      <c r="D632" s="50" t="s">
        <v>1574</v>
      </c>
      <c r="E632" s="64" t="s">
        <v>566</v>
      </c>
      <c r="F632" s="54" t="s">
        <v>485</v>
      </c>
      <c r="G632" s="54" t="s">
        <v>485</v>
      </c>
      <c r="H632" s="54" t="s">
        <v>485</v>
      </c>
      <c r="I632" s="43">
        <f>'01_PARÂMETROS'!$B$9</f>
        <v>50</v>
      </c>
      <c r="J632" s="44">
        <f t="shared" si="30"/>
        <v>1.1499999999999999</v>
      </c>
      <c r="K632" s="45">
        <f>MAX('01_PARÂMETROS'!$B$11,MIN('01_PARÂMETROS'!$B$12,J632))</f>
        <v>1.1499999999999999</v>
      </c>
      <c r="L632" s="46">
        <f t="shared" si="27"/>
        <v>0.14999999999999991</v>
      </c>
      <c r="M632" s="47" t="str">
        <f>IF(K632&lt;='01_PARÂMETROS'!$B$14,"Preferencial",IF(K632&lt;='01_PARÂMETROS'!$B$15,"Baixo",IF(K632&lt;='01_PARÂMETROS'!$B$16,"Médio",IF(K632&lt;='01_PARÂMETROS'!$B$17,"Alto","Elevado"))))</f>
        <v>Alto</v>
      </c>
      <c r="N632" s="58" t="s">
        <v>486</v>
      </c>
      <c r="O632" s="61"/>
    </row>
    <row r="633" spans="1:15" ht="13.5" customHeight="1" x14ac:dyDescent="0.25">
      <c r="A633" s="24" t="s">
        <v>1607</v>
      </c>
      <c r="B633" s="38" t="s">
        <v>1567</v>
      </c>
      <c r="C633" s="25" t="s">
        <v>1608</v>
      </c>
      <c r="D633" s="39" t="s">
        <v>1609</v>
      </c>
      <c r="E633" s="64" t="s">
        <v>566</v>
      </c>
      <c r="F633" s="54" t="s">
        <v>485</v>
      </c>
      <c r="G633" s="54" t="s">
        <v>485</v>
      </c>
      <c r="H633" s="54" t="s">
        <v>485</v>
      </c>
      <c r="I633" s="43">
        <f>'01_PARÂMETROS'!$B$9</f>
        <v>50</v>
      </c>
      <c r="J633" s="44">
        <f t="shared" si="30"/>
        <v>1.1499999999999999</v>
      </c>
      <c r="K633" s="45">
        <f>MAX('01_PARÂMETROS'!$B$11,MIN('01_PARÂMETROS'!$B$12,J633))</f>
        <v>1.1499999999999999</v>
      </c>
      <c r="L633" s="46">
        <f t="shared" si="27"/>
        <v>0.14999999999999991</v>
      </c>
      <c r="M633" s="47" t="str">
        <f>IF(K633&lt;='01_PARÂMETROS'!$B$14,"Preferencial",IF(K633&lt;='01_PARÂMETROS'!$B$15,"Baixo",IF(K633&lt;='01_PARÂMETROS'!$B$16,"Médio",IF(K633&lt;='01_PARÂMETROS'!$B$17,"Alto","Elevado"))))</f>
        <v>Alto</v>
      </c>
      <c r="N633" s="58" t="s">
        <v>486</v>
      </c>
      <c r="O633" s="54"/>
    </row>
    <row r="634" spans="1:15" ht="13.5" customHeight="1" x14ac:dyDescent="0.25">
      <c r="A634" s="13" t="s">
        <v>1610</v>
      </c>
      <c r="B634" s="49" t="s">
        <v>1567</v>
      </c>
      <c r="C634" s="14" t="s">
        <v>1611</v>
      </c>
      <c r="D634" s="50" t="s">
        <v>1609</v>
      </c>
      <c r="E634" s="64" t="s">
        <v>566</v>
      </c>
      <c r="F634" s="54" t="s">
        <v>485</v>
      </c>
      <c r="G634" s="54" t="s">
        <v>485</v>
      </c>
      <c r="H634" s="54" t="s">
        <v>485</v>
      </c>
      <c r="I634" s="43">
        <f>'01_PARÂMETROS'!$B$9</f>
        <v>50</v>
      </c>
      <c r="J634" s="44">
        <f t="shared" si="30"/>
        <v>1.1499999999999999</v>
      </c>
      <c r="K634" s="45">
        <f>MAX('01_PARÂMETROS'!$B$11,MIN('01_PARÂMETROS'!$B$12,J634))</f>
        <v>1.1499999999999999</v>
      </c>
      <c r="L634" s="46">
        <f t="shared" si="27"/>
        <v>0.14999999999999991</v>
      </c>
      <c r="M634" s="47" t="str">
        <f>IF(K634&lt;='01_PARÂMETROS'!$B$14,"Preferencial",IF(K634&lt;='01_PARÂMETROS'!$B$15,"Baixo",IF(K634&lt;='01_PARÂMETROS'!$B$16,"Médio",IF(K634&lt;='01_PARÂMETROS'!$B$17,"Alto","Elevado"))))</f>
        <v>Alto</v>
      </c>
      <c r="N634" s="58" t="s">
        <v>486</v>
      </c>
      <c r="O634" s="61"/>
    </row>
    <row r="635" spans="1:15" ht="13.5" customHeight="1" x14ac:dyDescent="0.25">
      <c r="A635" s="24" t="s">
        <v>1612</v>
      </c>
      <c r="B635" s="38" t="s">
        <v>1567</v>
      </c>
      <c r="C635" s="25" t="s">
        <v>1613</v>
      </c>
      <c r="D635" s="39" t="s">
        <v>1609</v>
      </c>
      <c r="E635" s="64" t="s">
        <v>566</v>
      </c>
      <c r="F635" s="54" t="s">
        <v>485</v>
      </c>
      <c r="G635" s="54" t="s">
        <v>485</v>
      </c>
      <c r="H635" s="54" t="s">
        <v>485</v>
      </c>
      <c r="I635" s="43">
        <f>'01_PARÂMETROS'!$B$9</f>
        <v>50</v>
      </c>
      <c r="J635" s="44">
        <f t="shared" si="30"/>
        <v>1.1499999999999999</v>
      </c>
      <c r="K635" s="45">
        <f>MAX('01_PARÂMETROS'!$B$11,MIN('01_PARÂMETROS'!$B$12,J635))</f>
        <v>1.1499999999999999</v>
      </c>
      <c r="L635" s="46">
        <f t="shared" si="27"/>
        <v>0.14999999999999991</v>
      </c>
      <c r="M635" s="47" t="str">
        <f>IF(K635&lt;='01_PARÂMETROS'!$B$14,"Preferencial",IF(K635&lt;='01_PARÂMETROS'!$B$15,"Baixo",IF(K635&lt;='01_PARÂMETROS'!$B$16,"Médio",IF(K635&lt;='01_PARÂMETROS'!$B$17,"Alto","Elevado"))))</f>
        <v>Alto</v>
      </c>
      <c r="N635" s="58" t="s">
        <v>486</v>
      </c>
      <c r="O635" s="54"/>
    </row>
    <row r="636" spans="1:15" ht="13.5" customHeight="1" x14ac:dyDescent="0.25">
      <c r="A636" s="13" t="s">
        <v>1614</v>
      </c>
      <c r="B636" s="49" t="s">
        <v>1567</v>
      </c>
      <c r="C636" s="14" t="s">
        <v>1615</v>
      </c>
      <c r="D636" s="50" t="s">
        <v>1609</v>
      </c>
      <c r="E636" s="64" t="s">
        <v>566</v>
      </c>
      <c r="F636" s="54" t="s">
        <v>485</v>
      </c>
      <c r="G636" s="54" t="s">
        <v>485</v>
      </c>
      <c r="H636" s="54" t="s">
        <v>485</v>
      </c>
      <c r="I636" s="43">
        <f>'01_PARÂMETROS'!$B$9</f>
        <v>50</v>
      </c>
      <c r="J636" s="44">
        <f t="shared" si="30"/>
        <v>1.1499999999999999</v>
      </c>
      <c r="K636" s="45">
        <f>MAX('01_PARÂMETROS'!$B$11,MIN('01_PARÂMETROS'!$B$12,J636))</f>
        <v>1.1499999999999999</v>
      </c>
      <c r="L636" s="46">
        <f t="shared" si="27"/>
        <v>0.14999999999999991</v>
      </c>
      <c r="M636" s="47" t="str">
        <f>IF(K636&lt;='01_PARÂMETROS'!$B$14,"Preferencial",IF(K636&lt;='01_PARÂMETROS'!$B$15,"Baixo",IF(K636&lt;='01_PARÂMETROS'!$B$16,"Médio",IF(K636&lt;='01_PARÂMETROS'!$B$17,"Alto","Elevado"))))</f>
        <v>Alto</v>
      </c>
      <c r="N636" s="58" t="s">
        <v>486</v>
      </c>
      <c r="O636" s="61"/>
    </row>
    <row r="637" spans="1:15" ht="13.5" customHeight="1" x14ac:dyDescent="0.25">
      <c r="A637" s="24" t="s">
        <v>1616</v>
      </c>
      <c r="B637" s="38" t="s">
        <v>1567</v>
      </c>
      <c r="C637" s="25" t="s">
        <v>1617</v>
      </c>
      <c r="D637" s="39" t="s">
        <v>1609</v>
      </c>
      <c r="E637" s="64" t="s">
        <v>566</v>
      </c>
      <c r="F637" s="54" t="s">
        <v>485</v>
      </c>
      <c r="G637" s="54" t="s">
        <v>485</v>
      </c>
      <c r="H637" s="54" t="s">
        <v>485</v>
      </c>
      <c r="I637" s="43">
        <f>'01_PARÂMETROS'!$B$9</f>
        <v>50</v>
      </c>
      <c r="J637" s="44">
        <f t="shared" si="30"/>
        <v>1.1499999999999999</v>
      </c>
      <c r="K637" s="45">
        <f>MAX('01_PARÂMETROS'!$B$11,MIN('01_PARÂMETROS'!$B$12,J637))</f>
        <v>1.1499999999999999</v>
      </c>
      <c r="L637" s="46">
        <f t="shared" si="27"/>
        <v>0.14999999999999991</v>
      </c>
      <c r="M637" s="47" t="str">
        <f>IF(K637&lt;='01_PARÂMETROS'!$B$14,"Preferencial",IF(K637&lt;='01_PARÂMETROS'!$B$15,"Baixo",IF(K637&lt;='01_PARÂMETROS'!$B$16,"Médio",IF(K637&lt;='01_PARÂMETROS'!$B$17,"Alto","Elevado"))))</f>
        <v>Alto</v>
      </c>
      <c r="N637" s="58" t="s">
        <v>486</v>
      </c>
      <c r="O637" s="54"/>
    </row>
    <row r="638" spans="1:15" ht="13.5" customHeight="1" x14ac:dyDescent="0.25">
      <c r="A638" s="13" t="s">
        <v>1618</v>
      </c>
      <c r="B638" s="49" t="s">
        <v>1567</v>
      </c>
      <c r="C638" s="14" t="s">
        <v>1619</v>
      </c>
      <c r="D638" s="50" t="s">
        <v>1609</v>
      </c>
      <c r="E638" s="64" t="s">
        <v>566</v>
      </c>
      <c r="F638" s="54" t="s">
        <v>485</v>
      </c>
      <c r="G638" s="54" t="s">
        <v>485</v>
      </c>
      <c r="H638" s="54" t="s">
        <v>485</v>
      </c>
      <c r="I638" s="43">
        <f>'01_PARÂMETROS'!$B$9</f>
        <v>50</v>
      </c>
      <c r="J638" s="44">
        <f t="shared" si="30"/>
        <v>1.1499999999999999</v>
      </c>
      <c r="K638" s="45">
        <f>MAX('01_PARÂMETROS'!$B$11,MIN('01_PARÂMETROS'!$B$12,J638))</f>
        <v>1.1499999999999999</v>
      </c>
      <c r="L638" s="46">
        <f t="shared" si="27"/>
        <v>0.14999999999999991</v>
      </c>
      <c r="M638" s="47" t="str">
        <f>IF(K638&lt;='01_PARÂMETROS'!$B$14,"Preferencial",IF(K638&lt;='01_PARÂMETROS'!$B$15,"Baixo",IF(K638&lt;='01_PARÂMETROS'!$B$16,"Médio",IF(K638&lt;='01_PARÂMETROS'!$B$17,"Alto","Elevado"))))</f>
        <v>Alto</v>
      </c>
      <c r="N638" s="58" t="s">
        <v>486</v>
      </c>
      <c r="O638" s="61"/>
    </row>
    <row r="639" spans="1:15" ht="13.5" customHeight="1" x14ac:dyDescent="0.25">
      <c r="A639" s="24" t="s">
        <v>1620</v>
      </c>
      <c r="B639" s="38" t="s">
        <v>1567</v>
      </c>
      <c r="C639" s="25" t="s">
        <v>1621</v>
      </c>
      <c r="D639" s="39" t="s">
        <v>1609</v>
      </c>
      <c r="E639" s="64" t="s">
        <v>566</v>
      </c>
      <c r="F639" s="54" t="s">
        <v>485</v>
      </c>
      <c r="G639" s="54" t="s">
        <v>485</v>
      </c>
      <c r="H639" s="54" t="s">
        <v>485</v>
      </c>
      <c r="I639" s="43">
        <f>'01_PARÂMETROS'!$B$9</f>
        <v>50</v>
      </c>
      <c r="J639" s="44">
        <f t="shared" si="30"/>
        <v>1.1499999999999999</v>
      </c>
      <c r="K639" s="45">
        <f>MAX('01_PARÂMETROS'!$B$11,MIN('01_PARÂMETROS'!$B$12,J639))</f>
        <v>1.1499999999999999</v>
      </c>
      <c r="L639" s="46">
        <f t="shared" si="27"/>
        <v>0.14999999999999991</v>
      </c>
      <c r="M639" s="47" t="str">
        <f>IF(K639&lt;='01_PARÂMETROS'!$B$14,"Preferencial",IF(K639&lt;='01_PARÂMETROS'!$B$15,"Baixo",IF(K639&lt;='01_PARÂMETROS'!$B$16,"Médio",IF(K639&lt;='01_PARÂMETROS'!$B$17,"Alto","Elevado"))))</f>
        <v>Alto</v>
      </c>
      <c r="N639" s="58" t="s">
        <v>486</v>
      </c>
      <c r="O639" s="54"/>
    </row>
    <row r="640" spans="1:15" ht="13.5" customHeight="1" x14ac:dyDescent="0.25">
      <c r="A640" s="13" t="s">
        <v>1622</v>
      </c>
      <c r="B640" s="49" t="s">
        <v>1567</v>
      </c>
      <c r="C640" s="14" t="s">
        <v>1623</v>
      </c>
      <c r="D640" s="50" t="s">
        <v>1609</v>
      </c>
      <c r="E640" s="64" t="s">
        <v>566</v>
      </c>
      <c r="F640" s="54" t="s">
        <v>485</v>
      </c>
      <c r="G640" s="54" t="s">
        <v>485</v>
      </c>
      <c r="H640" s="54" t="s">
        <v>485</v>
      </c>
      <c r="I640" s="43">
        <f>'01_PARÂMETROS'!$B$9</f>
        <v>50</v>
      </c>
      <c r="J640" s="44">
        <f t="shared" si="30"/>
        <v>1.1499999999999999</v>
      </c>
      <c r="K640" s="45">
        <f>MAX('01_PARÂMETROS'!$B$11,MIN('01_PARÂMETROS'!$B$12,J640))</f>
        <v>1.1499999999999999</v>
      </c>
      <c r="L640" s="46">
        <f t="shared" si="27"/>
        <v>0.14999999999999991</v>
      </c>
      <c r="M640" s="47" t="str">
        <f>IF(K640&lt;='01_PARÂMETROS'!$B$14,"Preferencial",IF(K640&lt;='01_PARÂMETROS'!$B$15,"Baixo",IF(K640&lt;='01_PARÂMETROS'!$B$16,"Médio",IF(K640&lt;='01_PARÂMETROS'!$B$17,"Alto","Elevado"))))</f>
        <v>Alto</v>
      </c>
      <c r="N640" s="58" t="s">
        <v>486</v>
      </c>
      <c r="O640" s="61"/>
    </row>
    <row r="641" spans="1:15" ht="13.5" customHeight="1" x14ac:dyDescent="0.25">
      <c r="A641" s="24" t="s">
        <v>1624</v>
      </c>
      <c r="B641" s="38" t="s">
        <v>1567</v>
      </c>
      <c r="C641" s="25" t="s">
        <v>1625</v>
      </c>
      <c r="D641" s="39" t="s">
        <v>1609</v>
      </c>
      <c r="E641" s="64" t="s">
        <v>566</v>
      </c>
      <c r="F641" s="54" t="s">
        <v>485</v>
      </c>
      <c r="G641" s="54" t="s">
        <v>485</v>
      </c>
      <c r="H641" s="54" t="s">
        <v>485</v>
      </c>
      <c r="I641" s="43">
        <f>'01_PARÂMETROS'!$B$9</f>
        <v>50</v>
      </c>
      <c r="J641" s="44">
        <f t="shared" si="30"/>
        <v>1.1499999999999999</v>
      </c>
      <c r="K641" s="45">
        <f>MAX('01_PARÂMETROS'!$B$11,MIN('01_PARÂMETROS'!$B$12,J641))</f>
        <v>1.1499999999999999</v>
      </c>
      <c r="L641" s="46">
        <f t="shared" si="27"/>
        <v>0.14999999999999991</v>
      </c>
      <c r="M641" s="47" t="str">
        <f>IF(K641&lt;='01_PARÂMETROS'!$B$14,"Preferencial",IF(K641&lt;='01_PARÂMETROS'!$B$15,"Baixo",IF(K641&lt;='01_PARÂMETROS'!$B$16,"Médio",IF(K641&lt;='01_PARÂMETROS'!$B$17,"Alto","Elevado"))))</f>
        <v>Alto</v>
      </c>
      <c r="N641" s="58" t="s">
        <v>486</v>
      </c>
      <c r="O641" s="54"/>
    </row>
    <row r="642" spans="1:15" ht="13.5" customHeight="1" x14ac:dyDescent="0.25">
      <c r="A642" s="13" t="s">
        <v>1626</v>
      </c>
      <c r="B642" s="49" t="s">
        <v>1567</v>
      </c>
      <c r="C642" s="14" t="s">
        <v>1627</v>
      </c>
      <c r="D642" s="50" t="s">
        <v>1609</v>
      </c>
      <c r="E642" s="64" t="s">
        <v>566</v>
      </c>
      <c r="F642" s="54" t="s">
        <v>485</v>
      </c>
      <c r="G642" s="54" t="s">
        <v>485</v>
      </c>
      <c r="H642" s="54" t="s">
        <v>485</v>
      </c>
      <c r="I642" s="43">
        <f>'01_PARÂMETROS'!$B$9</f>
        <v>50</v>
      </c>
      <c r="J642" s="44">
        <f t="shared" si="30"/>
        <v>1.1499999999999999</v>
      </c>
      <c r="K642" s="45">
        <f>MAX('01_PARÂMETROS'!$B$11,MIN('01_PARÂMETROS'!$B$12,J642))</f>
        <v>1.1499999999999999</v>
      </c>
      <c r="L642" s="46">
        <f t="shared" si="27"/>
        <v>0.14999999999999991</v>
      </c>
      <c r="M642" s="47" t="str">
        <f>IF(K642&lt;='01_PARÂMETROS'!$B$14,"Preferencial",IF(K642&lt;='01_PARÂMETROS'!$B$15,"Baixo",IF(K642&lt;='01_PARÂMETROS'!$B$16,"Médio",IF(K642&lt;='01_PARÂMETROS'!$B$17,"Alto","Elevado"))))</f>
        <v>Alto</v>
      </c>
      <c r="N642" s="58" t="s">
        <v>486</v>
      </c>
      <c r="O642" s="61"/>
    </row>
    <row r="643" spans="1:15" ht="13.5" customHeight="1" x14ac:dyDescent="0.25">
      <c r="A643" s="24" t="s">
        <v>1628</v>
      </c>
      <c r="B643" s="38" t="s">
        <v>1567</v>
      </c>
      <c r="C643" s="25" t="s">
        <v>1629</v>
      </c>
      <c r="D643" s="39" t="s">
        <v>1609</v>
      </c>
      <c r="E643" s="64" t="s">
        <v>566</v>
      </c>
      <c r="F643" s="54" t="s">
        <v>485</v>
      </c>
      <c r="G643" s="54" t="s">
        <v>485</v>
      </c>
      <c r="H643" s="54" t="s">
        <v>485</v>
      </c>
      <c r="I643" s="43">
        <f>'01_PARÂMETROS'!$B$9</f>
        <v>50</v>
      </c>
      <c r="J643" s="44">
        <f t="shared" si="30"/>
        <v>1.1499999999999999</v>
      </c>
      <c r="K643" s="45">
        <f>MAX('01_PARÂMETROS'!$B$11,MIN('01_PARÂMETROS'!$B$12,J643))</f>
        <v>1.1499999999999999</v>
      </c>
      <c r="L643" s="46">
        <f t="shared" si="27"/>
        <v>0.14999999999999991</v>
      </c>
      <c r="M643" s="47" t="str">
        <f>IF(K643&lt;='01_PARÂMETROS'!$B$14,"Preferencial",IF(K643&lt;='01_PARÂMETROS'!$B$15,"Baixo",IF(K643&lt;='01_PARÂMETROS'!$B$16,"Médio",IF(K643&lt;='01_PARÂMETROS'!$B$17,"Alto","Elevado"))))</f>
        <v>Alto</v>
      </c>
      <c r="N643" s="58" t="s">
        <v>486</v>
      </c>
      <c r="O643" s="54"/>
    </row>
    <row r="644" spans="1:15" ht="13.5" customHeight="1" x14ac:dyDescent="0.25">
      <c r="A644" s="13" t="s">
        <v>1630</v>
      </c>
      <c r="B644" s="49" t="s">
        <v>1567</v>
      </c>
      <c r="C644" s="14" t="s">
        <v>1631</v>
      </c>
      <c r="D644" s="50" t="s">
        <v>1609</v>
      </c>
      <c r="E644" s="64" t="s">
        <v>566</v>
      </c>
      <c r="F644" s="54" t="s">
        <v>485</v>
      </c>
      <c r="G644" s="54" t="s">
        <v>485</v>
      </c>
      <c r="H644" s="54" t="s">
        <v>485</v>
      </c>
      <c r="I644" s="43">
        <f>'01_PARÂMETROS'!$B$9</f>
        <v>50</v>
      </c>
      <c r="J644" s="44">
        <f t="shared" si="30"/>
        <v>1.1499999999999999</v>
      </c>
      <c r="K644" s="45">
        <f>MAX('01_PARÂMETROS'!$B$11,MIN('01_PARÂMETROS'!$B$12,J644))</f>
        <v>1.1499999999999999</v>
      </c>
      <c r="L644" s="46">
        <f t="shared" si="27"/>
        <v>0.14999999999999991</v>
      </c>
      <c r="M644" s="47" t="str">
        <f>IF(K644&lt;='01_PARÂMETROS'!$B$14,"Preferencial",IF(K644&lt;='01_PARÂMETROS'!$B$15,"Baixo",IF(K644&lt;='01_PARÂMETROS'!$B$16,"Médio",IF(K644&lt;='01_PARÂMETROS'!$B$17,"Alto","Elevado"))))</f>
        <v>Alto</v>
      </c>
      <c r="N644" s="58" t="s">
        <v>486</v>
      </c>
      <c r="O644" s="61"/>
    </row>
    <row r="645" spans="1:15" ht="13.5" customHeight="1" x14ac:dyDescent="0.25">
      <c r="A645" s="24" t="s">
        <v>1632</v>
      </c>
      <c r="B645" s="38" t="s">
        <v>1567</v>
      </c>
      <c r="C645" s="25" t="s">
        <v>1633</v>
      </c>
      <c r="D645" s="39" t="s">
        <v>1609</v>
      </c>
      <c r="E645" s="64" t="s">
        <v>566</v>
      </c>
      <c r="F645" s="54" t="s">
        <v>485</v>
      </c>
      <c r="G645" s="54" t="s">
        <v>485</v>
      </c>
      <c r="H645" s="54" t="s">
        <v>485</v>
      </c>
      <c r="I645" s="43">
        <f>'01_PARÂMETROS'!$B$9</f>
        <v>50</v>
      </c>
      <c r="J645" s="44">
        <f t="shared" si="30"/>
        <v>1.1499999999999999</v>
      </c>
      <c r="K645" s="45">
        <f>MAX('01_PARÂMETROS'!$B$11,MIN('01_PARÂMETROS'!$B$12,J645))</f>
        <v>1.1499999999999999</v>
      </c>
      <c r="L645" s="46">
        <f t="shared" ref="L645:L708" si="31">(K645-1)</f>
        <v>0.14999999999999991</v>
      </c>
      <c r="M645" s="47" t="str">
        <f>IF(K645&lt;='01_PARÂMETROS'!$B$14,"Preferencial",IF(K645&lt;='01_PARÂMETROS'!$B$15,"Baixo",IF(K645&lt;='01_PARÂMETROS'!$B$16,"Médio",IF(K645&lt;='01_PARÂMETROS'!$B$17,"Alto","Elevado"))))</f>
        <v>Alto</v>
      </c>
      <c r="N645" s="58" t="s">
        <v>486</v>
      </c>
      <c r="O645" s="54"/>
    </row>
    <row r="646" spans="1:15" ht="13.5" customHeight="1" x14ac:dyDescent="0.25">
      <c r="A646" s="13" t="s">
        <v>1634</v>
      </c>
      <c r="B646" s="49" t="s">
        <v>1567</v>
      </c>
      <c r="C646" s="14" t="s">
        <v>1635</v>
      </c>
      <c r="D646" s="50" t="s">
        <v>1609</v>
      </c>
      <c r="E646" s="64" t="s">
        <v>566</v>
      </c>
      <c r="F646" s="54" t="s">
        <v>485</v>
      </c>
      <c r="G646" s="54" t="s">
        <v>485</v>
      </c>
      <c r="H646" s="54" t="s">
        <v>485</v>
      </c>
      <c r="I646" s="43">
        <f>'01_PARÂMETROS'!$B$9</f>
        <v>50</v>
      </c>
      <c r="J646" s="44">
        <f t="shared" si="30"/>
        <v>1.1499999999999999</v>
      </c>
      <c r="K646" s="45">
        <f>MAX('01_PARÂMETROS'!$B$11,MIN('01_PARÂMETROS'!$B$12,J646))</f>
        <v>1.1499999999999999</v>
      </c>
      <c r="L646" s="46">
        <f t="shared" si="31"/>
        <v>0.14999999999999991</v>
      </c>
      <c r="M646" s="47" t="str">
        <f>IF(K646&lt;='01_PARÂMETROS'!$B$14,"Preferencial",IF(K646&lt;='01_PARÂMETROS'!$B$15,"Baixo",IF(K646&lt;='01_PARÂMETROS'!$B$16,"Médio",IF(K646&lt;='01_PARÂMETROS'!$B$17,"Alto","Elevado"))))</f>
        <v>Alto</v>
      </c>
      <c r="N646" s="58" t="s">
        <v>486</v>
      </c>
      <c r="O646" s="61"/>
    </row>
    <row r="647" spans="1:15" ht="13.5" customHeight="1" x14ac:dyDescent="0.25">
      <c r="A647" s="24" t="s">
        <v>1636</v>
      </c>
      <c r="B647" s="38" t="s">
        <v>1567</v>
      </c>
      <c r="C647" s="25" t="s">
        <v>1637</v>
      </c>
      <c r="D647" s="39" t="s">
        <v>1609</v>
      </c>
      <c r="E647" s="64" t="s">
        <v>566</v>
      </c>
      <c r="F647" s="54" t="s">
        <v>485</v>
      </c>
      <c r="G647" s="54" t="s">
        <v>485</v>
      </c>
      <c r="H647" s="54" t="s">
        <v>485</v>
      </c>
      <c r="I647" s="43">
        <f>'01_PARÂMETROS'!$B$9</f>
        <v>50</v>
      </c>
      <c r="J647" s="44">
        <f t="shared" si="30"/>
        <v>1.1499999999999999</v>
      </c>
      <c r="K647" s="45">
        <f>MAX('01_PARÂMETROS'!$B$11,MIN('01_PARÂMETROS'!$B$12,J647))</f>
        <v>1.1499999999999999</v>
      </c>
      <c r="L647" s="46">
        <f t="shared" si="31"/>
        <v>0.14999999999999991</v>
      </c>
      <c r="M647" s="47" t="str">
        <f>IF(K647&lt;='01_PARÂMETROS'!$B$14,"Preferencial",IF(K647&lt;='01_PARÂMETROS'!$B$15,"Baixo",IF(K647&lt;='01_PARÂMETROS'!$B$16,"Médio",IF(K647&lt;='01_PARÂMETROS'!$B$17,"Alto","Elevado"))))</f>
        <v>Alto</v>
      </c>
      <c r="N647" s="58" t="s">
        <v>486</v>
      </c>
      <c r="O647" s="54"/>
    </row>
    <row r="648" spans="1:15" ht="13.5" customHeight="1" x14ac:dyDescent="0.25">
      <c r="A648" s="13" t="s">
        <v>1638</v>
      </c>
      <c r="B648" s="49" t="s">
        <v>1567</v>
      </c>
      <c r="C648" s="14" t="s">
        <v>1639</v>
      </c>
      <c r="D648" s="50" t="s">
        <v>1609</v>
      </c>
      <c r="E648" s="64" t="s">
        <v>566</v>
      </c>
      <c r="F648" s="54" t="s">
        <v>485</v>
      </c>
      <c r="G648" s="54" t="s">
        <v>485</v>
      </c>
      <c r="H648" s="54" t="s">
        <v>485</v>
      </c>
      <c r="I648" s="43">
        <f>'01_PARÂMETROS'!$B$9</f>
        <v>50</v>
      </c>
      <c r="J648" s="44">
        <f t="shared" si="30"/>
        <v>1.1499999999999999</v>
      </c>
      <c r="K648" s="45">
        <f>MAX('01_PARÂMETROS'!$B$11,MIN('01_PARÂMETROS'!$B$12,J648))</f>
        <v>1.1499999999999999</v>
      </c>
      <c r="L648" s="46">
        <f t="shared" si="31"/>
        <v>0.14999999999999991</v>
      </c>
      <c r="M648" s="47" t="str">
        <f>IF(K648&lt;='01_PARÂMETROS'!$B$14,"Preferencial",IF(K648&lt;='01_PARÂMETROS'!$B$15,"Baixo",IF(K648&lt;='01_PARÂMETROS'!$B$16,"Médio",IF(K648&lt;='01_PARÂMETROS'!$B$17,"Alto","Elevado"))))</f>
        <v>Alto</v>
      </c>
      <c r="N648" s="58" t="s">
        <v>486</v>
      </c>
      <c r="O648" s="61"/>
    </row>
    <row r="649" spans="1:15" ht="13.5" customHeight="1" x14ac:dyDescent="0.25">
      <c r="A649" s="24" t="s">
        <v>1640</v>
      </c>
      <c r="B649" s="38" t="s">
        <v>1567</v>
      </c>
      <c r="C649" s="25" t="s">
        <v>1641</v>
      </c>
      <c r="D649" s="39" t="s">
        <v>1609</v>
      </c>
      <c r="E649" s="64" t="s">
        <v>566</v>
      </c>
      <c r="F649" s="54" t="s">
        <v>485</v>
      </c>
      <c r="G649" s="54" t="s">
        <v>485</v>
      </c>
      <c r="H649" s="54" t="s">
        <v>485</v>
      </c>
      <c r="I649" s="43">
        <f>'01_PARÂMETROS'!$B$9</f>
        <v>50</v>
      </c>
      <c r="J649" s="44">
        <f t="shared" si="30"/>
        <v>1.1499999999999999</v>
      </c>
      <c r="K649" s="45">
        <f>MAX('01_PARÂMETROS'!$B$11,MIN('01_PARÂMETROS'!$B$12,J649))</f>
        <v>1.1499999999999999</v>
      </c>
      <c r="L649" s="46">
        <f t="shared" si="31"/>
        <v>0.14999999999999991</v>
      </c>
      <c r="M649" s="47" t="str">
        <f>IF(K649&lt;='01_PARÂMETROS'!$B$14,"Preferencial",IF(K649&lt;='01_PARÂMETROS'!$B$15,"Baixo",IF(K649&lt;='01_PARÂMETROS'!$B$16,"Médio",IF(K649&lt;='01_PARÂMETROS'!$B$17,"Alto","Elevado"))))</f>
        <v>Alto</v>
      </c>
      <c r="N649" s="58" t="s">
        <v>486</v>
      </c>
      <c r="O649" s="54"/>
    </row>
    <row r="650" spans="1:15" ht="13.5" customHeight="1" x14ac:dyDescent="0.25">
      <c r="A650" s="13" t="s">
        <v>1642</v>
      </c>
      <c r="B650" s="49" t="s">
        <v>1567</v>
      </c>
      <c r="C650" s="14" t="s">
        <v>1643</v>
      </c>
      <c r="D650" s="50" t="s">
        <v>1609</v>
      </c>
      <c r="E650" s="64" t="s">
        <v>566</v>
      </c>
      <c r="F650" s="54" t="s">
        <v>485</v>
      </c>
      <c r="G650" s="54" t="s">
        <v>485</v>
      </c>
      <c r="H650" s="54" t="s">
        <v>485</v>
      </c>
      <c r="I650" s="43">
        <f>'01_PARÂMETROS'!$B$9</f>
        <v>50</v>
      </c>
      <c r="J650" s="44">
        <f t="shared" si="30"/>
        <v>1.1499999999999999</v>
      </c>
      <c r="K650" s="45">
        <f>MAX('01_PARÂMETROS'!$B$11,MIN('01_PARÂMETROS'!$B$12,J650))</f>
        <v>1.1499999999999999</v>
      </c>
      <c r="L650" s="46">
        <f t="shared" si="31"/>
        <v>0.14999999999999991</v>
      </c>
      <c r="M650" s="47" t="str">
        <f>IF(K650&lt;='01_PARÂMETROS'!$B$14,"Preferencial",IF(K650&lt;='01_PARÂMETROS'!$B$15,"Baixo",IF(K650&lt;='01_PARÂMETROS'!$B$16,"Médio",IF(K650&lt;='01_PARÂMETROS'!$B$17,"Alto","Elevado"))))</f>
        <v>Alto</v>
      </c>
      <c r="N650" s="58" t="s">
        <v>486</v>
      </c>
      <c r="O650" s="61"/>
    </row>
    <row r="651" spans="1:15" ht="13.5" customHeight="1" x14ac:dyDescent="0.25">
      <c r="A651" s="24" t="s">
        <v>1644</v>
      </c>
      <c r="B651" s="38" t="s">
        <v>1567</v>
      </c>
      <c r="C651" s="25" t="s">
        <v>1645</v>
      </c>
      <c r="D651" s="39" t="s">
        <v>1609</v>
      </c>
      <c r="E651" s="64" t="s">
        <v>566</v>
      </c>
      <c r="F651" s="54" t="s">
        <v>485</v>
      </c>
      <c r="G651" s="54" t="s">
        <v>485</v>
      </c>
      <c r="H651" s="54" t="s">
        <v>485</v>
      </c>
      <c r="I651" s="43">
        <f>'01_PARÂMETROS'!$B$9</f>
        <v>50</v>
      </c>
      <c r="J651" s="44">
        <f t="shared" si="30"/>
        <v>1.1499999999999999</v>
      </c>
      <c r="K651" s="45">
        <f>MAX('01_PARÂMETROS'!$B$11,MIN('01_PARÂMETROS'!$B$12,J651))</f>
        <v>1.1499999999999999</v>
      </c>
      <c r="L651" s="46">
        <f t="shared" si="31"/>
        <v>0.14999999999999991</v>
      </c>
      <c r="M651" s="47" t="str">
        <f>IF(K651&lt;='01_PARÂMETROS'!$B$14,"Preferencial",IF(K651&lt;='01_PARÂMETROS'!$B$15,"Baixo",IF(K651&lt;='01_PARÂMETROS'!$B$16,"Médio",IF(K651&lt;='01_PARÂMETROS'!$B$17,"Alto","Elevado"))))</f>
        <v>Alto</v>
      </c>
      <c r="N651" s="58" t="s">
        <v>486</v>
      </c>
      <c r="O651" s="54"/>
    </row>
    <row r="652" spans="1:15" ht="13.5" customHeight="1" x14ac:dyDescent="0.25">
      <c r="A652" s="13" t="s">
        <v>1646</v>
      </c>
      <c r="B652" s="49" t="s">
        <v>1567</v>
      </c>
      <c r="C652" s="14" t="s">
        <v>1647</v>
      </c>
      <c r="D652" s="50" t="s">
        <v>1609</v>
      </c>
      <c r="E652" s="64" t="s">
        <v>566</v>
      </c>
      <c r="F652" s="54" t="s">
        <v>485</v>
      </c>
      <c r="G652" s="54" t="s">
        <v>485</v>
      </c>
      <c r="H652" s="54" t="s">
        <v>485</v>
      </c>
      <c r="I652" s="43">
        <f>'01_PARÂMETROS'!$B$9</f>
        <v>50</v>
      </c>
      <c r="J652" s="44">
        <f t="shared" si="30"/>
        <v>1.1499999999999999</v>
      </c>
      <c r="K652" s="45">
        <f>MAX('01_PARÂMETROS'!$B$11,MIN('01_PARÂMETROS'!$B$12,J652))</f>
        <v>1.1499999999999999</v>
      </c>
      <c r="L652" s="46">
        <f t="shared" si="31"/>
        <v>0.14999999999999991</v>
      </c>
      <c r="M652" s="47" t="str">
        <f>IF(K652&lt;='01_PARÂMETROS'!$B$14,"Preferencial",IF(K652&lt;='01_PARÂMETROS'!$B$15,"Baixo",IF(K652&lt;='01_PARÂMETROS'!$B$16,"Médio",IF(K652&lt;='01_PARÂMETROS'!$B$17,"Alto","Elevado"))))</f>
        <v>Alto</v>
      </c>
      <c r="N652" s="58" t="s">
        <v>486</v>
      </c>
      <c r="O652" s="61"/>
    </row>
    <row r="653" spans="1:15" ht="13.5" customHeight="1" x14ac:dyDescent="0.25">
      <c r="A653" s="24" t="s">
        <v>1648</v>
      </c>
      <c r="B653" s="38" t="s">
        <v>1567</v>
      </c>
      <c r="C653" s="25" t="s">
        <v>1649</v>
      </c>
      <c r="D653" s="39" t="s">
        <v>1609</v>
      </c>
      <c r="E653" s="64" t="s">
        <v>566</v>
      </c>
      <c r="F653" s="54" t="s">
        <v>485</v>
      </c>
      <c r="G653" s="54" t="s">
        <v>485</v>
      </c>
      <c r="H653" s="54" t="s">
        <v>485</v>
      </c>
      <c r="I653" s="43">
        <f>'01_PARÂMETROS'!$B$9</f>
        <v>50</v>
      </c>
      <c r="J653" s="44">
        <f t="shared" si="30"/>
        <v>1.1499999999999999</v>
      </c>
      <c r="K653" s="45">
        <f>MAX('01_PARÂMETROS'!$B$11,MIN('01_PARÂMETROS'!$B$12,J653))</f>
        <v>1.1499999999999999</v>
      </c>
      <c r="L653" s="46">
        <f t="shared" si="31"/>
        <v>0.14999999999999991</v>
      </c>
      <c r="M653" s="47" t="str">
        <f>IF(K653&lt;='01_PARÂMETROS'!$B$14,"Preferencial",IF(K653&lt;='01_PARÂMETROS'!$B$15,"Baixo",IF(K653&lt;='01_PARÂMETROS'!$B$16,"Médio",IF(K653&lt;='01_PARÂMETROS'!$B$17,"Alto","Elevado"))))</f>
        <v>Alto</v>
      </c>
      <c r="N653" s="58" t="s">
        <v>486</v>
      </c>
      <c r="O653" s="54"/>
    </row>
    <row r="654" spans="1:15" ht="13.5" customHeight="1" x14ac:dyDescent="0.25">
      <c r="A654" s="13" t="s">
        <v>1650</v>
      </c>
      <c r="B654" s="49" t="s">
        <v>1567</v>
      </c>
      <c r="C654" s="14" t="s">
        <v>1651</v>
      </c>
      <c r="D654" s="50" t="s">
        <v>1609</v>
      </c>
      <c r="E654" s="64" t="s">
        <v>566</v>
      </c>
      <c r="F654" s="54" t="s">
        <v>485</v>
      </c>
      <c r="G654" s="54" t="s">
        <v>485</v>
      </c>
      <c r="H654" s="54" t="s">
        <v>485</v>
      </c>
      <c r="I654" s="43">
        <f>'01_PARÂMETROS'!$B$9</f>
        <v>50</v>
      </c>
      <c r="J654" s="44">
        <f t="shared" si="30"/>
        <v>1.1499999999999999</v>
      </c>
      <c r="K654" s="45">
        <f>MAX('01_PARÂMETROS'!$B$11,MIN('01_PARÂMETROS'!$B$12,J654))</f>
        <v>1.1499999999999999</v>
      </c>
      <c r="L654" s="46">
        <f t="shared" si="31"/>
        <v>0.14999999999999991</v>
      </c>
      <c r="M654" s="47" t="str">
        <f>IF(K654&lt;='01_PARÂMETROS'!$B$14,"Preferencial",IF(K654&lt;='01_PARÂMETROS'!$B$15,"Baixo",IF(K654&lt;='01_PARÂMETROS'!$B$16,"Médio",IF(K654&lt;='01_PARÂMETROS'!$B$17,"Alto","Elevado"))))</f>
        <v>Alto</v>
      </c>
      <c r="N654" s="58" t="s">
        <v>486</v>
      </c>
      <c r="O654" s="61"/>
    </row>
    <row r="655" spans="1:15" ht="13.5" customHeight="1" x14ac:dyDescent="0.25">
      <c r="A655" s="24" t="s">
        <v>1652</v>
      </c>
      <c r="B655" s="38" t="s">
        <v>1567</v>
      </c>
      <c r="C655" s="25" t="s">
        <v>1653</v>
      </c>
      <c r="D655" s="39" t="s">
        <v>1609</v>
      </c>
      <c r="E655" s="64" t="s">
        <v>566</v>
      </c>
      <c r="F655" s="54" t="s">
        <v>485</v>
      </c>
      <c r="G655" s="54" t="s">
        <v>485</v>
      </c>
      <c r="H655" s="54" t="s">
        <v>485</v>
      </c>
      <c r="I655" s="43">
        <f>'01_PARÂMETROS'!$B$9</f>
        <v>50</v>
      </c>
      <c r="J655" s="44">
        <f t="shared" si="30"/>
        <v>1.1499999999999999</v>
      </c>
      <c r="K655" s="45">
        <f>MAX('01_PARÂMETROS'!$B$11,MIN('01_PARÂMETROS'!$B$12,J655))</f>
        <v>1.1499999999999999</v>
      </c>
      <c r="L655" s="46">
        <f t="shared" si="31"/>
        <v>0.14999999999999991</v>
      </c>
      <c r="M655" s="47" t="str">
        <f>IF(K655&lt;='01_PARÂMETROS'!$B$14,"Preferencial",IF(K655&lt;='01_PARÂMETROS'!$B$15,"Baixo",IF(K655&lt;='01_PARÂMETROS'!$B$16,"Médio",IF(K655&lt;='01_PARÂMETROS'!$B$17,"Alto","Elevado"))))</f>
        <v>Alto</v>
      </c>
      <c r="N655" s="58" t="s">
        <v>486</v>
      </c>
      <c r="O655" s="54"/>
    </row>
    <row r="656" spans="1:15" ht="13.5" customHeight="1" x14ac:dyDescent="0.25">
      <c r="A656" s="13" t="s">
        <v>1654</v>
      </c>
      <c r="B656" s="49" t="s">
        <v>1567</v>
      </c>
      <c r="C656" s="14" t="s">
        <v>1655</v>
      </c>
      <c r="D656" s="50" t="s">
        <v>1609</v>
      </c>
      <c r="E656" s="64" t="s">
        <v>566</v>
      </c>
      <c r="F656" s="54" t="s">
        <v>485</v>
      </c>
      <c r="G656" s="54" t="s">
        <v>485</v>
      </c>
      <c r="H656" s="54" t="s">
        <v>485</v>
      </c>
      <c r="I656" s="43">
        <f>'01_PARÂMETROS'!$B$9</f>
        <v>50</v>
      </c>
      <c r="J656" s="44">
        <f t="shared" si="30"/>
        <v>1.1499999999999999</v>
      </c>
      <c r="K656" s="45">
        <f>MAX('01_PARÂMETROS'!$B$11,MIN('01_PARÂMETROS'!$B$12,J656))</f>
        <v>1.1499999999999999</v>
      </c>
      <c r="L656" s="46">
        <f t="shared" si="31"/>
        <v>0.14999999999999991</v>
      </c>
      <c r="M656" s="47" t="str">
        <f>IF(K656&lt;='01_PARÂMETROS'!$B$14,"Preferencial",IF(K656&lt;='01_PARÂMETROS'!$B$15,"Baixo",IF(K656&lt;='01_PARÂMETROS'!$B$16,"Médio",IF(K656&lt;='01_PARÂMETROS'!$B$17,"Alto","Elevado"))))</f>
        <v>Alto</v>
      </c>
      <c r="N656" s="58" t="s">
        <v>486</v>
      </c>
      <c r="O656" s="61"/>
    </row>
    <row r="657" spans="1:15" ht="13.5" customHeight="1" x14ac:dyDescent="0.25">
      <c r="A657" s="24" t="s">
        <v>1656</v>
      </c>
      <c r="B657" s="38" t="s">
        <v>1567</v>
      </c>
      <c r="C657" s="25" t="s">
        <v>1657</v>
      </c>
      <c r="D657" s="39" t="s">
        <v>1609</v>
      </c>
      <c r="E657" s="64" t="s">
        <v>566</v>
      </c>
      <c r="F657" s="54" t="s">
        <v>485</v>
      </c>
      <c r="G657" s="54" t="s">
        <v>485</v>
      </c>
      <c r="H657" s="54" t="s">
        <v>485</v>
      </c>
      <c r="I657" s="43">
        <f>'01_PARÂMETROS'!$B$9</f>
        <v>50</v>
      </c>
      <c r="J657" s="44">
        <f t="shared" si="30"/>
        <v>1.1499999999999999</v>
      </c>
      <c r="K657" s="45">
        <f>MAX('01_PARÂMETROS'!$B$11,MIN('01_PARÂMETROS'!$B$12,J657))</f>
        <v>1.1499999999999999</v>
      </c>
      <c r="L657" s="46">
        <f t="shared" si="31"/>
        <v>0.14999999999999991</v>
      </c>
      <c r="M657" s="47" t="str">
        <f>IF(K657&lt;='01_PARÂMETROS'!$B$14,"Preferencial",IF(K657&lt;='01_PARÂMETROS'!$B$15,"Baixo",IF(K657&lt;='01_PARÂMETROS'!$B$16,"Médio",IF(K657&lt;='01_PARÂMETROS'!$B$17,"Alto","Elevado"))))</f>
        <v>Alto</v>
      </c>
      <c r="N657" s="58" t="s">
        <v>486</v>
      </c>
      <c r="O657" s="54"/>
    </row>
    <row r="658" spans="1:15" ht="13.5" customHeight="1" x14ac:dyDescent="0.25">
      <c r="A658" s="13" t="s">
        <v>1658</v>
      </c>
      <c r="B658" s="49" t="s">
        <v>1567</v>
      </c>
      <c r="C658" s="14" t="s">
        <v>1659</v>
      </c>
      <c r="D658" s="50" t="s">
        <v>1609</v>
      </c>
      <c r="E658" s="64" t="s">
        <v>566</v>
      </c>
      <c r="F658" s="54" t="s">
        <v>485</v>
      </c>
      <c r="G658" s="54" t="s">
        <v>485</v>
      </c>
      <c r="H658" s="54" t="s">
        <v>485</v>
      </c>
      <c r="I658" s="43">
        <f>'01_PARÂMETROS'!$B$9</f>
        <v>50</v>
      </c>
      <c r="J658" s="44">
        <f t="shared" si="30"/>
        <v>1.1499999999999999</v>
      </c>
      <c r="K658" s="45">
        <f>MAX('01_PARÂMETROS'!$B$11,MIN('01_PARÂMETROS'!$B$12,J658))</f>
        <v>1.1499999999999999</v>
      </c>
      <c r="L658" s="46">
        <f t="shared" si="31"/>
        <v>0.14999999999999991</v>
      </c>
      <c r="M658" s="47" t="str">
        <f>IF(K658&lt;='01_PARÂMETROS'!$B$14,"Preferencial",IF(K658&lt;='01_PARÂMETROS'!$B$15,"Baixo",IF(K658&lt;='01_PARÂMETROS'!$B$16,"Médio",IF(K658&lt;='01_PARÂMETROS'!$B$17,"Alto","Elevado"))))</f>
        <v>Alto</v>
      </c>
      <c r="N658" s="58" t="s">
        <v>486</v>
      </c>
      <c r="O658" s="61"/>
    </row>
    <row r="659" spans="1:15" ht="13.5" customHeight="1" x14ac:dyDescent="0.25">
      <c r="A659" s="24" t="s">
        <v>1660</v>
      </c>
      <c r="B659" s="38" t="s">
        <v>1567</v>
      </c>
      <c r="C659" s="25" t="s">
        <v>1661</v>
      </c>
      <c r="D659" s="39" t="s">
        <v>1609</v>
      </c>
      <c r="E659" s="64" t="s">
        <v>566</v>
      </c>
      <c r="F659" s="54" t="s">
        <v>485</v>
      </c>
      <c r="G659" s="54" t="s">
        <v>485</v>
      </c>
      <c r="H659" s="54" t="s">
        <v>485</v>
      </c>
      <c r="I659" s="43">
        <f>'01_PARÂMETROS'!$B$9</f>
        <v>50</v>
      </c>
      <c r="J659" s="44">
        <f t="shared" si="30"/>
        <v>1.1499999999999999</v>
      </c>
      <c r="K659" s="45">
        <f>MAX('01_PARÂMETROS'!$B$11,MIN('01_PARÂMETROS'!$B$12,J659))</f>
        <v>1.1499999999999999</v>
      </c>
      <c r="L659" s="46">
        <f t="shared" si="31"/>
        <v>0.14999999999999991</v>
      </c>
      <c r="M659" s="47" t="str">
        <f>IF(K659&lt;='01_PARÂMETROS'!$B$14,"Preferencial",IF(K659&lt;='01_PARÂMETROS'!$B$15,"Baixo",IF(K659&lt;='01_PARÂMETROS'!$B$16,"Médio",IF(K659&lt;='01_PARÂMETROS'!$B$17,"Alto","Elevado"))))</f>
        <v>Alto</v>
      </c>
      <c r="N659" s="58" t="s">
        <v>486</v>
      </c>
      <c r="O659" s="54"/>
    </row>
    <row r="660" spans="1:15" ht="13.5" customHeight="1" x14ac:dyDescent="0.25">
      <c r="A660" s="13" t="s">
        <v>1662</v>
      </c>
      <c r="B660" s="49" t="s">
        <v>1567</v>
      </c>
      <c r="C660" s="14" t="s">
        <v>1663</v>
      </c>
      <c r="D660" s="50" t="s">
        <v>1609</v>
      </c>
      <c r="E660" s="64" t="s">
        <v>566</v>
      </c>
      <c r="F660" s="54" t="s">
        <v>485</v>
      </c>
      <c r="G660" s="54" t="s">
        <v>485</v>
      </c>
      <c r="H660" s="54" t="s">
        <v>485</v>
      </c>
      <c r="I660" s="43">
        <f>'01_PARÂMETROS'!$B$9</f>
        <v>50</v>
      </c>
      <c r="J660" s="44">
        <f t="shared" si="30"/>
        <v>1.1499999999999999</v>
      </c>
      <c r="K660" s="45">
        <f>MAX('01_PARÂMETROS'!$B$11,MIN('01_PARÂMETROS'!$B$12,J660))</f>
        <v>1.1499999999999999</v>
      </c>
      <c r="L660" s="46">
        <f t="shared" si="31"/>
        <v>0.14999999999999991</v>
      </c>
      <c r="M660" s="47" t="str">
        <f>IF(K660&lt;='01_PARÂMETROS'!$B$14,"Preferencial",IF(K660&lt;='01_PARÂMETROS'!$B$15,"Baixo",IF(K660&lt;='01_PARÂMETROS'!$B$16,"Médio",IF(K660&lt;='01_PARÂMETROS'!$B$17,"Alto","Elevado"))))</f>
        <v>Alto</v>
      </c>
      <c r="N660" s="58" t="s">
        <v>486</v>
      </c>
      <c r="O660" s="61"/>
    </row>
    <row r="661" spans="1:15" ht="13.5" customHeight="1" x14ac:dyDescent="0.25">
      <c r="A661" s="24" t="s">
        <v>1664</v>
      </c>
      <c r="B661" s="38" t="s">
        <v>1665</v>
      </c>
      <c r="C661" s="25" t="s">
        <v>1666</v>
      </c>
      <c r="D661" s="39" t="s">
        <v>1667</v>
      </c>
      <c r="E661" s="65" t="s">
        <v>841</v>
      </c>
      <c r="F661" s="54" t="s">
        <v>485</v>
      </c>
      <c r="G661" s="54" t="s">
        <v>485</v>
      </c>
      <c r="H661" s="54" t="s">
        <v>485</v>
      </c>
      <c r="I661" s="43">
        <f>'01_PARÂMETROS'!$B$9</f>
        <v>50</v>
      </c>
      <c r="J661" s="44">
        <f t="shared" ref="J661:J668" si="32">0.9</f>
        <v>0.9</v>
      </c>
      <c r="K661" s="62">
        <f>MAX('01_PARÂMETROS'!$B$11,MIN('01_PARÂMETROS'!$B$12,J661))</f>
        <v>0.9</v>
      </c>
      <c r="L661" s="63">
        <f t="shared" si="31"/>
        <v>-9.9999999999999978E-2</v>
      </c>
      <c r="M661" s="17" t="str">
        <f>IF(K661&lt;='01_PARÂMETROS'!$B$14,"Preferencial",IF(K661&lt;='01_PARÂMETROS'!$B$15,"Baixo",IF(K661&lt;='01_PARÂMETROS'!$B$16,"Médio",IF(K661&lt;='01_PARÂMETROS'!$B$17,"Alto","Elevado"))))</f>
        <v>Baixo</v>
      </c>
      <c r="N661" s="58" t="s">
        <v>486</v>
      </c>
      <c r="O661" s="54"/>
    </row>
    <row r="662" spans="1:15" ht="13.5" customHeight="1" x14ac:dyDescent="0.25">
      <c r="A662" s="13" t="s">
        <v>1668</v>
      </c>
      <c r="B662" s="49" t="s">
        <v>1665</v>
      </c>
      <c r="C662" s="14" t="s">
        <v>1669</v>
      </c>
      <c r="D662" s="50" t="s">
        <v>1667</v>
      </c>
      <c r="E662" s="65" t="s">
        <v>841</v>
      </c>
      <c r="F662" s="54" t="s">
        <v>485</v>
      </c>
      <c r="G662" s="54" t="s">
        <v>485</v>
      </c>
      <c r="H662" s="54" t="s">
        <v>485</v>
      </c>
      <c r="I662" s="43">
        <f>'01_PARÂMETROS'!$B$9</f>
        <v>50</v>
      </c>
      <c r="J662" s="44">
        <f t="shared" si="32"/>
        <v>0.9</v>
      </c>
      <c r="K662" s="62">
        <f>MAX('01_PARÂMETROS'!$B$11,MIN('01_PARÂMETROS'!$B$12,J662))</f>
        <v>0.9</v>
      </c>
      <c r="L662" s="63">
        <f t="shared" si="31"/>
        <v>-9.9999999999999978E-2</v>
      </c>
      <c r="M662" s="17" t="str">
        <f>IF(K662&lt;='01_PARÂMETROS'!$B$14,"Preferencial",IF(K662&lt;='01_PARÂMETROS'!$B$15,"Baixo",IF(K662&lt;='01_PARÂMETROS'!$B$16,"Médio",IF(K662&lt;='01_PARÂMETROS'!$B$17,"Alto","Elevado"))))</f>
        <v>Baixo</v>
      </c>
      <c r="N662" s="58" t="s">
        <v>486</v>
      </c>
      <c r="O662" s="61"/>
    </row>
    <row r="663" spans="1:15" ht="13.5" customHeight="1" x14ac:dyDescent="0.25">
      <c r="A663" s="24" t="s">
        <v>1670</v>
      </c>
      <c r="B663" s="38" t="s">
        <v>1665</v>
      </c>
      <c r="C663" s="25" t="s">
        <v>1671</v>
      </c>
      <c r="D663" s="39" t="s">
        <v>1667</v>
      </c>
      <c r="E663" s="65" t="s">
        <v>841</v>
      </c>
      <c r="F663" s="54" t="s">
        <v>485</v>
      </c>
      <c r="G663" s="54" t="s">
        <v>485</v>
      </c>
      <c r="H663" s="54" t="s">
        <v>485</v>
      </c>
      <c r="I663" s="43">
        <f>'01_PARÂMETROS'!$B$9</f>
        <v>50</v>
      </c>
      <c r="J663" s="44">
        <f t="shared" si="32"/>
        <v>0.9</v>
      </c>
      <c r="K663" s="62">
        <f>MAX('01_PARÂMETROS'!$B$11,MIN('01_PARÂMETROS'!$B$12,J663))</f>
        <v>0.9</v>
      </c>
      <c r="L663" s="63">
        <f t="shared" si="31"/>
        <v>-9.9999999999999978E-2</v>
      </c>
      <c r="M663" s="17" t="str">
        <f>IF(K663&lt;='01_PARÂMETROS'!$B$14,"Preferencial",IF(K663&lt;='01_PARÂMETROS'!$B$15,"Baixo",IF(K663&lt;='01_PARÂMETROS'!$B$16,"Médio",IF(K663&lt;='01_PARÂMETROS'!$B$17,"Alto","Elevado"))))</f>
        <v>Baixo</v>
      </c>
      <c r="N663" s="58" t="s">
        <v>486</v>
      </c>
      <c r="O663" s="54"/>
    </row>
    <row r="664" spans="1:15" ht="13.5" customHeight="1" x14ac:dyDescent="0.25">
      <c r="A664" s="13" t="s">
        <v>1672</v>
      </c>
      <c r="B664" s="49" t="s">
        <v>1665</v>
      </c>
      <c r="C664" s="14" t="s">
        <v>1673</v>
      </c>
      <c r="D664" s="50" t="s">
        <v>1667</v>
      </c>
      <c r="E664" s="65" t="s">
        <v>841</v>
      </c>
      <c r="F664" s="54" t="s">
        <v>485</v>
      </c>
      <c r="G664" s="54" t="s">
        <v>485</v>
      </c>
      <c r="H664" s="54" t="s">
        <v>485</v>
      </c>
      <c r="I664" s="43">
        <f>'01_PARÂMETROS'!$B$9</f>
        <v>50</v>
      </c>
      <c r="J664" s="44">
        <f t="shared" si="32"/>
        <v>0.9</v>
      </c>
      <c r="K664" s="62">
        <f>MAX('01_PARÂMETROS'!$B$11,MIN('01_PARÂMETROS'!$B$12,J664))</f>
        <v>0.9</v>
      </c>
      <c r="L664" s="63">
        <f t="shared" si="31"/>
        <v>-9.9999999999999978E-2</v>
      </c>
      <c r="M664" s="17" t="str">
        <f>IF(K664&lt;='01_PARÂMETROS'!$B$14,"Preferencial",IF(K664&lt;='01_PARÂMETROS'!$B$15,"Baixo",IF(K664&lt;='01_PARÂMETROS'!$B$16,"Médio",IF(K664&lt;='01_PARÂMETROS'!$B$17,"Alto","Elevado"))))</f>
        <v>Baixo</v>
      </c>
      <c r="N664" s="58" t="s">
        <v>486</v>
      </c>
      <c r="O664" s="61"/>
    </row>
    <row r="665" spans="1:15" ht="13.5" customHeight="1" x14ac:dyDescent="0.25">
      <c r="A665" s="24" t="s">
        <v>1674</v>
      </c>
      <c r="B665" s="38" t="s">
        <v>1665</v>
      </c>
      <c r="C665" s="25" t="s">
        <v>1675</v>
      </c>
      <c r="D665" s="39" t="s">
        <v>1667</v>
      </c>
      <c r="E665" s="65" t="s">
        <v>841</v>
      </c>
      <c r="F665" s="54" t="s">
        <v>485</v>
      </c>
      <c r="G665" s="54" t="s">
        <v>485</v>
      </c>
      <c r="H665" s="54" t="s">
        <v>485</v>
      </c>
      <c r="I665" s="43">
        <f>'01_PARÂMETROS'!$B$9</f>
        <v>50</v>
      </c>
      <c r="J665" s="44">
        <f t="shared" si="32"/>
        <v>0.9</v>
      </c>
      <c r="K665" s="62">
        <f>MAX('01_PARÂMETROS'!$B$11,MIN('01_PARÂMETROS'!$B$12,J665))</f>
        <v>0.9</v>
      </c>
      <c r="L665" s="63">
        <f t="shared" si="31"/>
        <v>-9.9999999999999978E-2</v>
      </c>
      <c r="M665" s="17" t="str">
        <f>IF(K665&lt;='01_PARÂMETROS'!$B$14,"Preferencial",IF(K665&lt;='01_PARÂMETROS'!$B$15,"Baixo",IF(K665&lt;='01_PARÂMETROS'!$B$16,"Médio",IF(K665&lt;='01_PARÂMETROS'!$B$17,"Alto","Elevado"))))</f>
        <v>Baixo</v>
      </c>
      <c r="N665" s="58" t="s">
        <v>486</v>
      </c>
      <c r="O665" s="54"/>
    </row>
    <row r="666" spans="1:15" ht="13.5" customHeight="1" x14ac:dyDescent="0.25">
      <c r="A666" s="13" t="s">
        <v>1676</v>
      </c>
      <c r="B666" s="49" t="s">
        <v>1665</v>
      </c>
      <c r="C666" s="14" t="s">
        <v>1677</v>
      </c>
      <c r="D666" s="50" t="s">
        <v>1667</v>
      </c>
      <c r="E666" s="65" t="s">
        <v>841</v>
      </c>
      <c r="F666" s="54" t="s">
        <v>485</v>
      </c>
      <c r="G666" s="54" t="s">
        <v>485</v>
      </c>
      <c r="H666" s="54" t="s">
        <v>485</v>
      </c>
      <c r="I666" s="43">
        <f>'01_PARÂMETROS'!$B$9</f>
        <v>50</v>
      </c>
      <c r="J666" s="44">
        <f t="shared" si="32"/>
        <v>0.9</v>
      </c>
      <c r="K666" s="62">
        <f>MAX('01_PARÂMETROS'!$B$11,MIN('01_PARÂMETROS'!$B$12,J666))</f>
        <v>0.9</v>
      </c>
      <c r="L666" s="63">
        <f t="shared" si="31"/>
        <v>-9.9999999999999978E-2</v>
      </c>
      <c r="M666" s="17" t="str">
        <f>IF(K666&lt;='01_PARÂMETROS'!$B$14,"Preferencial",IF(K666&lt;='01_PARÂMETROS'!$B$15,"Baixo",IF(K666&lt;='01_PARÂMETROS'!$B$16,"Médio",IF(K666&lt;='01_PARÂMETROS'!$B$17,"Alto","Elevado"))))</f>
        <v>Baixo</v>
      </c>
      <c r="N666" s="58" t="s">
        <v>486</v>
      </c>
      <c r="O666" s="61"/>
    </row>
    <row r="667" spans="1:15" ht="13.5" customHeight="1" x14ac:dyDescent="0.25">
      <c r="A667" s="24" t="s">
        <v>1678</v>
      </c>
      <c r="B667" s="38" t="s">
        <v>1665</v>
      </c>
      <c r="C667" s="25" t="s">
        <v>1679</v>
      </c>
      <c r="D667" s="39" t="s">
        <v>1667</v>
      </c>
      <c r="E667" s="65" t="s">
        <v>841</v>
      </c>
      <c r="F667" s="54" t="s">
        <v>485</v>
      </c>
      <c r="G667" s="54" t="s">
        <v>485</v>
      </c>
      <c r="H667" s="54" t="s">
        <v>485</v>
      </c>
      <c r="I667" s="43">
        <f>'01_PARÂMETROS'!$B$9</f>
        <v>50</v>
      </c>
      <c r="J667" s="44">
        <f t="shared" si="32"/>
        <v>0.9</v>
      </c>
      <c r="K667" s="62">
        <f>MAX('01_PARÂMETROS'!$B$11,MIN('01_PARÂMETROS'!$B$12,J667))</f>
        <v>0.9</v>
      </c>
      <c r="L667" s="63">
        <f t="shared" si="31"/>
        <v>-9.9999999999999978E-2</v>
      </c>
      <c r="M667" s="17" t="str">
        <f>IF(K667&lt;='01_PARÂMETROS'!$B$14,"Preferencial",IF(K667&lt;='01_PARÂMETROS'!$B$15,"Baixo",IF(K667&lt;='01_PARÂMETROS'!$B$16,"Médio",IF(K667&lt;='01_PARÂMETROS'!$B$17,"Alto","Elevado"))))</f>
        <v>Baixo</v>
      </c>
      <c r="N667" s="58" t="s">
        <v>486</v>
      </c>
      <c r="O667" s="54"/>
    </row>
    <row r="668" spans="1:15" ht="13.5" customHeight="1" x14ac:dyDescent="0.25">
      <c r="A668" s="13" t="s">
        <v>1680</v>
      </c>
      <c r="B668" s="49" t="s">
        <v>1665</v>
      </c>
      <c r="C668" s="14" t="s">
        <v>1681</v>
      </c>
      <c r="D668" s="50" t="s">
        <v>1667</v>
      </c>
      <c r="E668" s="65" t="s">
        <v>841</v>
      </c>
      <c r="F668" s="54" t="s">
        <v>485</v>
      </c>
      <c r="G668" s="54" t="s">
        <v>485</v>
      </c>
      <c r="H668" s="54" t="s">
        <v>485</v>
      </c>
      <c r="I668" s="43">
        <f>'01_PARÂMETROS'!$B$9</f>
        <v>50</v>
      </c>
      <c r="J668" s="44">
        <f t="shared" si="32"/>
        <v>0.9</v>
      </c>
      <c r="K668" s="62">
        <f>MAX('01_PARÂMETROS'!$B$11,MIN('01_PARÂMETROS'!$B$12,J668))</f>
        <v>0.9</v>
      </c>
      <c r="L668" s="63">
        <f t="shared" si="31"/>
        <v>-9.9999999999999978E-2</v>
      </c>
      <c r="M668" s="17" t="str">
        <f>IF(K668&lt;='01_PARÂMETROS'!$B$14,"Preferencial",IF(K668&lt;='01_PARÂMETROS'!$B$15,"Baixo",IF(K668&lt;='01_PARÂMETROS'!$B$16,"Médio",IF(K668&lt;='01_PARÂMETROS'!$B$17,"Alto","Elevado"))))</f>
        <v>Baixo</v>
      </c>
      <c r="N668" s="58" t="s">
        <v>486</v>
      </c>
      <c r="O668" s="61"/>
    </row>
    <row r="669" spans="1:15" ht="13.5" customHeight="1" x14ac:dyDescent="0.25">
      <c r="A669" s="24" t="s">
        <v>1682</v>
      </c>
      <c r="B669" s="38" t="s">
        <v>1665</v>
      </c>
      <c r="C669" s="25" t="s">
        <v>1683</v>
      </c>
      <c r="D669" s="39" t="s">
        <v>1667</v>
      </c>
      <c r="E669" s="40" t="s">
        <v>477</v>
      </c>
      <c r="F669" s="54" t="s">
        <v>485</v>
      </c>
      <c r="G669" s="54" t="s">
        <v>485</v>
      </c>
      <c r="H669" s="54" t="s">
        <v>485</v>
      </c>
      <c r="I669" s="43">
        <f>'01_PARÂMETROS'!$B$9</f>
        <v>50</v>
      </c>
      <c r="J669" s="44">
        <f>1</f>
        <v>1</v>
      </c>
      <c r="K669" s="55">
        <f>MAX('01_PARÂMETROS'!$B$11,MIN('01_PARÂMETROS'!$B$12,J669))</f>
        <v>1</v>
      </c>
      <c r="L669" s="56">
        <f t="shared" si="31"/>
        <v>0</v>
      </c>
      <c r="M669" s="57" t="str">
        <f>IF(K669&lt;='01_PARÂMETROS'!$B$14,"Preferencial",IF(K669&lt;='01_PARÂMETROS'!$B$15,"Baixo",IF(K669&lt;='01_PARÂMETROS'!$B$16,"Médio",IF(K669&lt;='01_PARÂMETROS'!$B$17,"Alto","Elevado"))))</f>
        <v>Médio</v>
      </c>
      <c r="N669" s="58" t="s">
        <v>486</v>
      </c>
      <c r="O669" s="54"/>
    </row>
    <row r="670" spans="1:15" ht="13.5" customHeight="1" x14ac:dyDescent="0.25">
      <c r="A670" s="13" t="s">
        <v>1684</v>
      </c>
      <c r="B670" s="49" t="s">
        <v>1665</v>
      </c>
      <c r="C670" s="14" t="s">
        <v>1685</v>
      </c>
      <c r="D670" s="50" t="s">
        <v>1667</v>
      </c>
      <c r="E670" s="40" t="s">
        <v>477</v>
      </c>
      <c r="F670" s="54" t="s">
        <v>485</v>
      </c>
      <c r="G670" s="54" t="s">
        <v>485</v>
      </c>
      <c r="H670" s="54" t="s">
        <v>485</v>
      </c>
      <c r="I670" s="43">
        <f>'01_PARÂMETROS'!$B$9</f>
        <v>50</v>
      </c>
      <c r="J670" s="44">
        <f>1</f>
        <v>1</v>
      </c>
      <c r="K670" s="55">
        <f>MAX('01_PARÂMETROS'!$B$11,MIN('01_PARÂMETROS'!$B$12,J670))</f>
        <v>1</v>
      </c>
      <c r="L670" s="56">
        <f t="shared" si="31"/>
        <v>0</v>
      </c>
      <c r="M670" s="57" t="str">
        <f>IF(K670&lt;='01_PARÂMETROS'!$B$14,"Preferencial",IF(K670&lt;='01_PARÂMETROS'!$B$15,"Baixo",IF(K670&lt;='01_PARÂMETROS'!$B$16,"Médio",IF(K670&lt;='01_PARÂMETROS'!$B$17,"Alto","Elevado"))))</f>
        <v>Médio</v>
      </c>
      <c r="N670" s="58" t="s">
        <v>486</v>
      </c>
      <c r="O670" s="61"/>
    </row>
    <row r="671" spans="1:15" ht="13.5" customHeight="1" x14ac:dyDescent="0.25">
      <c r="A671" s="24" t="s">
        <v>1686</v>
      </c>
      <c r="B671" s="38" t="s">
        <v>1665</v>
      </c>
      <c r="C671" s="25" t="s">
        <v>1687</v>
      </c>
      <c r="D671" s="39" t="s">
        <v>1667</v>
      </c>
      <c r="E671" s="40" t="s">
        <v>477</v>
      </c>
      <c r="F671" s="54" t="s">
        <v>485</v>
      </c>
      <c r="G671" s="54" t="s">
        <v>485</v>
      </c>
      <c r="H671" s="54" t="s">
        <v>485</v>
      </c>
      <c r="I671" s="43">
        <f>'01_PARÂMETROS'!$B$9</f>
        <v>50</v>
      </c>
      <c r="J671" s="44">
        <f>1</f>
        <v>1</v>
      </c>
      <c r="K671" s="55">
        <f>MAX('01_PARÂMETROS'!$B$11,MIN('01_PARÂMETROS'!$B$12,J671))</f>
        <v>1</v>
      </c>
      <c r="L671" s="56">
        <f t="shared" si="31"/>
        <v>0</v>
      </c>
      <c r="M671" s="57" t="str">
        <f>IF(K671&lt;='01_PARÂMETROS'!$B$14,"Preferencial",IF(K671&lt;='01_PARÂMETROS'!$B$15,"Baixo",IF(K671&lt;='01_PARÂMETROS'!$B$16,"Médio",IF(K671&lt;='01_PARÂMETROS'!$B$17,"Alto","Elevado"))))</f>
        <v>Médio</v>
      </c>
      <c r="N671" s="58" t="s">
        <v>486</v>
      </c>
      <c r="O671" s="54"/>
    </row>
    <row r="672" spans="1:15" ht="13.5" customHeight="1" x14ac:dyDescent="0.25">
      <c r="A672" s="13" t="s">
        <v>1688</v>
      </c>
      <c r="B672" s="49" t="s">
        <v>1665</v>
      </c>
      <c r="C672" s="14" t="s">
        <v>1689</v>
      </c>
      <c r="D672" s="50" t="s">
        <v>1667</v>
      </c>
      <c r="E672" s="40" t="s">
        <v>477</v>
      </c>
      <c r="F672" s="54" t="s">
        <v>485</v>
      </c>
      <c r="G672" s="54" t="s">
        <v>485</v>
      </c>
      <c r="H672" s="54" t="s">
        <v>485</v>
      </c>
      <c r="I672" s="43">
        <f>'01_PARÂMETROS'!$B$9</f>
        <v>50</v>
      </c>
      <c r="J672" s="44">
        <f>1</f>
        <v>1</v>
      </c>
      <c r="K672" s="55">
        <f>MAX('01_PARÂMETROS'!$B$11,MIN('01_PARÂMETROS'!$B$12,J672))</f>
        <v>1</v>
      </c>
      <c r="L672" s="56">
        <f t="shared" si="31"/>
        <v>0</v>
      </c>
      <c r="M672" s="57" t="str">
        <f>IF(K672&lt;='01_PARÂMETROS'!$B$14,"Preferencial",IF(K672&lt;='01_PARÂMETROS'!$B$15,"Baixo",IF(K672&lt;='01_PARÂMETROS'!$B$16,"Médio",IF(K672&lt;='01_PARÂMETROS'!$B$17,"Alto","Elevado"))))</f>
        <v>Médio</v>
      </c>
      <c r="N672" s="58" t="s">
        <v>486</v>
      </c>
      <c r="O672" s="61"/>
    </row>
    <row r="673" spans="1:15" ht="13.5" customHeight="1" x14ac:dyDescent="0.25">
      <c r="A673" s="24" t="s">
        <v>1690</v>
      </c>
      <c r="B673" s="38" t="s">
        <v>1665</v>
      </c>
      <c r="C673" s="25" t="s">
        <v>1691</v>
      </c>
      <c r="D673" s="39" t="s">
        <v>1667</v>
      </c>
      <c r="E673" s="40" t="s">
        <v>477</v>
      </c>
      <c r="F673" s="54" t="s">
        <v>485</v>
      </c>
      <c r="G673" s="54" t="s">
        <v>485</v>
      </c>
      <c r="H673" s="54" t="s">
        <v>485</v>
      </c>
      <c r="I673" s="43">
        <f>'01_PARÂMETROS'!$B$9</f>
        <v>50</v>
      </c>
      <c r="J673" s="44">
        <f>1</f>
        <v>1</v>
      </c>
      <c r="K673" s="55">
        <f>MAX('01_PARÂMETROS'!$B$11,MIN('01_PARÂMETROS'!$B$12,J673))</f>
        <v>1</v>
      </c>
      <c r="L673" s="56">
        <f t="shared" si="31"/>
        <v>0</v>
      </c>
      <c r="M673" s="57" t="str">
        <f>IF(K673&lt;='01_PARÂMETROS'!$B$14,"Preferencial",IF(K673&lt;='01_PARÂMETROS'!$B$15,"Baixo",IF(K673&lt;='01_PARÂMETROS'!$B$16,"Médio",IF(K673&lt;='01_PARÂMETROS'!$B$17,"Alto","Elevado"))))</f>
        <v>Médio</v>
      </c>
      <c r="N673" s="58" t="s">
        <v>486</v>
      </c>
      <c r="O673" s="54"/>
    </row>
    <row r="674" spans="1:15" ht="13.5" customHeight="1" x14ac:dyDescent="0.25">
      <c r="A674" s="13" t="s">
        <v>1692</v>
      </c>
      <c r="B674" s="49" t="s">
        <v>1665</v>
      </c>
      <c r="C674" s="14" t="s">
        <v>1693</v>
      </c>
      <c r="D674" s="50" t="s">
        <v>1667</v>
      </c>
      <c r="E674" s="40" t="s">
        <v>477</v>
      </c>
      <c r="F674" s="54" t="s">
        <v>485</v>
      </c>
      <c r="G674" s="54" t="s">
        <v>485</v>
      </c>
      <c r="H674" s="54" t="s">
        <v>485</v>
      </c>
      <c r="I674" s="43">
        <f>'01_PARÂMETROS'!$B$9</f>
        <v>50</v>
      </c>
      <c r="J674" s="44">
        <f>1</f>
        <v>1</v>
      </c>
      <c r="K674" s="55">
        <f>MAX('01_PARÂMETROS'!$B$11,MIN('01_PARÂMETROS'!$B$12,J674))</f>
        <v>1</v>
      </c>
      <c r="L674" s="56">
        <f t="shared" si="31"/>
        <v>0</v>
      </c>
      <c r="M674" s="57" t="str">
        <f>IF(K674&lt;='01_PARÂMETROS'!$B$14,"Preferencial",IF(K674&lt;='01_PARÂMETROS'!$B$15,"Baixo",IF(K674&lt;='01_PARÂMETROS'!$B$16,"Médio",IF(K674&lt;='01_PARÂMETROS'!$B$17,"Alto","Elevado"))))</f>
        <v>Médio</v>
      </c>
      <c r="N674" s="58" t="s">
        <v>486</v>
      </c>
      <c r="O674" s="61"/>
    </row>
    <row r="675" spans="1:15" ht="13.5" customHeight="1" x14ac:dyDescent="0.25">
      <c r="A675" s="24" t="s">
        <v>1694</v>
      </c>
      <c r="B675" s="38" t="s">
        <v>1665</v>
      </c>
      <c r="C675" s="25" t="s">
        <v>1695</v>
      </c>
      <c r="D675" s="39" t="s">
        <v>1667</v>
      </c>
      <c r="E675" s="40" t="s">
        <v>477</v>
      </c>
      <c r="F675" s="54" t="s">
        <v>485</v>
      </c>
      <c r="G675" s="54" t="s">
        <v>485</v>
      </c>
      <c r="H675" s="54" t="s">
        <v>485</v>
      </c>
      <c r="I675" s="43">
        <f>'01_PARÂMETROS'!$B$9</f>
        <v>50</v>
      </c>
      <c r="J675" s="44">
        <f>1</f>
        <v>1</v>
      </c>
      <c r="K675" s="55">
        <f>MAX('01_PARÂMETROS'!$B$11,MIN('01_PARÂMETROS'!$B$12,J675))</f>
        <v>1</v>
      </c>
      <c r="L675" s="56">
        <f t="shared" si="31"/>
        <v>0</v>
      </c>
      <c r="M675" s="57" t="str">
        <f>IF(K675&lt;='01_PARÂMETROS'!$B$14,"Preferencial",IF(K675&lt;='01_PARÂMETROS'!$B$15,"Baixo",IF(K675&lt;='01_PARÂMETROS'!$B$16,"Médio",IF(K675&lt;='01_PARÂMETROS'!$B$17,"Alto","Elevado"))))</f>
        <v>Médio</v>
      </c>
      <c r="N675" s="58" t="s">
        <v>486</v>
      </c>
      <c r="O675" s="54"/>
    </row>
    <row r="676" spans="1:15" ht="13.5" customHeight="1" x14ac:dyDescent="0.25">
      <c r="A676" s="13" t="s">
        <v>1696</v>
      </c>
      <c r="B676" s="49" t="s">
        <v>1665</v>
      </c>
      <c r="C676" s="14" t="s">
        <v>1697</v>
      </c>
      <c r="D676" s="50" t="s">
        <v>1667</v>
      </c>
      <c r="E676" s="40" t="s">
        <v>477</v>
      </c>
      <c r="F676" s="54" t="s">
        <v>485</v>
      </c>
      <c r="G676" s="54" t="s">
        <v>485</v>
      </c>
      <c r="H676" s="54" t="s">
        <v>485</v>
      </c>
      <c r="I676" s="43">
        <f>'01_PARÂMETROS'!$B$9</f>
        <v>50</v>
      </c>
      <c r="J676" s="44">
        <f>1</f>
        <v>1</v>
      </c>
      <c r="K676" s="55">
        <f>MAX('01_PARÂMETROS'!$B$11,MIN('01_PARÂMETROS'!$B$12,J676))</f>
        <v>1</v>
      </c>
      <c r="L676" s="56">
        <f t="shared" si="31"/>
        <v>0</v>
      </c>
      <c r="M676" s="57" t="str">
        <f>IF(K676&lt;='01_PARÂMETROS'!$B$14,"Preferencial",IF(K676&lt;='01_PARÂMETROS'!$B$15,"Baixo",IF(K676&lt;='01_PARÂMETROS'!$B$16,"Médio",IF(K676&lt;='01_PARÂMETROS'!$B$17,"Alto","Elevado"))))</f>
        <v>Médio</v>
      </c>
      <c r="N676" s="58" t="s">
        <v>486</v>
      </c>
      <c r="O676" s="61"/>
    </row>
    <row r="677" spans="1:15" ht="13.5" customHeight="1" x14ac:dyDescent="0.25">
      <c r="A677" s="24" t="s">
        <v>1698</v>
      </c>
      <c r="B677" s="38" t="s">
        <v>1665</v>
      </c>
      <c r="C677" s="25" t="s">
        <v>1699</v>
      </c>
      <c r="D677" s="39" t="s">
        <v>1667</v>
      </c>
      <c r="E677" s="65" t="s">
        <v>841</v>
      </c>
      <c r="F677" s="54" t="s">
        <v>485</v>
      </c>
      <c r="G677" s="54" t="s">
        <v>485</v>
      </c>
      <c r="H677" s="54" t="s">
        <v>485</v>
      </c>
      <c r="I677" s="43">
        <f>'01_PARÂMETROS'!$B$9</f>
        <v>50</v>
      </c>
      <c r="J677" s="44">
        <f t="shared" ref="J677:J682" si="33">0.9</f>
        <v>0.9</v>
      </c>
      <c r="K677" s="62">
        <f>MAX('01_PARÂMETROS'!$B$11,MIN('01_PARÂMETROS'!$B$12,J677))</f>
        <v>0.9</v>
      </c>
      <c r="L677" s="63">
        <f t="shared" si="31"/>
        <v>-9.9999999999999978E-2</v>
      </c>
      <c r="M677" s="17" t="str">
        <f>IF(K677&lt;='01_PARÂMETROS'!$B$14,"Preferencial",IF(K677&lt;='01_PARÂMETROS'!$B$15,"Baixo",IF(K677&lt;='01_PARÂMETROS'!$B$16,"Médio",IF(K677&lt;='01_PARÂMETROS'!$B$17,"Alto","Elevado"))))</f>
        <v>Baixo</v>
      </c>
      <c r="N677" s="58" t="s">
        <v>486</v>
      </c>
      <c r="O677" s="54"/>
    </row>
    <row r="678" spans="1:15" ht="13.5" customHeight="1" x14ac:dyDescent="0.25">
      <c r="A678" s="13" t="s">
        <v>1700</v>
      </c>
      <c r="B678" s="49" t="s">
        <v>1665</v>
      </c>
      <c r="C678" s="14" t="s">
        <v>1701</v>
      </c>
      <c r="D678" s="50" t="s">
        <v>1667</v>
      </c>
      <c r="E678" s="65" t="s">
        <v>841</v>
      </c>
      <c r="F678" s="54" t="s">
        <v>485</v>
      </c>
      <c r="G678" s="54" t="s">
        <v>485</v>
      </c>
      <c r="H678" s="54" t="s">
        <v>485</v>
      </c>
      <c r="I678" s="43">
        <f>'01_PARÂMETROS'!$B$9</f>
        <v>50</v>
      </c>
      <c r="J678" s="44">
        <f t="shared" si="33"/>
        <v>0.9</v>
      </c>
      <c r="K678" s="62">
        <f>MAX('01_PARÂMETROS'!$B$11,MIN('01_PARÂMETROS'!$B$12,J678))</f>
        <v>0.9</v>
      </c>
      <c r="L678" s="63">
        <f t="shared" si="31"/>
        <v>-9.9999999999999978E-2</v>
      </c>
      <c r="M678" s="17" t="str">
        <f>IF(K678&lt;='01_PARÂMETROS'!$B$14,"Preferencial",IF(K678&lt;='01_PARÂMETROS'!$B$15,"Baixo",IF(K678&lt;='01_PARÂMETROS'!$B$16,"Médio",IF(K678&lt;='01_PARÂMETROS'!$B$17,"Alto","Elevado"))))</f>
        <v>Baixo</v>
      </c>
      <c r="N678" s="58" t="s">
        <v>486</v>
      </c>
      <c r="O678" s="61"/>
    </row>
    <row r="679" spans="1:15" ht="13.5" customHeight="1" x14ac:dyDescent="0.25">
      <c r="A679" s="24" t="s">
        <v>1702</v>
      </c>
      <c r="B679" s="38" t="s">
        <v>1665</v>
      </c>
      <c r="C679" s="25" t="s">
        <v>1703</v>
      </c>
      <c r="D679" s="39" t="s">
        <v>1667</v>
      </c>
      <c r="E679" s="65" t="s">
        <v>841</v>
      </c>
      <c r="F679" s="54" t="s">
        <v>485</v>
      </c>
      <c r="G679" s="54" t="s">
        <v>485</v>
      </c>
      <c r="H679" s="54" t="s">
        <v>485</v>
      </c>
      <c r="I679" s="43">
        <f>'01_PARÂMETROS'!$B$9</f>
        <v>50</v>
      </c>
      <c r="J679" s="44">
        <f t="shared" si="33"/>
        <v>0.9</v>
      </c>
      <c r="K679" s="62">
        <f>MAX('01_PARÂMETROS'!$B$11,MIN('01_PARÂMETROS'!$B$12,J679))</f>
        <v>0.9</v>
      </c>
      <c r="L679" s="63">
        <f t="shared" si="31"/>
        <v>-9.9999999999999978E-2</v>
      </c>
      <c r="M679" s="17" t="str">
        <f>IF(K679&lt;='01_PARÂMETROS'!$B$14,"Preferencial",IF(K679&lt;='01_PARÂMETROS'!$B$15,"Baixo",IF(K679&lt;='01_PARÂMETROS'!$B$16,"Médio",IF(K679&lt;='01_PARÂMETROS'!$B$17,"Alto","Elevado"))))</f>
        <v>Baixo</v>
      </c>
      <c r="N679" s="58" t="s">
        <v>486</v>
      </c>
      <c r="O679" s="54"/>
    </row>
    <row r="680" spans="1:15" ht="13.5" customHeight="1" x14ac:dyDescent="0.25">
      <c r="A680" s="13" t="s">
        <v>1704</v>
      </c>
      <c r="B680" s="49" t="s">
        <v>1665</v>
      </c>
      <c r="C680" s="14" t="s">
        <v>1705</v>
      </c>
      <c r="D680" s="50" t="s">
        <v>1667</v>
      </c>
      <c r="E680" s="65" t="s">
        <v>841</v>
      </c>
      <c r="F680" s="54" t="s">
        <v>485</v>
      </c>
      <c r="G680" s="54" t="s">
        <v>485</v>
      </c>
      <c r="H680" s="54" t="s">
        <v>485</v>
      </c>
      <c r="I680" s="43">
        <f>'01_PARÂMETROS'!$B$9</f>
        <v>50</v>
      </c>
      <c r="J680" s="44">
        <f t="shared" si="33"/>
        <v>0.9</v>
      </c>
      <c r="K680" s="62">
        <f>MAX('01_PARÂMETROS'!$B$11,MIN('01_PARÂMETROS'!$B$12,J680))</f>
        <v>0.9</v>
      </c>
      <c r="L680" s="63">
        <f t="shared" si="31"/>
        <v>-9.9999999999999978E-2</v>
      </c>
      <c r="M680" s="17" t="str">
        <f>IF(K680&lt;='01_PARÂMETROS'!$B$14,"Preferencial",IF(K680&lt;='01_PARÂMETROS'!$B$15,"Baixo",IF(K680&lt;='01_PARÂMETROS'!$B$16,"Médio",IF(K680&lt;='01_PARÂMETROS'!$B$17,"Alto","Elevado"))))</f>
        <v>Baixo</v>
      </c>
      <c r="N680" s="58" t="s">
        <v>486</v>
      </c>
      <c r="O680" s="61"/>
    </row>
    <row r="681" spans="1:15" ht="13.5" customHeight="1" x14ac:dyDescent="0.25">
      <c r="A681" s="24" t="s">
        <v>1706</v>
      </c>
      <c r="B681" s="38" t="s">
        <v>1665</v>
      </c>
      <c r="C681" s="25" t="s">
        <v>1707</v>
      </c>
      <c r="D681" s="39" t="s">
        <v>1667</v>
      </c>
      <c r="E681" s="65" t="s">
        <v>841</v>
      </c>
      <c r="F681" s="54" t="s">
        <v>485</v>
      </c>
      <c r="G681" s="54" t="s">
        <v>485</v>
      </c>
      <c r="H681" s="54" t="s">
        <v>485</v>
      </c>
      <c r="I681" s="43">
        <f>'01_PARÂMETROS'!$B$9</f>
        <v>50</v>
      </c>
      <c r="J681" s="44">
        <f t="shared" si="33"/>
        <v>0.9</v>
      </c>
      <c r="K681" s="62">
        <f>MAX('01_PARÂMETROS'!$B$11,MIN('01_PARÂMETROS'!$B$12,J681))</f>
        <v>0.9</v>
      </c>
      <c r="L681" s="63">
        <f t="shared" si="31"/>
        <v>-9.9999999999999978E-2</v>
      </c>
      <c r="M681" s="17" t="str">
        <f>IF(K681&lt;='01_PARÂMETROS'!$B$14,"Preferencial",IF(K681&lt;='01_PARÂMETROS'!$B$15,"Baixo",IF(K681&lt;='01_PARÂMETROS'!$B$16,"Médio",IF(K681&lt;='01_PARÂMETROS'!$B$17,"Alto","Elevado"))))</f>
        <v>Baixo</v>
      </c>
      <c r="N681" s="58" t="s">
        <v>486</v>
      </c>
      <c r="O681" s="54"/>
    </row>
    <row r="682" spans="1:15" ht="13.5" customHeight="1" x14ac:dyDescent="0.25">
      <c r="A682" s="13" t="s">
        <v>1708</v>
      </c>
      <c r="B682" s="49" t="s">
        <v>1665</v>
      </c>
      <c r="C682" s="14" t="s">
        <v>1709</v>
      </c>
      <c r="D682" s="50" t="s">
        <v>1667</v>
      </c>
      <c r="E682" s="65" t="s">
        <v>841</v>
      </c>
      <c r="F682" s="54" t="s">
        <v>485</v>
      </c>
      <c r="G682" s="54" t="s">
        <v>485</v>
      </c>
      <c r="H682" s="54" t="s">
        <v>485</v>
      </c>
      <c r="I682" s="43">
        <f>'01_PARÂMETROS'!$B$9</f>
        <v>50</v>
      </c>
      <c r="J682" s="44">
        <f t="shared" si="33"/>
        <v>0.9</v>
      </c>
      <c r="K682" s="62">
        <f>MAX('01_PARÂMETROS'!$B$11,MIN('01_PARÂMETROS'!$B$12,J682))</f>
        <v>0.9</v>
      </c>
      <c r="L682" s="63">
        <f t="shared" si="31"/>
        <v>-9.9999999999999978E-2</v>
      </c>
      <c r="M682" s="17" t="str">
        <f>IF(K682&lt;='01_PARÂMETROS'!$B$14,"Preferencial",IF(K682&lt;='01_PARÂMETROS'!$B$15,"Baixo",IF(K682&lt;='01_PARÂMETROS'!$B$16,"Médio",IF(K682&lt;='01_PARÂMETROS'!$B$17,"Alto","Elevado"))))</f>
        <v>Baixo</v>
      </c>
      <c r="N682" s="58" t="s">
        <v>486</v>
      </c>
      <c r="O682" s="61"/>
    </row>
    <row r="683" spans="1:15" ht="13.5" customHeight="1" x14ac:dyDescent="0.25">
      <c r="A683" s="24" t="s">
        <v>1710</v>
      </c>
      <c r="B683" s="38" t="s">
        <v>1665</v>
      </c>
      <c r="C683" s="25" t="s">
        <v>1711</v>
      </c>
      <c r="D683" s="39" t="s">
        <v>1667</v>
      </c>
      <c r="E683" s="40" t="s">
        <v>477</v>
      </c>
      <c r="F683" s="54" t="s">
        <v>485</v>
      </c>
      <c r="G683" s="54" t="s">
        <v>485</v>
      </c>
      <c r="H683" s="54" t="s">
        <v>485</v>
      </c>
      <c r="I683" s="43">
        <f>'01_PARÂMETROS'!$B$9</f>
        <v>50</v>
      </c>
      <c r="J683" s="44">
        <f>1</f>
        <v>1</v>
      </c>
      <c r="K683" s="55">
        <f>MAX('01_PARÂMETROS'!$B$11,MIN('01_PARÂMETROS'!$B$12,J683))</f>
        <v>1</v>
      </c>
      <c r="L683" s="56">
        <f t="shared" si="31"/>
        <v>0</v>
      </c>
      <c r="M683" s="57" t="str">
        <f>IF(K683&lt;='01_PARÂMETROS'!$B$14,"Preferencial",IF(K683&lt;='01_PARÂMETROS'!$B$15,"Baixo",IF(K683&lt;='01_PARÂMETROS'!$B$16,"Médio",IF(K683&lt;='01_PARÂMETROS'!$B$17,"Alto","Elevado"))))</f>
        <v>Médio</v>
      </c>
      <c r="N683" s="58" t="s">
        <v>486</v>
      </c>
      <c r="O683" s="54"/>
    </row>
    <row r="684" spans="1:15" ht="13.5" customHeight="1" x14ac:dyDescent="0.25">
      <c r="A684" s="13" t="s">
        <v>1712</v>
      </c>
      <c r="B684" s="49" t="s">
        <v>1665</v>
      </c>
      <c r="C684" s="14" t="s">
        <v>1713</v>
      </c>
      <c r="D684" s="50" t="s">
        <v>1667</v>
      </c>
      <c r="E684" s="40" t="s">
        <v>477</v>
      </c>
      <c r="F684" s="54" t="s">
        <v>485</v>
      </c>
      <c r="G684" s="54" t="s">
        <v>485</v>
      </c>
      <c r="H684" s="54" t="s">
        <v>485</v>
      </c>
      <c r="I684" s="43">
        <f>'01_PARÂMETROS'!$B$9</f>
        <v>50</v>
      </c>
      <c r="J684" s="44">
        <f>1</f>
        <v>1</v>
      </c>
      <c r="K684" s="55">
        <f>MAX('01_PARÂMETROS'!$B$11,MIN('01_PARÂMETROS'!$B$12,J684))</f>
        <v>1</v>
      </c>
      <c r="L684" s="56">
        <f t="shared" si="31"/>
        <v>0</v>
      </c>
      <c r="M684" s="57" t="str">
        <f>IF(K684&lt;='01_PARÂMETROS'!$B$14,"Preferencial",IF(K684&lt;='01_PARÂMETROS'!$B$15,"Baixo",IF(K684&lt;='01_PARÂMETROS'!$B$16,"Médio",IF(K684&lt;='01_PARÂMETROS'!$B$17,"Alto","Elevado"))))</f>
        <v>Médio</v>
      </c>
      <c r="N684" s="58" t="s">
        <v>486</v>
      </c>
      <c r="O684" s="61"/>
    </row>
    <row r="685" spans="1:15" ht="13.5" customHeight="1" x14ac:dyDescent="0.25">
      <c r="A685" s="24" t="s">
        <v>1714</v>
      </c>
      <c r="B685" s="38" t="s">
        <v>1665</v>
      </c>
      <c r="C685" s="25" t="s">
        <v>1715</v>
      </c>
      <c r="D685" s="39" t="s">
        <v>1667</v>
      </c>
      <c r="E685" s="40" t="s">
        <v>477</v>
      </c>
      <c r="F685" s="54" t="s">
        <v>485</v>
      </c>
      <c r="G685" s="54" t="s">
        <v>485</v>
      </c>
      <c r="H685" s="54" t="s">
        <v>485</v>
      </c>
      <c r="I685" s="43">
        <f>'01_PARÂMETROS'!$B$9</f>
        <v>50</v>
      </c>
      <c r="J685" s="44">
        <f>1</f>
        <v>1</v>
      </c>
      <c r="K685" s="55">
        <f>MAX('01_PARÂMETROS'!$B$11,MIN('01_PARÂMETROS'!$B$12,J685))</f>
        <v>1</v>
      </c>
      <c r="L685" s="56">
        <f t="shared" si="31"/>
        <v>0</v>
      </c>
      <c r="M685" s="57" t="str">
        <f>IF(K685&lt;='01_PARÂMETROS'!$B$14,"Preferencial",IF(K685&lt;='01_PARÂMETROS'!$B$15,"Baixo",IF(K685&lt;='01_PARÂMETROS'!$B$16,"Médio",IF(K685&lt;='01_PARÂMETROS'!$B$17,"Alto","Elevado"))))</f>
        <v>Médio</v>
      </c>
      <c r="N685" s="58" t="s">
        <v>486</v>
      </c>
      <c r="O685" s="54"/>
    </row>
    <row r="686" spans="1:15" ht="13.5" customHeight="1" x14ac:dyDescent="0.25">
      <c r="A686" s="13" t="s">
        <v>1716</v>
      </c>
      <c r="B686" s="49" t="s">
        <v>1665</v>
      </c>
      <c r="C686" s="14" t="s">
        <v>1717</v>
      </c>
      <c r="D686" s="50" t="s">
        <v>1667</v>
      </c>
      <c r="E686" s="40" t="s">
        <v>477</v>
      </c>
      <c r="F686" s="54" t="s">
        <v>485</v>
      </c>
      <c r="G686" s="54" t="s">
        <v>485</v>
      </c>
      <c r="H686" s="54" t="s">
        <v>485</v>
      </c>
      <c r="I686" s="43">
        <f>'01_PARÂMETROS'!$B$9</f>
        <v>50</v>
      </c>
      <c r="J686" s="44">
        <f>1</f>
        <v>1</v>
      </c>
      <c r="K686" s="55">
        <f>MAX('01_PARÂMETROS'!$B$11,MIN('01_PARÂMETROS'!$B$12,J686))</f>
        <v>1</v>
      </c>
      <c r="L686" s="56">
        <f t="shared" si="31"/>
        <v>0</v>
      </c>
      <c r="M686" s="57" t="str">
        <f>IF(K686&lt;='01_PARÂMETROS'!$B$14,"Preferencial",IF(K686&lt;='01_PARÂMETROS'!$B$15,"Baixo",IF(K686&lt;='01_PARÂMETROS'!$B$16,"Médio",IF(K686&lt;='01_PARÂMETROS'!$B$17,"Alto","Elevado"))))</f>
        <v>Médio</v>
      </c>
      <c r="N686" s="58" t="s">
        <v>486</v>
      </c>
      <c r="O686" s="61"/>
    </row>
    <row r="687" spans="1:15" ht="13.5" customHeight="1" x14ac:dyDescent="0.25">
      <c r="A687" s="24" t="s">
        <v>1718</v>
      </c>
      <c r="B687" s="38" t="s">
        <v>1665</v>
      </c>
      <c r="C687" s="25" t="s">
        <v>1719</v>
      </c>
      <c r="D687" s="39" t="s">
        <v>1667</v>
      </c>
      <c r="E687" s="40" t="s">
        <v>477</v>
      </c>
      <c r="F687" s="54" t="s">
        <v>485</v>
      </c>
      <c r="G687" s="54" t="s">
        <v>485</v>
      </c>
      <c r="H687" s="54" t="s">
        <v>485</v>
      </c>
      <c r="I687" s="43">
        <f>'01_PARÂMETROS'!$B$9</f>
        <v>50</v>
      </c>
      <c r="J687" s="44">
        <f>1</f>
        <v>1</v>
      </c>
      <c r="K687" s="55">
        <f>MAX('01_PARÂMETROS'!$B$11,MIN('01_PARÂMETROS'!$B$12,J687))</f>
        <v>1</v>
      </c>
      <c r="L687" s="56">
        <f t="shared" si="31"/>
        <v>0</v>
      </c>
      <c r="M687" s="57" t="str">
        <f>IF(K687&lt;='01_PARÂMETROS'!$B$14,"Preferencial",IF(K687&lt;='01_PARÂMETROS'!$B$15,"Baixo",IF(K687&lt;='01_PARÂMETROS'!$B$16,"Médio",IF(K687&lt;='01_PARÂMETROS'!$B$17,"Alto","Elevado"))))</f>
        <v>Médio</v>
      </c>
      <c r="N687" s="58" t="s">
        <v>486</v>
      </c>
      <c r="O687" s="54"/>
    </row>
    <row r="688" spans="1:15" ht="13.5" customHeight="1" x14ac:dyDescent="0.25">
      <c r="A688" s="13" t="s">
        <v>1720</v>
      </c>
      <c r="B688" s="49" t="s">
        <v>1665</v>
      </c>
      <c r="C688" s="14" t="s">
        <v>1721</v>
      </c>
      <c r="D688" s="50" t="s">
        <v>1667</v>
      </c>
      <c r="E688" s="40" t="s">
        <v>477</v>
      </c>
      <c r="F688" s="54" t="s">
        <v>485</v>
      </c>
      <c r="G688" s="54" t="s">
        <v>485</v>
      </c>
      <c r="H688" s="54" t="s">
        <v>485</v>
      </c>
      <c r="I688" s="43">
        <f>'01_PARÂMETROS'!$B$9</f>
        <v>50</v>
      </c>
      <c r="J688" s="44">
        <f>1</f>
        <v>1</v>
      </c>
      <c r="K688" s="55">
        <f>MAX('01_PARÂMETROS'!$B$11,MIN('01_PARÂMETROS'!$B$12,J688))</f>
        <v>1</v>
      </c>
      <c r="L688" s="56">
        <f t="shared" si="31"/>
        <v>0</v>
      </c>
      <c r="M688" s="57" t="str">
        <f>IF(K688&lt;='01_PARÂMETROS'!$B$14,"Preferencial",IF(K688&lt;='01_PARÂMETROS'!$B$15,"Baixo",IF(K688&lt;='01_PARÂMETROS'!$B$16,"Médio",IF(K688&lt;='01_PARÂMETROS'!$B$17,"Alto","Elevado"))))</f>
        <v>Médio</v>
      </c>
      <c r="N688" s="58" t="s">
        <v>486</v>
      </c>
      <c r="O688" s="61"/>
    </row>
    <row r="689" spans="1:15" ht="13.5" customHeight="1" x14ac:dyDescent="0.25">
      <c r="A689" s="24" t="s">
        <v>1722</v>
      </c>
      <c r="B689" s="38" t="s">
        <v>1665</v>
      </c>
      <c r="C689" s="25" t="s">
        <v>1723</v>
      </c>
      <c r="D689" s="39" t="s">
        <v>1667</v>
      </c>
      <c r="E689" s="40" t="s">
        <v>477</v>
      </c>
      <c r="F689" s="54" t="s">
        <v>485</v>
      </c>
      <c r="G689" s="54" t="s">
        <v>485</v>
      </c>
      <c r="H689" s="54" t="s">
        <v>485</v>
      </c>
      <c r="I689" s="43">
        <f>'01_PARÂMETROS'!$B$9</f>
        <v>50</v>
      </c>
      <c r="J689" s="44">
        <f>1</f>
        <v>1</v>
      </c>
      <c r="K689" s="55">
        <f>MAX('01_PARÂMETROS'!$B$11,MIN('01_PARÂMETROS'!$B$12,J689))</f>
        <v>1</v>
      </c>
      <c r="L689" s="56">
        <f t="shared" si="31"/>
        <v>0</v>
      </c>
      <c r="M689" s="57" t="str">
        <f>IF(K689&lt;='01_PARÂMETROS'!$B$14,"Preferencial",IF(K689&lt;='01_PARÂMETROS'!$B$15,"Baixo",IF(K689&lt;='01_PARÂMETROS'!$B$16,"Médio",IF(K689&lt;='01_PARÂMETROS'!$B$17,"Alto","Elevado"))))</f>
        <v>Médio</v>
      </c>
      <c r="N689" s="58" t="s">
        <v>486</v>
      </c>
      <c r="O689" s="54"/>
    </row>
    <row r="690" spans="1:15" ht="13.5" customHeight="1" x14ac:dyDescent="0.25">
      <c r="A690" s="13" t="s">
        <v>1724</v>
      </c>
      <c r="B690" s="49" t="s">
        <v>1665</v>
      </c>
      <c r="C690" s="14" t="s">
        <v>1725</v>
      </c>
      <c r="D690" s="50" t="s">
        <v>1667</v>
      </c>
      <c r="E690" s="40" t="s">
        <v>477</v>
      </c>
      <c r="F690" s="54" t="s">
        <v>485</v>
      </c>
      <c r="G690" s="54" t="s">
        <v>485</v>
      </c>
      <c r="H690" s="54" t="s">
        <v>485</v>
      </c>
      <c r="I690" s="43">
        <f>'01_PARÂMETROS'!$B$9</f>
        <v>50</v>
      </c>
      <c r="J690" s="44">
        <f>1</f>
        <v>1</v>
      </c>
      <c r="K690" s="55">
        <f>MAX('01_PARÂMETROS'!$B$11,MIN('01_PARÂMETROS'!$B$12,J690))</f>
        <v>1</v>
      </c>
      <c r="L690" s="56">
        <f t="shared" si="31"/>
        <v>0</v>
      </c>
      <c r="M690" s="57" t="str">
        <f>IF(K690&lt;='01_PARÂMETROS'!$B$14,"Preferencial",IF(K690&lt;='01_PARÂMETROS'!$B$15,"Baixo",IF(K690&lt;='01_PARÂMETROS'!$B$16,"Médio",IF(K690&lt;='01_PARÂMETROS'!$B$17,"Alto","Elevado"))))</f>
        <v>Médio</v>
      </c>
      <c r="N690" s="58" t="s">
        <v>486</v>
      </c>
      <c r="O690" s="61"/>
    </row>
    <row r="691" spans="1:15" ht="13.5" customHeight="1" x14ac:dyDescent="0.25">
      <c r="A691" s="24" t="s">
        <v>1726</v>
      </c>
      <c r="B691" s="38" t="s">
        <v>1665</v>
      </c>
      <c r="C691" s="25" t="s">
        <v>1727</v>
      </c>
      <c r="D691" s="39" t="s">
        <v>1667</v>
      </c>
      <c r="E691" s="40" t="s">
        <v>477</v>
      </c>
      <c r="F691" s="54" t="s">
        <v>485</v>
      </c>
      <c r="G691" s="54" t="s">
        <v>485</v>
      </c>
      <c r="H691" s="54" t="s">
        <v>485</v>
      </c>
      <c r="I691" s="43">
        <f>'01_PARÂMETROS'!$B$9</f>
        <v>50</v>
      </c>
      <c r="J691" s="44">
        <f>1</f>
        <v>1</v>
      </c>
      <c r="K691" s="55">
        <f>MAX('01_PARÂMETROS'!$B$11,MIN('01_PARÂMETROS'!$B$12,J691))</f>
        <v>1</v>
      </c>
      <c r="L691" s="56">
        <f t="shared" si="31"/>
        <v>0</v>
      </c>
      <c r="M691" s="57" t="str">
        <f>IF(K691&lt;='01_PARÂMETROS'!$B$14,"Preferencial",IF(K691&lt;='01_PARÂMETROS'!$B$15,"Baixo",IF(K691&lt;='01_PARÂMETROS'!$B$16,"Médio",IF(K691&lt;='01_PARÂMETROS'!$B$17,"Alto","Elevado"))))</f>
        <v>Médio</v>
      </c>
      <c r="N691" s="58" t="s">
        <v>486</v>
      </c>
      <c r="O691" s="54"/>
    </row>
    <row r="692" spans="1:15" ht="13.5" customHeight="1" x14ac:dyDescent="0.25">
      <c r="A692" s="13" t="s">
        <v>1728</v>
      </c>
      <c r="B692" s="49" t="s">
        <v>1665</v>
      </c>
      <c r="C692" s="14" t="s">
        <v>1729</v>
      </c>
      <c r="D692" s="50" t="s">
        <v>1730</v>
      </c>
      <c r="E692" s="65" t="s">
        <v>841</v>
      </c>
      <c r="F692" s="54" t="s">
        <v>485</v>
      </c>
      <c r="G692" s="54" t="s">
        <v>485</v>
      </c>
      <c r="H692" s="54" t="s">
        <v>485</v>
      </c>
      <c r="I692" s="43">
        <f>'01_PARÂMETROS'!$B$9</f>
        <v>50</v>
      </c>
      <c r="J692" s="44">
        <f t="shared" ref="J692:J723" si="34">0.9</f>
        <v>0.9</v>
      </c>
      <c r="K692" s="62">
        <f>MAX('01_PARÂMETROS'!$B$11,MIN('01_PARÂMETROS'!$B$12,J692))</f>
        <v>0.9</v>
      </c>
      <c r="L692" s="63">
        <f t="shared" si="31"/>
        <v>-9.9999999999999978E-2</v>
      </c>
      <c r="M692" s="17" t="str">
        <f>IF(K692&lt;='01_PARÂMETROS'!$B$14,"Preferencial",IF(K692&lt;='01_PARÂMETROS'!$B$15,"Baixo",IF(K692&lt;='01_PARÂMETROS'!$B$16,"Médio",IF(K692&lt;='01_PARÂMETROS'!$B$17,"Alto","Elevado"))))</f>
        <v>Baixo</v>
      </c>
      <c r="N692" s="58" t="s">
        <v>486</v>
      </c>
      <c r="O692" s="61"/>
    </row>
    <row r="693" spans="1:15" ht="13.5" customHeight="1" x14ac:dyDescent="0.25">
      <c r="A693" s="24" t="s">
        <v>1731</v>
      </c>
      <c r="B693" s="38" t="s">
        <v>1665</v>
      </c>
      <c r="C693" s="25" t="s">
        <v>1732</v>
      </c>
      <c r="D693" s="39" t="s">
        <v>1730</v>
      </c>
      <c r="E693" s="65" t="s">
        <v>841</v>
      </c>
      <c r="F693" s="54" t="s">
        <v>485</v>
      </c>
      <c r="G693" s="54" t="s">
        <v>485</v>
      </c>
      <c r="H693" s="54" t="s">
        <v>485</v>
      </c>
      <c r="I693" s="43">
        <f>'01_PARÂMETROS'!$B$9</f>
        <v>50</v>
      </c>
      <c r="J693" s="44">
        <f t="shared" si="34"/>
        <v>0.9</v>
      </c>
      <c r="K693" s="62">
        <f>MAX('01_PARÂMETROS'!$B$11,MIN('01_PARÂMETROS'!$B$12,J693))</f>
        <v>0.9</v>
      </c>
      <c r="L693" s="63">
        <f t="shared" si="31"/>
        <v>-9.9999999999999978E-2</v>
      </c>
      <c r="M693" s="17" t="str">
        <f>IF(K693&lt;='01_PARÂMETROS'!$B$14,"Preferencial",IF(K693&lt;='01_PARÂMETROS'!$B$15,"Baixo",IF(K693&lt;='01_PARÂMETROS'!$B$16,"Médio",IF(K693&lt;='01_PARÂMETROS'!$B$17,"Alto","Elevado"))))</f>
        <v>Baixo</v>
      </c>
      <c r="N693" s="58" t="s">
        <v>486</v>
      </c>
      <c r="O693" s="54"/>
    </row>
    <row r="694" spans="1:15" ht="13.5" customHeight="1" x14ac:dyDescent="0.25">
      <c r="A694" s="13" t="s">
        <v>1733</v>
      </c>
      <c r="B694" s="49" t="s">
        <v>1665</v>
      </c>
      <c r="C694" s="14" t="s">
        <v>1734</v>
      </c>
      <c r="D694" s="50" t="s">
        <v>1730</v>
      </c>
      <c r="E694" s="65" t="s">
        <v>841</v>
      </c>
      <c r="F694" s="54" t="s">
        <v>485</v>
      </c>
      <c r="G694" s="54" t="s">
        <v>485</v>
      </c>
      <c r="H694" s="54" t="s">
        <v>485</v>
      </c>
      <c r="I694" s="43">
        <f>'01_PARÂMETROS'!$B$9</f>
        <v>50</v>
      </c>
      <c r="J694" s="44">
        <f t="shared" si="34"/>
        <v>0.9</v>
      </c>
      <c r="K694" s="62">
        <f>MAX('01_PARÂMETROS'!$B$11,MIN('01_PARÂMETROS'!$B$12,J694))</f>
        <v>0.9</v>
      </c>
      <c r="L694" s="63">
        <f t="shared" si="31"/>
        <v>-9.9999999999999978E-2</v>
      </c>
      <c r="M694" s="17" t="str">
        <f>IF(K694&lt;='01_PARÂMETROS'!$B$14,"Preferencial",IF(K694&lt;='01_PARÂMETROS'!$B$15,"Baixo",IF(K694&lt;='01_PARÂMETROS'!$B$16,"Médio",IF(K694&lt;='01_PARÂMETROS'!$B$17,"Alto","Elevado"))))</f>
        <v>Baixo</v>
      </c>
      <c r="N694" s="58" t="s">
        <v>486</v>
      </c>
      <c r="O694" s="61"/>
    </row>
    <row r="695" spans="1:15" ht="13.5" customHeight="1" x14ac:dyDescent="0.25">
      <c r="A695" s="24" t="s">
        <v>1735</v>
      </c>
      <c r="B695" s="38" t="s">
        <v>1665</v>
      </c>
      <c r="C695" s="25" t="s">
        <v>1736</v>
      </c>
      <c r="D695" s="39" t="s">
        <v>1730</v>
      </c>
      <c r="E695" s="65" t="s">
        <v>841</v>
      </c>
      <c r="F695" s="54" t="s">
        <v>485</v>
      </c>
      <c r="G695" s="54" t="s">
        <v>485</v>
      </c>
      <c r="H695" s="54" t="s">
        <v>485</v>
      </c>
      <c r="I695" s="43">
        <f>'01_PARÂMETROS'!$B$9</f>
        <v>50</v>
      </c>
      <c r="J695" s="44">
        <f t="shared" si="34"/>
        <v>0.9</v>
      </c>
      <c r="K695" s="62">
        <f>MAX('01_PARÂMETROS'!$B$11,MIN('01_PARÂMETROS'!$B$12,J695))</f>
        <v>0.9</v>
      </c>
      <c r="L695" s="63">
        <f t="shared" si="31"/>
        <v>-9.9999999999999978E-2</v>
      </c>
      <c r="M695" s="17" t="str">
        <f>IF(K695&lt;='01_PARÂMETROS'!$B$14,"Preferencial",IF(K695&lt;='01_PARÂMETROS'!$B$15,"Baixo",IF(K695&lt;='01_PARÂMETROS'!$B$16,"Médio",IF(K695&lt;='01_PARÂMETROS'!$B$17,"Alto","Elevado"))))</f>
        <v>Baixo</v>
      </c>
      <c r="N695" s="58" t="s">
        <v>486</v>
      </c>
      <c r="O695" s="54"/>
    </row>
    <row r="696" spans="1:15" ht="13.5" customHeight="1" x14ac:dyDescent="0.25">
      <c r="A696" s="13" t="s">
        <v>1737</v>
      </c>
      <c r="B696" s="49" t="s">
        <v>1665</v>
      </c>
      <c r="C696" s="14" t="s">
        <v>1738</v>
      </c>
      <c r="D696" s="50" t="s">
        <v>1730</v>
      </c>
      <c r="E696" s="65" t="s">
        <v>841</v>
      </c>
      <c r="F696" s="54" t="s">
        <v>485</v>
      </c>
      <c r="G696" s="54" t="s">
        <v>485</v>
      </c>
      <c r="H696" s="54" t="s">
        <v>485</v>
      </c>
      <c r="I696" s="43">
        <f>'01_PARÂMETROS'!$B$9</f>
        <v>50</v>
      </c>
      <c r="J696" s="44">
        <f t="shared" si="34"/>
        <v>0.9</v>
      </c>
      <c r="K696" s="62">
        <f>MAX('01_PARÂMETROS'!$B$11,MIN('01_PARÂMETROS'!$B$12,J696))</f>
        <v>0.9</v>
      </c>
      <c r="L696" s="63">
        <f t="shared" si="31"/>
        <v>-9.9999999999999978E-2</v>
      </c>
      <c r="M696" s="17" t="str">
        <f>IF(K696&lt;='01_PARÂMETROS'!$B$14,"Preferencial",IF(K696&lt;='01_PARÂMETROS'!$B$15,"Baixo",IF(K696&lt;='01_PARÂMETROS'!$B$16,"Médio",IF(K696&lt;='01_PARÂMETROS'!$B$17,"Alto","Elevado"))))</f>
        <v>Baixo</v>
      </c>
      <c r="N696" s="58" t="s">
        <v>486</v>
      </c>
      <c r="O696" s="61"/>
    </row>
    <row r="697" spans="1:15" ht="13.5" customHeight="1" x14ac:dyDescent="0.25">
      <c r="A697" s="24" t="s">
        <v>1739</v>
      </c>
      <c r="B697" s="38" t="s">
        <v>1665</v>
      </c>
      <c r="C697" s="25" t="s">
        <v>1740</v>
      </c>
      <c r="D697" s="39" t="s">
        <v>1730</v>
      </c>
      <c r="E697" s="65" t="s">
        <v>841</v>
      </c>
      <c r="F697" s="54" t="s">
        <v>485</v>
      </c>
      <c r="G697" s="54" t="s">
        <v>485</v>
      </c>
      <c r="H697" s="54" t="s">
        <v>485</v>
      </c>
      <c r="I697" s="43">
        <f>'01_PARÂMETROS'!$B$9</f>
        <v>50</v>
      </c>
      <c r="J697" s="44">
        <f t="shared" si="34"/>
        <v>0.9</v>
      </c>
      <c r="K697" s="62">
        <f>MAX('01_PARÂMETROS'!$B$11,MIN('01_PARÂMETROS'!$B$12,J697))</f>
        <v>0.9</v>
      </c>
      <c r="L697" s="63">
        <f t="shared" si="31"/>
        <v>-9.9999999999999978E-2</v>
      </c>
      <c r="M697" s="17" t="str">
        <f>IF(K697&lt;='01_PARÂMETROS'!$B$14,"Preferencial",IF(K697&lt;='01_PARÂMETROS'!$B$15,"Baixo",IF(K697&lt;='01_PARÂMETROS'!$B$16,"Médio",IF(K697&lt;='01_PARÂMETROS'!$B$17,"Alto","Elevado"))))</f>
        <v>Baixo</v>
      </c>
      <c r="N697" s="58" t="s">
        <v>486</v>
      </c>
      <c r="O697" s="54"/>
    </row>
    <row r="698" spans="1:15" ht="13.5" customHeight="1" x14ac:dyDescent="0.25">
      <c r="A698" s="13" t="s">
        <v>1741</v>
      </c>
      <c r="B698" s="49" t="s">
        <v>1665</v>
      </c>
      <c r="C698" s="14" t="s">
        <v>1742</v>
      </c>
      <c r="D698" s="50" t="s">
        <v>1730</v>
      </c>
      <c r="E698" s="65" t="s">
        <v>841</v>
      </c>
      <c r="F698" s="54" t="s">
        <v>485</v>
      </c>
      <c r="G698" s="54" t="s">
        <v>485</v>
      </c>
      <c r="H698" s="54" t="s">
        <v>485</v>
      </c>
      <c r="I698" s="43">
        <f>'01_PARÂMETROS'!$B$9</f>
        <v>50</v>
      </c>
      <c r="J698" s="44">
        <f t="shared" si="34"/>
        <v>0.9</v>
      </c>
      <c r="K698" s="62">
        <f>MAX('01_PARÂMETROS'!$B$11,MIN('01_PARÂMETROS'!$B$12,J698))</f>
        <v>0.9</v>
      </c>
      <c r="L698" s="63">
        <f t="shared" si="31"/>
        <v>-9.9999999999999978E-2</v>
      </c>
      <c r="M698" s="17" t="str">
        <f>IF(K698&lt;='01_PARÂMETROS'!$B$14,"Preferencial",IF(K698&lt;='01_PARÂMETROS'!$B$15,"Baixo",IF(K698&lt;='01_PARÂMETROS'!$B$16,"Médio",IF(K698&lt;='01_PARÂMETROS'!$B$17,"Alto","Elevado"))))</f>
        <v>Baixo</v>
      </c>
      <c r="N698" s="58" t="s">
        <v>486</v>
      </c>
      <c r="O698" s="61"/>
    </row>
    <row r="699" spans="1:15" ht="13.5" customHeight="1" x14ac:dyDescent="0.25">
      <c r="A699" s="24" t="s">
        <v>1743</v>
      </c>
      <c r="B699" s="38" t="s">
        <v>1665</v>
      </c>
      <c r="C699" s="25" t="s">
        <v>1744</v>
      </c>
      <c r="D699" s="39" t="s">
        <v>1730</v>
      </c>
      <c r="E699" s="65" t="s">
        <v>841</v>
      </c>
      <c r="F699" s="54" t="s">
        <v>485</v>
      </c>
      <c r="G699" s="54" t="s">
        <v>485</v>
      </c>
      <c r="H699" s="54" t="s">
        <v>485</v>
      </c>
      <c r="I699" s="43">
        <f>'01_PARÂMETROS'!$B$9</f>
        <v>50</v>
      </c>
      <c r="J699" s="44">
        <f t="shared" si="34"/>
        <v>0.9</v>
      </c>
      <c r="K699" s="62">
        <f>MAX('01_PARÂMETROS'!$B$11,MIN('01_PARÂMETROS'!$B$12,J699))</f>
        <v>0.9</v>
      </c>
      <c r="L699" s="63">
        <f t="shared" si="31"/>
        <v>-9.9999999999999978E-2</v>
      </c>
      <c r="M699" s="17" t="str">
        <f>IF(K699&lt;='01_PARÂMETROS'!$B$14,"Preferencial",IF(K699&lt;='01_PARÂMETROS'!$B$15,"Baixo",IF(K699&lt;='01_PARÂMETROS'!$B$16,"Médio",IF(K699&lt;='01_PARÂMETROS'!$B$17,"Alto","Elevado"))))</f>
        <v>Baixo</v>
      </c>
      <c r="N699" s="58" t="s">
        <v>486</v>
      </c>
      <c r="O699" s="54"/>
    </row>
    <row r="700" spans="1:15" ht="13.5" customHeight="1" x14ac:dyDescent="0.25">
      <c r="A700" s="13" t="s">
        <v>1745</v>
      </c>
      <c r="B700" s="49" t="s">
        <v>1665</v>
      </c>
      <c r="C700" s="14" t="s">
        <v>1746</v>
      </c>
      <c r="D700" s="50" t="s">
        <v>1730</v>
      </c>
      <c r="E700" s="65" t="s">
        <v>841</v>
      </c>
      <c r="F700" s="54" t="s">
        <v>485</v>
      </c>
      <c r="G700" s="54" t="s">
        <v>485</v>
      </c>
      <c r="H700" s="54" t="s">
        <v>485</v>
      </c>
      <c r="I700" s="43">
        <f>'01_PARÂMETROS'!$B$9</f>
        <v>50</v>
      </c>
      <c r="J700" s="44">
        <f t="shared" si="34"/>
        <v>0.9</v>
      </c>
      <c r="K700" s="62">
        <f>MAX('01_PARÂMETROS'!$B$11,MIN('01_PARÂMETROS'!$B$12,J700))</f>
        <v>0.9</v>
      </c>
      <c r="L700" s="63">
        <f t="shared" si="31"/>
        <v>-9.9999999999999978E-2</v>
      </c>
      <c r="M700" s="17" t="str">
        <f>IF(K700&lt;='01_PARÂMETROS'!$B$14,"Preferencial",IF(K700&lt;='01_PARÂMETROS'!$B$15,"Baixo",IF(K700&lt;='01_PARÂMETROS'!$B$16,"Médio",IF(K700&lt;='01_PARÂMETROS'!$B$17,"Alto","Elevado"))))</f>
        <v>Baixo</v>
      </c>
      <c r="N700" s="58" t="s">
        <v>486</v>
      </c>
      <c r="O700" s="61"/>
    </row>
    <row r="701" spans="1:15" ht="13.5" customHeight="1" x14ac:dyDescent="0.25">
      <c r="A701" s="24" t="s">
        <v>1747</v>
      </c>
      <c r="B701" s="38" t="s">
        <v>1665</v>
      </c>
      <c r="C701" s="25" t="s">
        <v>1748</v>
      </c>
      <c r="D701" s="39" t="s">
        <v>1730</v>
      </c>
      <c r="E701" s="65" t="s">
        <v>841</v>
      </c>
      <c r="F701" s="54" t="s">
        <v>485</v>
      </c>
      <c r="G701" s="54" t="s">
        <v>485</v>
      </c>
      <c r="H701" s="54" t="s">
        <v>485</v>
      </c>
      <c r="I701" s="43">
        <f>'01_PARÂMETROS'!$B$9</f>
        <v>50</v>
      </c>
      <c r="J701" s="44">
        <f t="shared" si="34"/>
        <v>0.9</v>
      </c>
      <c r="K701" s="62">
        <f>MAX('01_PARÂMETROS'!$B$11,MIN('01_PARÂMETROS'!$B$12,J701))</f>
        <v>0.9</v>
      </c>
      <c r="L701" s="63">
        <f t="shared" si="31"/>
        <v>-9.9999999999999978E-2</v>
      </c>
      <c r="M701" s="17" t="str">
        <f>IF(K701&lt;='01_PARÂMETROS'!$B$14,"Preferencial",IF(K701&lt;='01_PARÂMETROS'!$B$15,"Baixo",IF(K701&lt;='01_PARÂMETROS'!$B$16,"Médio",IF(K701&lt;='01_PARÂMETROS'!$B$17,"Alto","Elevado"))))</f>
        <v>Baixo</v>
      </c>
      <c r="N701" s="58" t="s">
        <v>486</v>
      </c>
      <c r="O701" s="54"/>
    </row>
    <row r="702" spans="1:15" ht="13.5" customHeight="1" x14ac:dyDescent="0.25">
      <c r="A702" s="13" t="s">
        <v>1749</v>
      </c>
      <c r="B702" s="49" t="s">
        <v>1665</v>
      </c>
      <c r="C702" s="14" t="s">
        <v>1750</v>
      </c>
      <c r="D702" s="50" t="s">
        <v>1730</v>
      </c>
      <c r="E702" s="65" t="s">
        <v>841</v>
      </c>
      <c r="F702" s="54" t="s">
        <v>485</v>
      </c>
      <c r="G702" s="54" t="s">
        <v>485</v>
      </c>
      <c r="H702" s="54" t="s">
        <v>485</v>
      </c>
      <c r="I702" s="43">
        <f>'01_PARÂMETROS'!$B$9</f>
        <v>50</v>
      </c>
      <c r="J702" s="44">
        <f t="shared" si="34"/>
        <v>0.9</v>
      </c>
      <c r="K702" s="62">
        <f>MAX('01_PARÂMETROS'!$B$11,MIN('01_PARÂMETROS'!$B$12,J702))</f>
        <v>0.9</v>
      </c>
      <c r="L702" s="63">
        <f t="shared" si="31"/>
        <v>-9.9999999999999978E-2</v>
      </c>
      <c r="M702" s="17" t="str">
        <f>IF(K702&lt;='01_PARÂMETROS'!$B$14,"Preferencial",IF(K702&lt;='01_PARÂMETROS'!$B$15,"Baixo",IF(K702&lt;='01_PARÂMETROS'!$B$16,"Médio",IF(K702&lt;='01_PARÂMETROS'!$B$17,"Alto","Elevado"))))</f>
        <v>Baixo</v>
      </c>
      <c r="N702" s="58" t="s">
        <v>486</v>
      </c>
      <c r="O702" s="61"/>
    </row>
    <row r="703" spans="1:15" ht="13.5" customHeight="1" x14ac:dyDescent="0.25">
      <c r="A703" s="24" t="s">
        <v>1751</v>
      </c>
      <c r="B703" s="38" t="s">
        <v>1665</v>
      </c>
      <c r="C703" s="25" t="s">
        <v>1752</v>
      </c>
      <c r="D703" s="39" t="s">
        <v>1730</v>
      </c>
      <c r="E703" s="65" t="s">
        <v>841</v>
      </c>
      <c r="F703" s="54" t="s">
        <v>485</v>
      </c>
      <c r="G703" s="54" t="s">
        <v>485</v>
      </c>
      <c r="H703" s="54" t="s">
        <v>485</v>
      </c>
      <c r="I703" s="43">
        <f>'01_PARÂMETROS'!$B$9</f>
        <v>50</v>
      </c>
      <c r="J703" s="44">
        <f t="shared" si="34"/>
        <v>0.9</v>
      </c>
      <c r="K703" s="62">
        <f>MAX('01_PARÂMETROS'!$B$11,MIN('01_PARÂMETROS'!$B$12,J703))</f>
        <v>0.9</v>
      </c>
      <c r="L703" s="63">
        <f t="shared" si="31"/>
        <v>-9.9999999999999978E-2</v>
      </c>
      <c r="M703" s="17" t="str">
        <f>IF(K703&lt;='01_PARÂMETROS'!$B$14,"Preferencial",IF(K703&lt;='01_PARÂMETROS'!$B$15,"Baixo",IF(K703&lt;='01_PARÂMETROS'!$B$16,"Médio",IF(K703&lt;='01_PARÂMETROS'!$B$17,"Alto","Elevado"))))</f>
        <v>Baixo</v>
      </c>
      <c r="N703" s="58" t="s">
        <v>486</v>
      </c>
      <c r="O703" s="54"/>
    </row>
    <row r="704" spans="1:15" ht="13.5" customHeight="1" x14ac:dyDescent="0.25">
      <c r="A704" s="13" t="s">
        <v>1753</v>
      </c>
      <c r="B704" s="49" t="s">
        <v>1665</v>
      </c>
      <c r="C704" s="14" t="s">
        <v>1754</v>
      </c>
      <c r="D704" s="50" t="s">
        <v>1730</v>
      </c>
      <c r="E704" s="65" t="s">
        <v>841</v>
      </c>
      <c r="F704" s="54" t="s">
        <v>485</v>
      </c>
      <c r="G704" s="54" t="s">
        <v>485</v>
      </c>
      <c r="H704" s="54" t="s">
        <v>485</v>
      </c>
      <c r="I704" s="43">
        <f>'01_PARÂMETROS'!$B$9</f>
        <v>50</v>
      </c>
      <c r="J704" s="44">
        <f t="shared" si="34"/>
        <v>0.9</v>
      </c>
      <c r="K704" s="62">
        <f>MAX('01_PARÂMETROS'!$B$11,MIN('01_PARÂMETROS'!$B$12,J704))</f>
        <v>0.9</v>
      </c>
      <c r="L704" s="63">
        <f t="shared" si="31"/>
        <v>-9.9999999999999978E-2</v>
      </c>
      <c r="M704" s="17" t="str">
        <f>IF(K704&lt;='01_PARÂMETROS'!$B$14,"Preferencial",IF(K704&lt;='01_PARÂMETROS'!$B$15,"Baixo",IF(K704&lt;='01_PARÂMETROS'!$B$16,"Médio",IF(K704&lt;='01_PARÂMETROS'!$B$17,"Alto","Elevado"))))</f>
        <v>Baixo</v>
      </c>
      <c r="N704" s="58" t="s">
        <v>486</v>
      </c>
      <c r="O704" s="61"/>
    </row>
    <row r="705" spans="1:15" ht="13.5" customHeight="1" x14ac:dyDescent="0.25">
      <c r="A705" s="24" t="s">
        <v>1755</v>
      </c>
      <c r="B705" s="38" t="s">
        <v>1665</v>
      </c>
      <c r="C705" s="25" t="s">
        <v>1756</v>
      </c>
      <c r="D705" s="39" t="s">
        <v>1730</v>
      </c>
      <c r="E705" s="65" t="s">
        <v>841</v>
      </c>
      <c r="F705" s="54" t="s">
        <v>485</v>
      </c>
      <c r="G705" s="54" t="s">
        <v>485</v>
      </c>
      <c r="H705" s="54" t="s">
        <v>485</v>
      </c>
      <c r="I705" s="43">
        <f>'01_PARÂMETROS'!$B$9</f>
        <v>50</v>
      </c>
      <c r="J705" s="44">
        <f t="shared" si="34"/>
        <v>0.9</v>
      </c>
      <c r="K705" s="62">
        <f>MAX('01_PARÂMETROS'!$B$11,MIN('01_PARÂMETROS'!$B$12,J705))</f>
        <v>0.9</v>
      </c>
      <c r="L705" s="63">
        <f t="shared" si="31"/>
        <v>-9.9999999999999978E-2</v>
      </c>
      <c r="M705" s="17" t="str">
        <f>IF(K705&lt;='01_PARÂMETROS'!$B$14,"Preferencial",IF(K705&lt;='01_PARÂMETROS'!$B$15,"Baixo",IF(K705&lt;='01_PARÂMETROS'!$B$16,"Médio",IF(K705&lt;='01_PARÂMETROS'!$B$17,"Alto","Elevado"))))</f>
        <v>Baixo</v>
      </c>
      <c r="N705" s="58" t="s">
        <v>486</v>
      </c>
      <c r="O705" s="54"/>
    </row>
    <row r="706" spans="1:15" ht="13.5" customHeight="1" x14ac:dyDescent="0.25">
      <c r="A706" s="13" t="s">
        <v>1757</v>
      </c>
      <c r="B706" s="49" t="s">
        <v>1665</v>
      </c>
      <c r="C706" s="14" t="s">
        <v>1758</v>
      </c>
      <c r="D706" s="50" t="s">
        <v>1730</v>
      </c>
      <c r="E706" s="65" t="s">
        <v>841</v>
      </c>
      <c r="F706" s="54" t="s">
        <v>485</v>
      </c>
      <c r="G706" s="54" t="s">
        <v>485</v>
      </c>
      <c r="H706" s="54" t="s">
        <v>485</v>
      </c>
      <c r="I706" s="43">
        <f>'01_PARÂMETROS'!$B$9</f>
        <v>50</v>
      </c>
      <c r="J706" s="44">
        <f t="shared" si="34"/>
        <v>0.9</v>
      </c>
      <c r="K706" s="62">
        <f>MAX('01_PARÂMETROS'!$B$11,MIN('01_PARÂMETROS'!$B$12,J706))</f>
        <v>0.9</v>
      </c>
      <c r="L706" s="63">
        <f t="shared" si="31"/>
        <v>-9.9999999999999978E-2</v>
      </c>
      <c r="M706" s="17" t="str">
        <f>IF(K706&lt;='01_PARÂMETROS'!$B$14,"Preferencial",IF(K706&lt;='01_PARÂMETROS'!$B$15,"Baixo",IF(K706&lt;='01_PARÂMETROS'!$B$16,"Médio",IF(K706&lt;='01_PARÂMETROS'!$B$17,"Alto","Elevado"))))</f>
        <v>Baixo</v>
      </c>
      <c r="N706" s="58" t="s">
        <v>486</v>
      </c>
      <c r="O706" s="61"/>
    </row>
    <row r="707" spans="1:15" ht="13.5" customHeight="1" x14ac:dyDescent="0.25">
      <c r="A707" s="24" t="s">
        <v>1759</v>
      </c>
      <c r="B707" s="38" t="s">
        <v>1665</v>
      </c>
      <c r="C707" s="25" t="s">
        <v>1760</v>
      </c>
      <c r="D707" s="39" t="s">
        <v>1730</v>
      </c>
      <c r="E707" s="65" t="s">
        <v>841</v>
      </c>
      <c r="F707" s="54" t="s">
        <v>485</v>
      </c>
      <c r="G707" s="54" t="s">
        <v>485</v>
      </c>
      <c r="H707" s="54" t="s">
        <v>485</v>
      </c>
      <c r="I707" s="43">
        <f>'01_PARÂMETROS'!$B$9</f>
        <v>50</v>
      </c>
      <c r="J707" s="44">
        <f t="shared" si="34"/>
        <v>0.9</v>
      </c>
      <c r="K707" s="62">
        <f>MAX('01_PARÂMETROS'!$B$11,MIN('01_PARÂMETROS'!$B$12,J707))</f>
        <v>0.9</v>
      </c>
      <c r="L707" s="63">
        <f t="shared" si="31"/>
        <v>-9.9999999999999978E-2</v>
      </c>
      <c r="M707" s="17" t="str">
        <f>IF(K707&lt;='01_PARÂMETROS'!$B$14,"Preferencial",IF(K707&lt;='01_PARÂMETROS'!$B$15,"Baixo",IF(K707&lt;='01_PARÂMETROS'!$B$16,"Médio",IF(K707&lt;='01_PARÂMETROS'!$B$17,"Alto","Elevado"))))</f>
        <v>Baixo</v>
      </c>
      <c r="N707" s="58" t="s">
        <v>486</v>
      </c>
      <c r="O707" s="54"/>
    </row>
    <row r="708" spans="1:15" ht="13.5" customHeight="1" x14ac:dyDescent="0.25">
      <c r="A708" s="13" t="s">
        <v>1761</v>
      </c>
      <c r="B708" s="49" t="s">
        <v>1665</v>
      </c>
      <c r="C708" s="14" t="s">
        <v>1762</v>
      </c>
      <c r="D708" s="50" t="s">
        <v>1730</v>
      </c>
      <c r="E708" s="65" t="s">
        <v>841</v>
      </c>
      <c r="F708" s="54" t="s">
        <v>485</v>
      </c>
      <c r="G708" s="54" t="s">
        <v>485</v>
      </c>
      <c r="H708" s="54" t="s">
        <v>485</v>
      </c>
      <c r="I708" s="43">
        <f>'01_PARÂMETROS'!$B$9</f>
        <v>50</v>
      </c>
      <c r="J708" s="44">
        <f t="shared" si="34"/>
        <v>0.9</v>
      </c>
      <c r="K708" s="62">
        <f>MAX('01_PARÂMETROS'!$B$11,MIN('01_PARÂMETROS'!$B$12,J708))</f>
        <v>0.9</v>
      </c>
      <c r="L708" s="63">
        <f t="shared" si="31"/>
        <v>-9.9999999999999978E-2</v>
      </c>
      <c r="M708" s="17" t="str">
        <f>IF(K708&lt;='01_PARÂMETROS'!$B$14,"Preferencial",IF(K708&lt;='01_PARÂMETROS'!$B$15,"Baixo",IF(K708&lt;='01_PARÂMETROS'!$B$16,"Médio",IF(K708&lt;='01_PARÂMETROS'!$B$17,"Alto","Elevado"))))</f>
        <v>Baixo</v>
      </c>
      <c r="N708" s="58" t="s">
        <v>486</v>
      </c>
      <c r="O708" s="61"/>
    </row>
    <row r="709" spans="1:15" ht="13.5" customHeight="1" x14ac:dyDescent="0.25">
      <c r="A709" s="24" t="s">
        <v>1763</v>
      </c>
      <c r="B709" s="38" t="s">
        <v>1665</v>
      </c>
      <c r="C709" s="25" t="s">
        <v>1764</v>
      </c>
      <c r="D709" s="39" t="s">
        <v>1730</v>
      </c>
      <c r="E709" s="65" t="s">
        <v>841</v>
      </c>
      <c r="F709" s="54" t="s">
        <v>485</v>
      </c>
      <c r="G709" s="54" t="s">
        <v>485</v>
      </c>
      <c r="H709" s="54" t="s">
        <v>485</v>
      </c>
      <c r="I709" s="43">
        <f>'01_PARÂMETROS'!$B$9</f>
        <v>50</v>
      </c>
      <c r="J709" s="44">
        <f t="shared" si="34"/>
        <v>0.9</v>
      </c>
      <c r="K709" s="62">
        <f>MAX('01_PARÂMETROS'!$B$11,MIN('01_PARÂMETROS'!$B$12,J709))</f>
        <v>0.9</v>
      </c>
      <c r="L709" s="63">
        <f t="shared" ref="L709:L772" si="35">(K709-1)</f>
        <v>-9.9999999999999978E-2</v>
      </c>
      <c r="M709" s="17" t="str">
        <f>IF(K709&lt;='01_PARÂMETROS'!$B$14,"Preferencial",IF(K709&lt;='01_PARÂMETROS'!$B$15,"Baixo",IF(K709&lt;='01_PARÂMETROS'!$B$16,"Médio",IF(K709&lt;='01_PARÂMETROS'!$B$17,"Alto","Elevado"))))</f>
        <v>Baixo</v>
      </c>
      <c r="N709" s="58" t="s">
        <v>486</v>
      </c>
      <c r="O709" s="54"/>
    </row>
    <row r="710" spans="1:15" ht="13.5" customHeight="1" x14ac:dyDescent="0.25">
      <c r="A710" s="13" t="s">
        <v>1765</v>
      </c>
      <c r="B710" s="49" t="s">
        <v>1665</v>
      </c>
      <c r="C710" s="14" t="s">
        <v>1766</v>
      </c>
      <c r="D710" s="50" t="s">
        <v>1730</v>
      </c>
      <c r="E710" s="65" t="s">
        <v>841</v>
      </c>
      <c r="F710" s="54" t="s">
        <v>485</v>
      </c>
      <c r="G710" s="54" t="s">
        <v>485</v>
      </c>
      <c r="H710" s="54" t="s">
        <v>485</v>
      </c>
      <c r="I710" s="43">
        <f>'01_PARÂMETROS'!$B$9</f>
        <v>50</v>
      </c>
      <c r="J710" s="44">
        <f t="shared" si="34"/>
        <v>0.9</v>
      </c>
      <c r="K710" s="62">
        <f>MAX('01_PARÂMETROS'!$B$11,MIN('01_PARÂMETROS'!$B$12,J710))</f>
        <v>0.9</v>
      </c>
      <c r="L710" s="63">
        <f t="shared" si="35"/>
        <v>-9.9999999999999978E-2</v>
      </c>
      <c r="M710" s="17" t="str">
        <f>IF(K710&lt;='01_PARÂMETROS'!$B$14,"Preferencial",IF(K710&lt;='01_PARÂMETROS'!$B$15,"Baixo",IF(K710&lt;='01_PARÂMETROS'!$B$16,"Médio",IF(K710&lt;='01_PARÂMETROS'!$B$17,"Alto","Elevado"))))</f>
        <v>Baixo</v>
      </c>
      <c r="N710" s="58" t="s">
        <v>486</v>
      </c>
      <c r="O710" s="61"/>
    </row>
    <row r="711" spans="1:15" ht="13.5" customHeight="1" x14ac:dyDescent="0.25">
      <c r="A711" s="24" t="s">
        <v>1767</v>
      </c>
      <c r="B711" s="38" t="s">
        <v>1665</v>
      </c>
      <c r="C711" s="25" t="s">
        <v>1768</v>
      </c>
      <c r="D711" s="39" t="s">
        <v>1730</v>
      </c>
      <c r="E711" s="65" t="s">
        <v>841</v>
      </c>
      <c r="F711" s="54" t="s">
        <v>485</v>
      </c>
      <c r="G711" s="54" t="s">
        <v>485</v>
      </c>
      <c r="H711" s="54" t="s">
        <v>485</v>
      </c>
      <c r="I711" s="43">
        <f>'01_PARÂMETROS'!$B$9</f>
        <v>50</v>
      </c>
      <c r="J711" s="44">
        <f t="shared" si="34"/>
        <v>0.9</v>
      </c>
      <c r="K711" s="62">
        <f>MAX('01_PARÂMETROS'!$B$11,MIN('01_PARÂMETROS'!$B$12,J711))</f>
        <v>0.9</v>
      </c>
      <c r="L711" s="63">
        <f t="shared" si="35"/>
        <v>-9.9999999999999978E-2</v>
      </c>
      <c r="M711" s="17" t="str">
        <f>IF(K711&lt;='01_PARÂMETROS'!$B$14,"Preferencial",IF(K711&lt;='01_PARÂMETROS'!$B$15,"Baixo",IF(K711&lt;='01_PARÂMETROS'!$B$16,"Médio",IF(K711&lt;='01_PARÂMETROS'!$B$17,"Alto","Elevado"))))</f>
        <v>Baixo</v>
      </c>
      <c r="N711" s="58" t="s">
        <v>486</v>
      </c>
      <c r="O711" s="54"/>
    </row>
    <row r="712" spans="1:15" ht="13.5" customHeight="1" x14ac:dyDescent="0.25">
      <c r="A712" s="13" t="s">
        <v>1769</v>
      </c>
      <c r="B712" s="49" t="s">
        <v>1665</v>
      </c>
      <c r="C712" s="14" t="s">
        <v>1770</v>
      </c>
      <c r="D712" s="50" t="s">
        <v>1730</v>
      </c>
      <c r="E712" s="65" t="s">
        <v>841</v>
      </c>
      <c r="F712" s="54" t="s">
        <v>485</v>
      </c>
      <c r="G712" s="54" t="s">
        <v>485</v>
      </c>
      <c r="H712" s="54" t="s">
        <v>485</v>
      </c>
      <c r="I712" s="43">
        <f>'01_PARÂMETROS'!$B$9</f>
        <v>50</v>
      </c>
      <c r="J712" s="44">
        <f t="shared" si="34"/>
        <v>0.9</v>
      </c>
      <c r="K712" s="62">
        <f>MAX('01_PARÂMETROS'!$B$11,MIN('01_PARÂMETROS'!$B$12,J712))</f>
        <v>0.9</v>
      </c>
      <c r="L712" s="63">
        <f t="shared" si="35"/>
        <v>-9.9999999999999978E-2</v>
      </c>
      <c r="M712" s="17" t="str">
        <f>IF(K712&lt;='01_PARÂMETROS'!$B$14,"Preferencial",IF(K712&lt;='01_PARÂMETROS'!$B$15,"Baixo",IF(K712&lt;='01_PARÂMETROS'!$B$16,"Médio",IF(K712&lt;='01_PARÂMETROS'!$B$17,"Alto","Elevado"))))</f>
        <v>Baixo</v>
      </c>
      <c r="N712" s="58" t="s">
        <v>486</v>
      </c>
      <c r="O712" s="61"/>
    </row>
    <row r="713" spans="1:15" ht="13.5" customHeight="1" x14ac:dyDescent="0.25">
      <c r="A713" s="24" t="s">
        <v>1771</v>
      </c>
      <c r="B713" s="38" t="s">
        <v>1665</v>
      </c>
      <c r="C713" s="25" t="s">
        <v>1772</v>
      </c>
      <c r="D713" s="39" t="s">
        <v>1730</v>
      </c>
      <c r="E713" s="65" t="s">
        <v>841</v>
      </c>
      <c r="F713" s="54" t="s">
        <v>485</v>
      </c>
      <c r="G713" s="54" t="s">
        <v>485</v>
      </c>
      <c r="H713" s="54" t="s">
        <v>485</v>
      </c>
      <c r="I713" s="43">
        <f>'01_PARÂMETROS'!$B$9</f>
        <v>50</v>
      </c>
      <c r="J713" s="44">
        <f t="shared" si="34"/>
        <v>0.9</v>
      </c>
      <c r="K713" s="62">
        <f>MAX('01_PARÂMETROS'!$B$11,MIN('01_PARÂMETROS'!$B$12,J713))</f>
        <v>0.9</v>
      </c>
      <c r="L713" s="63">
        <f t="shared" si="35"/>
        <v>-9.9999999999999978E-2</v>
      </c>
      <c r="M713" s="17" t="str">
        <f>IF(K713&lt;='01_PARÂMETROS'!$B$14,"Preferencial",IF(K713&lt;='01_PARÂMETROS'!$B$15,"Baixo",IF(K713&lt;='01_PARÂMETROS'!$B$16,"Médio",IF(K713&lt;='01_PARÂMETROS'!$B$17,"Alto","Elevado"))))</f>
        <v>Baixo</v>
      </c>
      <c r="N713" s="58" t="s">
        <v>486</v>
      </c>
      <c r="O713" s="54"/>
    </row>
    <row r="714" spans="1:15" ht="13.5" customHeight="1" x14ac:dyDescent="0.25">
      <c r="A714" s="13" t="s">
        <v>1773</v>
      </c>
      <c r="B714" s="49" t="s">
        <v>1665</v>
      </c>
      <c r="C714" s="14" t="s">
        <v>1774</v>
      </c>
      <c r="D714" s="50" t="s">
        <v>1730</v>
      </c>
      <c r="E714" s="65" t="s">
        <v>841</v>
      </c>
      <c r="F714" s="54" t="s">
        <v>485</v>
      </c>
      <c r="G714" s="54" t="s">
        <v>485</v>
      </c>
      <c r="H714" s="54" t="s">
        <v>485</v>
      </c>
      <c r="I714" s="43">
        <f>'01_PARÂMETROS'!$B$9</f>
        <v>50</v>
      </c>
      <c r="J714" s="44">
        <f t="shared" si="34"/>
        <v>0.9</v>
      </c>
      <c r="K714" s="62">
        <f>MAX('01_PARÂMETROS'!$B$11,MIN('01_PARÂMETROS'!$B$12,J714))</f>
        <v>0.9</v>
      </c>
      <c r="L714" s="63">
        <f t="shared" si="35"/>
        <v>-9.9999999999999978E-2</v>
      </c>
      <c r="M714" s="17" t="str">
        <f>IF(K714&lt;='01_PARÂMETROS'!$B$14,"Preferencial",IF(K714&lt;='01_PARÂMETROS'!$B$15,"Baixo",IF(K714&lt;='01_PARÂMETROS'!$B$16,"Médio",IF(K714&lt;='01_PARÂMETROS'!$B$17,"Alto","Elevado"))))</f>
        <v>Baixo</v>
      </c>
      <c r="N714" s="58" t="s">
        <v>486</v>
      </c>
      <c r="O714" s="61"/>
    </row>
    <row r="715" spans="1:15" ht="13.5" customHeight="1" x14ac:dyDescent="0.25">
      <c r="A715" s="24" t="s">
        <v>1775</v>
      </c>
      <c r="B715" s="38" t="s">
        <v>1665</v>
      </c>
      <c r="C715" s="25" t="s">
        <v>1776</v>
      </c>
      <c r="D715" s="39" t="s">
        <v>1730</v>
      </c>
      <c r="E715" s="65" t="s">
        <v>841</v>
      </c>
      <c r="F715" s="54" t="s">
        <v>485</v>
      </c>
      <c r="G715" s="54" t="s">
        <v>485</v>
      </c>
      <c r="H715" s="54" t="s">
        <v>485</v>
      </c>
      <c r="I715" s="43">
        <f>'01_PARÂMETROS'!$B$9</f>
        <v>50</v>
      </c>
      <c r="J715" s="44">
        <f t="shared" si="34"/>
        <v>0.9</v>
      </c>
      <c r="K715" s="62">
        <f>MAX('01_PARÂMETROS'!$B$11,MIN('01_PARÂMETROS'!$B$12,J715))</f>
        <v>0.9</v>
      </c>
      <c r="L715" s="63">
        <f t="shared" si="35"/>
        <v>-9.9999999999999978E-2</v>
      </c>
      <c r="M715" s="17" t="str">
        <f>IF(K715&lt;='01_PARÂMETROS'!$B$14,"Preferencial",IF(K715&lt;='01_PARÂMETROS'!$B$15,"Baixo",IF(K715&lt;='01_PARÂMETROS'!$B$16,"Médio",IF(K715&lt;='01_PARÂMETROS'!$B$17,"Alto","Elevado"))))</f>
        <v>Baixo</v>
      </c>
      <c r="N715" s="58" t="s">
        <v>486</v>
      </c>
      <c r="O715" s="54"/>
    </row>
    <row r="716" spans="1:15" ht="13.5" customHeight="1" x14ac:dyDescent="0.25">
      <c r="A716" s="13" t="s">
        <v>1777</v>
      </c>
      <c r="B716" s="49" t="s">
        <v>1665</v>
      </c>
      <c r="C716" s="14" t="s">
        <v>1778</v>
      </c>
      <c r="D716" s="50" t="s">
        <v>1730</v>
      </c>
      <c r="E716" s="65" t="s">
        <v>841</v>
      </c>
      <c r="F716" s="54" t="s">
        <v>485</v>
      </c>
      <c r="G716" s="54" t="s">
        <v>485</v>
      </c>
      <c r="H716" s="54" t="s">
        <v>485</v>
      </c>
      <c r="I716" s="43">
        <f>'01_PARÂMETROS'!$B$9</f>
        <v>50</v>
      </c>
      <c r="J716" s="44">
        <f t="shared" si="34"/>
        <v>0.9</v>
      </c>
      <c r="K716" s="62">
        <f>MAX('01_PARÂMETROS'!$B$11,MIN('01_PARÂMETROS'!$B$12,J716))</f>
        <v>0.9</v>
      </c>
      <c r="L716" s="63">
        <f t="shared" si="35"/>
        <v>-9.9999999999999978E-2</v>
      </c>
      <c r="M716" s="17" t="str">
        <f>IF(K716&lt;='01_PARÂMETROS'!$B$14,"Preferencial",IF(K716&lt;='01_PARÂMETROS'!$B$15,"Baixo",IF(K716&lt;='01_PARÂMETROS'!$B$16,"Médio",IF(K716&lt;='01_PARÂMETROS'!$B$17,"Alto","Elevado"))))</f>
        <v>Baixo</v>
      </c>
      <c r="N716" s="58" t="s">
        <v>486</v>
      </c>
      <c r="O716" s="61"/>
    </row>
    <row r="717" spans="1:15" ht="13.5" customHeight="1" x14ac:dyDescent="0.25">
      <c r="A717" s="24" t="s">
        <v>1779</v>
      </c>
      <c r="B717" s="38" t="s">
        <v>1665</v>
      </c>
      <c r="C717" s="25" t="s">
        <v>1780</v>
      </c>
      <c r="D717" s="39" t="s">
        <v>1730</v>
      </c>
      <c r="E717" s="65" t="s">
        <v>841</v>
      </c>
      <c r="F717" s="54" t="s">
        <v>485</v>
      </c>
      <c r="G717" s="54" t="s">
        <v>485</v>
      </c>
      <c r="H717" s="54" t="s">
        <v>485</v>
      </c>
      <c r="I717" s="43">
        <f>'01_PARÂMETROS'!$B$9</f>
        <v>50</v>
      </c>
      <c r="J717" s="44">
        <f t="shared" si="34"/>
        <v>0.9</v>
      </c>
      <c r="K717" s="62">
        <f>MAX('01_PARÂMETROS'!$B$11,MIN('01_PARÂMETROS'!$B$12,J717))</f>
        <v>0.9</v>
      </c>
      <c r="L717" s="63">
        <f t="shared" si="35"/>
        <v>-9.9999999999999978E-2</v>
      </c>
      <c r="M717" s="17" t="str">
        <f>IF(K717&lt;='01_PARÂMETROS'!$B$14,"Preferencial",IF(K717&lt;='01_PARÂMETROS'!$B$15,"Baixo",IF(K717&lt;='01_PARÂMETROS'!$B$16,"Médio",IF(K717&lt;='01_PARÂMETROS'!$B$17,"Alto","Elevado"))))</f>
        <v>Baixo</v>
      </c>
      <c r="N717" s="58" t="s">
        <v>486</v>
      </c>
      <c r="O717" s="54"/>
    </row>
    <row r="718" spans="1:15" ht="13.5" customHeight="1" x14ac:dyDescent="0.25">
      <c r="A718" s="13" t="s">
        <v>1781</v>
      </c>
      <c r="B718" s="49" t="s">
        <v>1665</v>
      </c>
      <c r="C718" s="14" t="s">
        <v>1782</v>
      </c>
      <c r="D718" s="50" t="s">
        <v>1730</v>
      </c>
      <c r="E718" s="65" t="s">
        <v>841</v>
      </c>
      <c r="F718" s="54" t="s">
        <v>485</v>
      </c>
      <c r="G718" s="54" t="s">
        <v>485</v>
      </c>
      <c r="H718" s="54" t="s">
        <v>485</v>
      </c>
      <c r="I718" s="43">
        <f>'01_PARÂMETROS'!$B$9</f>
        <v>50</v>
      </c>
      <c r="J718" s="44">
        <f t="shared" si="34"/>
        <v>0.9</v>
      </c>
      <c r="K718" s="62">
        <f>MAX('01_PARÂMETROS'!$B$11,MIN('01_PARÂMETROS'!$B$12,J718))</f>
        <v>0.9</v>
      </c>
      <c r="L718" s="63">
        <f t="shared" si="35"/>
        <v>-9.9999999999999978E-2</v>
      </c>
      <c r="M718" s="17" t="str">
        <f>IF(K718&lt;='01_PARÂMETROS'!$B$14,"Preferencial",IF(K718&lt;='01_PARÂMETROS'!$B$15,"Baixo",IF(K718&lt;='01_PARÂMETROS'!$B$16,"Médio",IF(K718&lt;='01_PARÂMETROS'!$B$17,"Alto","Elevado"))))</f>
        <v>Baixo</v>
      </c>
      <c r="N718" s="58" t="s">
        <v>486</v>
      </c>
      <c r="O718" s="61"/>
    </row>
    <row r="719" spans="1:15" ht="13.5" customHeight="1" x14ac:dyDescent="0.25">
      <c r="A719" s="24" t="s">
        <v>1783</v>
      </c>
      <c r="B719" s="38" t="s">
        <v>1665</v>
      </c>
      <c r="C719" s="25" t="s">
        <v>1784</v>
      </c>
      <c r="D719" s="39" t="s">
        <v>1730</v>
      </c>
      <c r="E719" s="65" t="s">
        <v>841</v>
      </c>
      <c r="F719" s="54" t="s">
        <v>485</v>
      </c>
      <c r="G719" s="54" t="s">
        <v>485</v>
      </c>
      <c r="H719" s="54" t="s">
        <v>485</v>
      </c>
      <c r="I719" s="43">
        <f>'01_PARÂMETROS'!$B$9</f>
        <v>50</v>
      </c>
      <c r="J719" s="44">
        <f t="shared" si="34"/>
        <v>0.9</v>
      </c>
      <c r="K719" s="62">
        <f>MAX('01_PARÂMETROS'!$B$11,MIN('01_PARÂMETROS'!$B$12,J719))</f>
        <v>0.9</v>
      </c>
      <c r="L719" s="63">
        <f t="shared" si="35"/>
        <v>-9.9999999999999978E-2</v>
      </c>
      <c r="M719" s="17" t="str">
        <f>IF(K719&lt;='01_PARÂMETROS'!$B$14,"Preferencial",IF(K719&lt;='01_PARÂMETROS'!$B$15,"Baixo",IF(K719&lt;='01_PARÂMETROS'!$B$16,"Médio",IF(K719&lt;='01_PARÂMETROS'!$B$17,"Alto","Elevado"))))</f>
        <v>Baixo</v>
      </c>
      <c r="N719" s="58" t="s">
        <v>486</v>
      </c>
      <c r="O719" s="54"/>
    </row>
    <row r="720" spans="1:15" ht="13.5" customHeight="1" x14ac:dyDescent="0.25">
      <c r="A720" s="13" t="s">
        <v>1785</v>
      </c>
      <c r="B720" s="49" t="s">
        <v>1665</v>
      </c>
      <c r="C720" s="14" t="s">
        <v>1786</v>
      </c>
      <c r="D720" s="50" t="s">
        <v>1730</v>
      </c>
      <c r="E720" s="65" t="s">
        <v>841</v>
      </c>
      <c r="F720" s="54" t="s">
        <v>485</v>
      </c>
      <c r="G720" s="54" t="s">
        <v>485</v>
      </c>
      <c r="H720" s="54" t="s">
        <v>485</v>
      </c>
      <c r="I720" s="43">
        <f>'01_PARÂMETROS'!$B$9</f>
        <v>50</v>
      </c>
      <c r="J720" s="44">
        <f t="shared" si="34"/>
        <v>0.9</v>
      </c>
      <c r="K720" s="62">
        <f>MAX('01_PARÂMETROS'!$B$11,MIN('01_PARÂMETROS'!$B$12,J720))</f>
        <v>0.9</v>
      </c>
      <c r="L720" s="63">
        <f t="shared" si="35"/>
        <v>-9.9999999999999978E-2</v>
      </c>
      <c r="M720" s="17" t="str">
        <f>IF(K720&lt;='01_PARÂMETROS'!$B$14,"Preferencial",IF(K720&lt;='01_PARÂMETROS'!$B$15,"Baixo",IF(K720&lt;='01_PARÂMETROS'!$B$16,"Médio",IF(K720&lt;='01_PARÂMETROS'!$B$17,"Alto","Elevado"))))</f>
        <v>Baixo</v>
      </c>
      <c r="N720" s="58" t="s">
        <v>486</v>
      </c>
      <c r="O720" s="61"/>
    </row>
    <row r="721" spans="1:15" ht="13.5" customHeight="1" x14ac:dyDescent="0.25">
      <c r="A721" s="24" t="s">
        <v>1787</v>
      </c>
      <c r="B721" s="38" t="s">
        <v>1665</v>
      </c>
      <c r="C721" s="25" t="s">
        <v>1788</v>
      </c>
      <c r="D721" s="39" t="s">
        <v>1730</v>
      </c>
      <c r="E721" s="65" t="s">
        <v>841</v>
      </c>
      <c r="F721" s="54" t="s">
        <v>485</v>
      </c>
      <c r="G721" s="54" t="s">
        <v>485</v>
      </c>
      <c r="H721" s="54" t="s">
        <v>485</v>
      </c>
      <c r="I721" s="43">
        <f>'01_PARÂMETROS'!$B$9</f>
        <v>50</v>
      </c>
      <c r="J721" s="44">
        <f t="shared" si="34"/>
        <v>0.9</v>
      </c>
      <c r="K721" s="62">
        <f>MAX('01_PARÂMETROS'!$B$11,MIN('01_PARÂMETROS'!$B$12,J721))</f>
        <v>0.9</v>
      </c>
      <c r="L721" s="63">
        <f t="shared" si="35"/>
        <v>-9.9999999999999978E-2</v>
      </c>
      <c r="M721" s="17" t="str">
        <f>IF(K721&lt;='01_PARÂMETROS'!$B$14,"Preferencial",IF(K721&lt;='01_PARÂMETROS'!$B$15,"Baixo",IF(K721&lt;='01_PARÂMETROS'!$B$16,"Médio",IF(K721&lt;='01_PARÂMETROS'!$B$17,"Alto","Elevado"))))</f>
        <v>Baixo</v>
      </c>
      <c r="N721" s="58" t="s">
        <v>486</v>
      </c>
      <c r="O721" s="54"/>
    </row>
    <row r="722" spans="1:15" ht="13.5" customHeight="1" x14ac:dyDescent="0.25">
      <c r="A722" s="13" t="s">
        <v>1789</v>
      </c>
      <c r="B722" s="49" t="s">
        <v>1665</v>
      </c>
      <c r="C722" s="14" t="s">
        <v>1790</v>
      </c>
      <c r="D722" s="50" t="s">
        <v>1730</v>
      </c>
      <c r="E722" s="65" t="s">
        <v>841</v>
      </c>
      <c r="F722" s="54" t="s">
        <v>485</v>
      </c>
      <c r="G722" s="54" t="s">
        <v>485</v>
      </c>
      <c r="H722" s="54" t="s">
        <v>485</v>
      </c>
      <c r="I722" s="43">
        <f>'01_PARÂMETROS'!$B$9</f>
        <v>50</v>
      </c>
      <c r="J722" s="44">
        <f t="shared" si="34"/>
        <v>0.9</v>
      </c>
      <c r="K722" s="62">
        <f>MAX('01_PARÂMETROS'!$B$11,MIN('01_PARÂMETROS'!$B$12,J722))</f>
        <v>0.9</v>
      </c>
      <c r="L722" s="63">
        <f t="shared" si="35"/>
        <v>-9.9999999999999978E-2</v>
      </c>
      <c r="M722" s="17" t="str">
        <f>IF(K722&lt;='01_PARÂMETROS'!$B$14,"Preferencial",IF(K722&lt;='01_PARÂMETROS'!$B$15,"Baixo",IF(K722&lt;='01_PARÂMETROS'!$B$16,"Médio",IF(K722&lt;='01_PARÂMETROS'!$B$17,"Alto","Elevado"))))</f>
        <v>Baixo</v>
      </c>
      <c r="N722" s="58" t="s">
        <v>486</v>
      </c>
      <c r="O722" s="61"/>
    </row>
    <row r="723" spans="1:15" ht="13.5" customHeight="1" x14ac:dyDescent="0.25">
      <c r="A723" s="24" t="s">
        <v>1791</v>
      </c>
      <c r="B723" s="38" t="s">
        <v>1665</v>
      </c>
      <c r="C723" s="25" t="s">
        <v>1792</v>
      </c>
      <c r="D723" s="39" t="s">
        <v>1730</v>
      </c>
      <c r="E723" s="65" t="s">
        <v>841</v>
      </c>
      <c r="F723" s="54" t="s">
        <v>485</v>
      </c>
      <c r="G723" s="54" t="s">
        <v>485</v>
      </c>
      <c r="H723" s="54" t="s">
        <v>485</v>
      </c>
      <c r="I723" s="43">
        <f>'01_PARÂMETROS'!$B$9</f>
        <v>50</v>
      </c>
      <c r="J723" s="44">
        <f t="shared" si="34"/>
        <v>0.9</v>
      </c>
      <c r="K723" s="62">
        <f>MAX('01_PARÂMETROS'!$B$11,MIN('01_PARÂMETROS'!$B$12,J723))</f>
        <v>0.9</v>
      </c>
      <c r="L723" s="63">
        <f t="shared" si="35"/>
        <v>-9.9999999999999978E-2</v>
      </c>
      <c r="M723" s="17" t="str">
        <f>IF(K723&lt;='01_PARÂMETROS'!$B$14,"Preferencial",IF(K723&lt;='01_PARÂMETROS'!$B$15,"Baixo",IF(K723&lt;='01_PARÂMETROS'!$B$16,"Médio",IF(K723&lt;='01_PARÂMETROS'!$B$17,"Alto","Elevado"))))</f>
        <v>Baixo</v>
      </c>
      <c r="N723" s="58" t="s">
        <v>486</v>
      </c>
      <c r="O723" s="54"/>
    </row>
    <row r="724" spans="1:15" ht="13.5" customHeight="1" x14ac:dyDescent="0.25">
      <c r="A724" s="13" t="s">
        <v>1793</v>
      </c>
      <c r="B724" s="49" t="s">
        <v>1665</v>
      </c>
      <c r="C724" s="14" t="s">
        <v>1794</v>
      </c>
      <c r="D724" s="50" t="s">
        <v>1730</v>
      </c>
      <c r="E724" s="65" t="s">
        <v>841</v>
      </c>
      <c r="F724" s="54" t="s">
        <v>485</v>
      </c>
      <c r="G724" s="54" t="s">
        <v>485</v>
      </c>
      <c r="H724" s="54" t="s">
        <v>485</v>
      </c>
      <c r="I724" s="43">
        <f>'01_PARÂMETROS'!$B$9</f>
        <v>50</v>
      </c>
      <c r="J724" s="44">
        <f t="shared" ref="J724:J755" si="36">0.9</f>
        <v>0.9</v>
      </c>
      <c r="K724" s="62">
        <f>MAX('01_PARÂMETROS'!$B$11,MIN('01_PARÂMETROS'!$B$12,J724))</f>
        <v>0.9</v>
      </c>
      <c r="L724" s="63">
        <f t="shared" si="35"/>
        <v>-9.9999999999999978E-2</v>
      </c>
      <c r="M724" s="17" t="str">
        <f>IF(K724&lt;='01_PARÂMETROS'!$B$14,"Preferencial",IF(K724&lt;='01_PARÂMETROS'!$B$15,"Baixo",IF(K724&lt;='01_PARÂMETROS'!$B$16,"Médio",IF(K724&lt;='01_PARÂMETROS'!$B$17,"Alto","Elevado"))))</f>
        <v>Baixo</v>
      </c>
      <c r="N724" s="58" t="s">
        <v>486</v>
      </c>
      <c r="O724" s="61"/>
    </row>
    <row r="725" spans="1:15" ht="13.5" customHeight="1" x14ac:dyDescent="0.25">
      <c r="A725" s="24" t="s">
        <v>1795</v>
      </c>
      <c r="B725" s="38" t="s">
        <v>1665</v>
      </c>
      <c r="C725" s="25" t="s">
        <v>1796</v>
      </c>
      <c r="D725" s="39" t="s">
        <v>1730</v>
      </c>
      <c r="E725" s="65" t="s">
        <v>841</v>
      </c>
      <c r="F725" s="54" t="s">
        <v>485</v>
      </c>
      <c r="G725" s="54" t="s">
        <v>485</v>
      </c>
      <c r="H725" s="54" t="s">
        <v>485</v>
      </c>
      <c r="I725" s="43">
        <f>'01_PARÂMETROS'!$B$9</f>
        <v>50</v>
      </c>
      <c r="J725" s="44">
        <f t="shared" si="36"/>
        <v>0.9</v>
      </c>
      <c r="K725" s="62">
        <f>MAX('01_PARÂMETROS'!$B$11,MIN('01_PARÂMETROS'!$B$12,J725))</f>
        <v>0.9</v>
      </c>
      <c r="L725" s="63">
        <f t="shared" si="35"/>
        <v>-9.9999999999999978E-2</v>
      </c>
      <c r="M725" s="17" t="str">
        <f>IF(K725&lt;='01_PARÂMETROS'!$B$14,"Preferencial",IF(K725&lt;='01_PARÂMETROS'!$B$15,"Baixo",IF(K725&lt;='01_PARÂMETROS'!$B$16,"Médio",IF(K725&lt;='01_PARÂMETROS'!$B$17,"Alto","Elevado"))))</f>
        <v>Baixo</v>
      </c>
      <c r="N725" s="58" t="s">
        <v>486</v>
      </c>
      <c r="O725" s="54"/>
    </row>
    <row r="726" spans="1:15" ht="13.5" customHeight="1" x14ac:dyDescent="0.25">
      <c r="A726" s="13" t="s">
        <v>1797</v>
      </c>
      <c r="B726" s="49" t="s">
        <v>1665</v>
      </c>
      <c r="C726" s="14" t="s">
        <v>1798</v>
      </c>
      <c r="D726" s="50" t="s">
        <v>1730</v>
      </c>
      <c r="E726" s="65" t="s">
        <v>841</v>
      </c>
      <c r="F726" s="54" t="s">
        <v>485</v>
      </c>
      <c r="G726" s="54" t="s">
        <v>485</v>
      </c>
      <c r="H726" s="54" t="s">
        <v>485</v>
      </c>
      <c r="I726" s="43">
        <f>'01_PARÂMETROS'!$B$9</f>
        <v>50</v>
      </c>
      <c r="J726" s="44">
        <f t="shared" si="36"/>
        <v>0.9</v>
      </c>
      <c r="K726" s="62">
        <f>MAX('01_PARÂMETROS'!$B$11,MIN('01_PARÂMETROS'!$B$12,J726))</f>
        <v>0.9</v>
      </c>
      <c r="L726" s="63">
        <f t="shared" si="35"/>
        <v>-9.9999999999999978E-2</v>
      </c>
      <c r="M726" s="17" t="str">
        <f>IF(K726&lt;='01_PARÂMETROS'!$B$14,"Preferencial",IF(K726&lt;='01_PARÂMETROS'!$B$15,"Baixo",IF(K726&lt;='01_PARÂMETROS'!$B$16,"Médio",IF(K726&lt;='01_PARÂMETROS'!$B$17,"Alto","Elevado"))))</f>
        <v>Baixo</v>
      </c>
      <c r="N726" s="58" t="s">
        <v>486</v>
      </c>
      <c r="O726" s="61"/>
    </row>
    <row r="727" spans="1:15" ht="13.5" customHeight="1" x14ac:dyDescent="0.25">
      <c r="A727" s="24" t="s">
        <v>1799</v>
      </c>
      <c r="B727" s="38" t="s">
        <v>1665</v>
      </c>
      <c r="C727" s="25" t="s">
        <v>1800</v>
      </c>
      <c r="D727" s="39" t="s">
        <v>1730</v>
      </c>
      <c r="E727" s="65" t="s">
        <v>841</v>
      </c>
      <c r="F727" s="54" t="s">
        <v>485</v>
      </c>
      <c r="G727" s="54" t="s">
        <v>485</v>
      </c>
      <c r="H727" s="54" t="s">
        <v>485</v>
      </c>
      <c r="I727" s="43">
        <f>'01_PARÂMETROS'!$B$9</f>
        <v>50</v>
      </c>
      <c r="J727" s="44">
        <f t="shared" si="36"/>
        <v>0.9</v>
      </c>
      <c r="K727" s="62">
        <f>MAX('01_PARÂMETROS'!$B$11,MIN('01_PARÂMETROS'!$B$12,J727))</f>
        <v>0.9</v>
      </c>
      <c r="L727" s="63">
        <f t="shared" si="35"/>
        <v>-9.9999999999999978E-2</v>
      </c>
      <c r="M727" s="17" t="str">
        <f>IF(K727&lt;='01_PARÂMETROS'!$B$14,"Preferencial",IF(K727&lt;='01_PARÂMETROS'!$B$15,"Baixo",IF(K727&lt;='01_PARÂMETROS'!$B$16,"Médio",IF(K727&lt;='01_PARÂMETROS'!$B$17,"Alto","Elevado"))))</f>
        <v>Baixo</v>
      </c>
      <c r="N727" s="58" t="s">
        <v>486</v>
      </c>
      <c r="O727" s="54"/>
    </row>
    <row r="728" spans="1:15" ht="13.5" customHeight="1" x14ac:dyDescent="0.25">
      <c r="A728" s="13" t="s">
        <v>1801</v>
      </c>
      <c r="B728" s="49" t="s">
        <v>1665</v>
      </c>
      <c r="C728" s="14" t="s">
        <v>1802</v>
      </c>
      <c r="D728" s="50" t="s">
        <v>1730</v>
      </c>
      <c r="E728" s="65" t="s">
        <v>841</v>
      </c>
      <c r="F728" s="54" t="s">
        <v>485</v>
      </c>
      <c r="G728" s="54" t="s">
        <v>485</v>
      </c>
      <c r="H728" s="54" t="s">
        <v>485</v>
      </c>
      <c r="I728" s="43">
        <f>'01_PARÂMETROS'!$B$9</f>
        <v>50</v>
      </c>
      <c r="J728" s="44">
        <f t="shared" si="36"/>
        <v>0.9</v>
      </c>
      <c r="K728" s="62">
        <f>MAX('01_PARÂMETROS'!$B$11,MIN('01_PARÂMETROS'!$B$12,J728))</f>
        <v>0.9</v>
      </c>
      <c r="L728" s="63">
        <f t="shared" si="35"/>
        <v>-9.9999999999999978E-2</v>
      </c>
      <c r="M728" s="17" t="str">
        <f>IF(K728&lt;='01_PARÂMETROS'!$B$14,"Preferencial",IF(K728&lt;='01_PARÂMETROS'!$B$15,"Baixo",IF(K728&lt;='01_PARÂMETROS'!$B$16,"Médio",IF(K728&lt;='01_PARÂMETROS'!$B$17,"Alto","Elevado"))))</f>
        <v>Baixo</v>
      </c>
      <c r="N728" s="58" t="s">
        <v>486</v>
      </c>
      <c r="O728" s="61"/>
    </row>
    <row r="729" spans="1:15" ht="13.5" customHeight="1" x14ac:dyDescent="0.25">
      <c r="A729" s="24" t="s">
        <v>1803</v>
      </c>
      <c r="B729" s="38" t="s">
        <v>1665</v>
      </c>
      <c r="C729" s="25" t="s">
        <v>1804</v>
      </c>
      <c r="D729" s="39" t="s">
        <v>1730</v>
      </c>
      <c r="E729" s="65" t="s">
        <v>841</v>
      </c>
      <c r="F729" s="54" t="s">
        <v>485</v>
      </c>
      <c r="G729" s="54" t="s">
        <v>485</v>
      </c>
      <c r="H729" s="54" t="s">
        <v>485</v>
      </c>
      <c r="I729" s="43">
        <f>'01_PARÂMETROS'!$B$9</f>
        <v>50</v>
      </c>
      <c r="J729" s="44">
        <f t="shared" si="36"/>
        <v>0.9</v>
      </c>
      <c r="K729" s="62">
        <f>MAX('01_PARÂMETROS'!$B$11,MIN('01_PARÂMETROS'!$B$12,J729))</f>
        <v>0.9</v>
      </c>
      <c r="L729" s="63">
        <f t="shared" si="35"/>
        <v>-9.9999999999999978E-2</v>
      </c>
      <c r="M729" s="17" t="str">
        <f>IF(K729&lt;='01_PARÂMETROS'!$B$14,"Preferencial",IF(K729&lt;='01_PARÂMETROS'!$B$15,"Baixo",IF(K729&lt;='01_PARÂMETROS'!$B$16,"Médio",IF(K729&lt;='01_PARÂMETROS'!$B$17,"Alto","Elevado"))))</f>
        <v>Baixo</v>
      </c>
      <c r="N729" s="58" t="s">
        <v>486</v>
      </c>
      <c r="O729" s="54"/>
    </row>
    <row r="730" spans="1:15" ht="13.5" customHeight="1" x14ac:dyDescent="0.25">
      <c r="A730" s="13" t="s">
        <v>1805</v>
      </c>
      <c r="B730" s="49" t="s">
        <v>1665</v>
      </c>
      <c r="C730" s="14" t="s">
        <v>1806</v>
      </c>
      <c r="D730" s="50" t="s">
        <v>1730</v>
      </c>
      <c r="E730" s="65" t="s">
        <v>841</v>
      </c>
      <c r="F730" s="54" t="s">
        <v>485</v>
      </c>
      <c r="G730" s="54" t="s">
        <v>485</v>
      </c>
      <c r="H730" s="54" t="s">
        <v>485</v>
      </c>
      <c r="I730" s="43">
        <f>'01_PARÂMETROS'!$B$9</f>
        <v>50</v>
      </c>
      <c r="J730" s="44">
        <f t="shared" si="36"/>
        <v>0.9</v>
      </c>
      <c r="K730" s="62">
        <f>MAX('01_PARÂMETROS'!$B$11,MIN('01_PARÂMETROS'!$B$12,J730))</f>
        <v>0.9</v>
      </c>
      <c r="L730" s="63">
        <f t="shared" si="35"/>
        <v>-9.9999999999999978E-2</v>
      </c>
      <c r="M730" s="17" t="str">
        <f>IF(K730&lt;='01_PARÂMETROS'!$B$14,"Preferencial",IF(K730&lt;='01_PARÂMETROS'!$B$15,"Baixo",IF(K730&lt;='01_PARÂMETROS'!$B$16,"Médio",IF(K730&lt;='01_PARÂMETROS'!$B$17,"Alto","Elevado"))))</f>
        <v>Baixo</v>
      </c>
      <c r="N730" s="58" t="s">
        <v>486</v>
      </c>
      <c r="O730" s="61"/>
    </row>
    <row r="731" spans="1:15" ht="13.5" customHeight="1" x14ac:dyDescent="0.25">
      <c r="A731" s="24" t="s">
        <v>1807</v>
      </c>
      <c r="B731" s="38" t="s">
        <v>1665</v>
      </c>
      <c r="C731" s="25" t="s">
        <v>1808</v>
      </c>
      <c r="D731" s="39" t="s">
        <v>1730</v>
      </c>
      <c r="E731" s="65" t="s">
        <v>841</v>
      </c>
      <c r="F731" s="54" t="s">
        <v>485</v>
      </c>
      <c r="G731" s="54" t="s">
        <v>485</v>
      </c>
      <c r="H731" s="54" t="s">
        <v>485</v>
      </c>
      <c r="I731" s="43">
        <f>'01_PARÂMETROS'!$B$9</f>
        <v>50</v>
      </c>
      <c r="J731" s="44">
        <f t="shared" si="36"/>
        <v>0.9</v>
      </c>
      <c r="K731" s="62">
        <f>MAX('01_PARÂMETROS'!$B$11,MIN('01_PARÂMETROS'!$B$12,J731))</f>
        <v>0.9</v>
      </c>
      <c r="L731" s="63">
        <f t="shared" si="35"/>
        <v>-9.9999999999999978E-2</v>
      </c>
      <c r="M731" s="17" t="str">
        <f>IF(K731&lt;='01_PARÂMETROS'!$B$14,"Preferencial",IF(K731&lt;='01_PARÂMETROS'!$B$15,"Baixo",IF(K731&lt;='01_PARÂMETROS'!$B$16,"Médio",IF(K731&lt;='01_PARÂMETROS'!$B$17,"Alto","Elevado"))))</f>
        <v>Baixo</v>
      </c>
      <c r="N731" s="58" t="s">
        <v>486</v>
      </c>
      <c r="O731" s="54"/>
    </row>
    <row r="732" spans="1:15" ht="13.5" customHeight="1" x14ac:dyDescent="0.25">
      <c r="A732" s="13" t="s">
        <v>1809</v>
      </c>
      <c r="B732" s="49" t="s">
        <v>1665</v>
      </c>
      <c r="C732" s="14" t="s">
        <v>1810</v>
      </c>
      <c r="D732" s="50" t="s">
        <v>1730</v>
      </c>
      <c r="E732" s="65" t="s">
        <v>841</v>
      </c>
      <c r="F732" s="54" t="s">
        <v>485</v>
      </c>
      <c r="G732" s="54" t="s">
        <v>485</v>
      </c>
      <c r="H732" s="54" t="s">
        <v>485</v>
      </c>
      <c r="I732" s="43">
        <f>'01_PARÂMETROS'!$B$9</f>
        <v>50</v>
      </c>
      <c r="J732" s="44">
        <f t="shared" si="36"/>
        <v>0.9</v>
      </c>
      <c r="K732" s="62">
        <f>MAX('01_PARÂMETROS'!$B$11,MIN('01_PARÂMETROS'!$B$12,J732))</f>
        <v>0.9</v>
      </c>
      <c r="L732" s="63">
        <f t="shared" si="35"/>
        <v>-9.9999999999999978E-2</v>
      </c>
      <c r="M732" s="17" t="str">
        <f>IF(K732&lt;='01_PARÂMETROS'!$B$14,"Preferencial",IF(K732&lt;='01_PARÂMETROS'!$B$15,"Baixo",IF(K732&lt;='01_PARÂMETROS'!$B$16,"Médio",IF(K732&lt;='01_PARÂMETROS'!$B$17,"Alto","Elevado"))))</f>
        <v>Baixo</v>
      </c>
      <c r="N732" s="58" t="s">
        <v>486</v>
      </c>
      <c r="O732" s="61"/>
    </row>
    <row r="733" spans="1:15" ht="13.5" customHeight="1" x14ac:dyDescent="0.25">
      <c r="A733" s="24" t="s">
        <v>1811</v>
      </c>
      <c r="B733" s="38" t="s">
        <v>1665</v>
      </c>
      <c r="C733" s="25" t="s">
        <v>1812</v>
      </c>
      <c r="D733" s="39" t="s">
        <v>1730</v>
      </c>
      <c r="E733" s="65" t="s">
        <v>841</v>
      </c>
      <c r="F733" s="54" t="s">
        <v>485</v>
      </c>
      <c r="G733" s="54" t="s">
        <v>485</v>
      </c>
      <c r="H733" s="54" t="s">
        <v>485</v>
      </c>
      <c r="I733" s="43">
        <f>'01_PARÂMETROS'!$B$9</f>
        <v>50</v>
      </c>
      <c r="J733" s="44">
        <f t="shared" si="36"/>
        <v>0.9</v>
      </c>
      <c r="K733" s="62">
        <f>MAX('01_PARÂMETROS'!$B$11,MIN('01_PARÂMETROS'!$B$12,J733))</f>
        <v>0.9</v>
      </c>
      <c r="L733" s="63">
        <f t="shared" si="35"/>
        <v>-9.9999999999999978E-2</v>
      </c>
      <c r="M733" s="17" t="str">
        <f>IF(K733&lt;='01_PARÂMETROS'!$B$14,"Preferencial",IF(K733&lt;='01_PARÂMETROS'!$B$15,"Baixo",IF(K733&lt;='01_PARÂMETROS'!$B$16,"Médio",IF(K733&lt;='01_PARÂMETROS'!$B$17,"Alto","Elevado"))))</f>
        <v>Baixo</v>
      </c>
      <c r="N733" s="58" t="s">
        <v>486</v>
      </c>
      <c r="O733" s="54"/>
    </row>
    <row r="734" spans="1:15" ht="13.5" customHeight="1" x14ac:dyDescent="0.25">
      <c r="A734" s="13" t="s">
        <v>1813</v>
      </c>
      <c r="B734" s="49" t="s">
        <v>1665</v>
      </c>
      <c r="C734" s="14" t="s">
        <v>1814</v>
      </c>
      <c r="D734" s="50" t="s">
        <v>1730</v>
      </c>
      <c r="E734" s="65" t="s">
        <v>841</v>
      </c>
      <c r="F734" s="54" t="s">
        <v>485</v>
      </c>
      <c r="G734" s="54" t="s">
        <v>485</v>
      </c>
      <c r="H734" s="54" t="s">
        <v>485</v>
      </c>
      <c r="I734" s="43">
        <f>'01_PARÂMETROS'!$B$9</f>
        <v>50</v>
      </c>
      <c r="J734" s="44">
        <f t="shared" si="36"/>
        <v>0.9</v>
      </c>
      <c r="K734" s="62">
        <f>MAX('01_PARÂMETROS'!$B$11,MIN('01_PARÂMETROS'!$B$12,J734))</f>
        <v>0.9</v>
      </c>
      <c r="L734" s="63">
        <f t="shared" si="35"/>
        <v>-9.9999999999999978E-2</v>
      </c>
      <c r="M734" s="17" t="str">
        <f>IF(K734&lt;='01_PARÂMETROS'!$B$14,"Preferencial",IF(K734&lt;='01_PARÂMETROS'!$B$15,"Baixo",IF(K734&lt;='01_PARÂMETROS'!$B$16,"Médio",IF(K734&lt;='01_PARÂMETROS'!$B$17,"Alto","Elevado"))))</f>
        <v>Baixo</v>
      </c>
      <c r="N734" s="58" t="s">
        <v>486</v>
      </c>
      <c r="O734" s="61"/>
    </row>
    <row r="735" spans="1:15" ht="13.5" customHeight="1" x14ac:dyDescent="0.25">
      <c r="A735" s="24" t="s">
        <v>1815</v>
      </c>
      <c r="B735" s="38" t="s">
        <v>1665</v>
      </c>
      <c r="C735" s="25" t="s">
        <v>1816</v>
      </c>
      <c r="D735" s="39" t="s">
        <v>1730</v>
      </c>
      <c r="E735" s="65" t="s">
        <v>841</v>
      </c>
      <c r="F735" s="54" t="s">
        <v>485</v>
      </c>
      <c r="G735" s="54" t="s">
        <v>485</v>
      </c>
      <c r="H735" s="54" t="s">
        <v>485</v>
      </c>
      <c r="I735" s="43">
        <f>'01_PARÂMETROS'!$B$9</f>
        <v>50</v>
      </c>
      <c r="J735" s="44">
        <f t="shared" si="36"/>
        <v>0.9</v>
      </c>
      <c r="K735" s="62">
        <f>MAX('01_PARÂMETROS'!$B$11,MIN('01_PARÂMETROS'!$B$12,J735))</f>
        <v>0.9</v>
      </c>
      <c r="L735" s="63">
        <f t="shared" si="35"/>
        <v>-9.9999999999999978E-2</v>
      </c>
      <c r="M735" s="17" t="str">
        <f>IF(K735&lt;='01_PARÂMETROS'!$B$14,"Preferencial",IF(K735&lt;='01_PARÂMETROS'!$B$15,"Baixo",IF(K735&lt;='01_PARÂMETROS'!$B$16,"Médio",IF(K735&lt;='01_PARÂMETROS'!$B$17,"Alto","Elevado"))))</f>
        <v>Baixo</v>
      </c>
      <c r="N735" s="58" t="s">
        <v>486</v>
      </c>
      <c r="O735" s="54"/>
    </row>
    <row r="736" spans="1:15" ht="13.5" customHeight="1" x14ac:dyDescent="0.25">
      <c r="A736" s="13" t="s">
        <v>1817</v>
      </c>
      <c r="B736" s="49" t="s">
        <v>1665</v>
      </c>
      <c r="C736" s="14" t="s">
        <v>1818</v>
      </c>
      <c r="D736" s="50" t="s">
        <v>1730</v>
      </c>
      <c r="E736" s="65" t="s">
        <v>841</v>
      </c>
      <c r="F736" s="54" t="s">
        <v>485</v>
      </c>
      <c r="G736" s="54" t="s">
        <v>485</v>
      </c>
      <c r="H736" s="54" t="s">
        <v>485</v>
      </c>
      <c r="I736" s="43">
        <f>'01_PARÂMETROS'!$B$9</f>
        <v>50</v>
      </c>
      <c r="J736" s="44">
        <f t="shared" si="36"/>
        <v>0.9</v>
      </c>
      <c r="K736" s="62">
        <f>MAX('01_PARÂMETROS'!$B$11,MIN('01_PARÂMETROS'!$B$12,J736))</f>
        <v>0.9</v>
      </c>
      <c r="L736" s="63">
        <f t="shared" si="35"/>
        <v>-9.9999999999999978E-2</v>
      </c>
      <c r="M736" s="17" t="str">
        <f>IF(K736&lt;='01_PARÂMETROS'!$B$14,"Preferencial",IF(K736&lt;='01_PARÂMETROS'!$B$15,"Baixo",IF(K736&lt;='01_PARÂMETROS'!$B$16,"Médio",IF(K736&lt;='01_PARÂMETROS'!$B$17,"Alto","Elevado"))))</f>
        <v>Baixo</v>
      </c>
      <c r="N736" s="58" t="s">
        <v>486</v>
      </c>
      <c r="O736" s="61"/>
    </row>
    <row r="737" spans="1:15" ht="13.5" customHeight="1" x14ac:dyDescent="0.25">
      <c r="A737" s="24" t="s">
        <v>1819</v>
      </c>
      <c r="B737" s="38" t="s">
        <v>1665</v>
      </c>
      <c r="C737" s="25" t="s">
        <v>1820</v>
      </c>
      <c r="D737" s="39" t="s">
        <v>1730</v>
      </c>
      <c r="E737" s="65" t="s">
        <v>841</v>
      </c>
      <c r="F737" s="54" t="s">
        <v>485</v>
      </c>
      <c r="G737" s="54" t="s">
        <v>485</v>
      </c>
      <c r="H737" s="54" t="s">
        <v>485</v>
      </c>
      <c r="I737" s="43">
        <f>'01_PARÂMETROS'!$B$9</f>
        <v>50</v>
      </c>
      <c r="J737" s="44">
        <f t="shared" si="36"/>
        <v>0.9</v>
      </c>
      <c r="K737" s="62">
        <f>MAX('01_PARÂMETROS'!$B$11,MIN('01_PARÂMETROS'!$B$12,J737))</f>
        <v>0.9</v>
      </c>
      <c r="L737" s="63">
        <f t="shared" si="35"/>
        <v>-9.9999999999999978E-2</v>
      </c>
      <c r="M737" s="17" t="str">
        <f>IF(K737&lt;='01_PARÂMETROS'!$B$14,"Preferencial",IF(K737&lt;='01_PARÂMETROS'!$B$15,"Baixo",IF(K737&lt;='01_PARÂMETROS'!$B$16,"Médio",IF(K737&lt;='01_PARÂMETROS'!$B$17,"Alto","Elevado"))))</f>
        <v>Baixo</v>
      </c>
      <c r="N737" s="58" t="s">
        <v>486</v>
      </c>
      <c r="O737" s="54"/>
    </row>
    <row r="738" spans="1:15" ht="13.5" customHeight="1" x14ac:dyDescent="0.25">
      <c r="A738" s="13" t="s">
        <v>1821</v>
      </c>
      <c r="B738" s="49" t="s">
        <v>1665</v>
      </c>
      <c r="C738" s="14" t="s">
        <v>1822</v>
      </c>
      <c r="D738" s="50" t="s">
        <v>1730</v>
      </c>
      <c r="E738" s="65" t="s">
        <v>841</v>
      </c>
      <c r="F738" s="54" t="s">
        <v>485</v>
      </c>
      <c r="G738" s="54" t="s">
        <v>485</v>
      </c>
      <c r="H738" s="54" t="s">
        <v>485</v>
      </c>
      <c r="I738" s="43">
        <f>'01_PARÂMETROS'!$B$9</f>
        <v>50</v>
      </c>
      <c r="J738" s="44">
        <f t="shared" si="36"/>
        <v>0.9</v>
      </c>
      <c r="K738" s="62">
        <f>MAX('01_PARÂMETROS'!$B$11,MIN('01_PARÂMETROS'!$B$12,J738))</f>
        <v>0.9</v>
      </c>
      <c r="L738" s="63">
        <f t="shared" si="35"/>
        <v>-9.9999999999999978E-2</v>
      </c>
      <c r="M738" s="17" t="str">
        <f>IF(K738&lt;='01_PARÂMETROS'!$B$14,"Preferencial",IF(K738&lt;='01_PARÂMETROS'!$B$15,"Baixo",IF(K738&lt;='01_PARÂMETROS'!$B$16,"Médio",IF(K738&lt;='01_PARÂMETROS'!$B$17,"Alto","Elevado"))))</f>
        <v>Baixo</v>
      </c>
      <c r="N738" s="58" t="s">
        <v>486</v>
      </c>
      <c r="O738" s="61"/>
    </row>
    <row r="739" spans="1:15" ht="13.5" customHeight="1" x14ac:dyDescent="0.25">
      <c r="A739" s="24" t="s">
        <v>1823</v>
      </c>
      <c r="B739" s="38" t="s">
        <v>1665</v>
      </c>
      <c r="C739" s="25" t="s">
        <v>1824</v>
      </c>
      <c r="D739" s="39" t="s">
        <v>1730</v>
      </c>
      <c r="E739" s="65" t="s">
        <v>841</v>
      </c>
      <c r="F739" s="54" t="s">
        <v>485</v>
      </c>
      <c r="G739" s="54" t="s">
        <v>485</v>
      </c>
      <c r="H739" s="54" t="s">
        <v>485</v>
      </c>
      <c r="I739" s="43">
        <f>'01_PARÂMETROS'!$B$9</f>
        <v>50</v>
      </c>
      <c r="J739" s="44">
        <f t="shared" si="36"/>
        <v>0.9</v>
      </c>
      <c r="K739" s="62">
        <f>MAX('01_PARÂMETROS'!$B$11,MIN('01_PARÂMETROS'!$B$12,J739))</f>
        <v>0.9</v>
      </c>
      <c r="L739" s="63">
        <f t="shared" si="35"/>
        <v>-9.9999999999999978E-2</v>
      </c>
      <c r="M739" s="17" t="str">
        <f>IF(K739&lt;='01_PARÂMETROS'!$B$14,"Preferencial",IF(K739&lt;='01_PARÂMETROS'!$B$15,"Baixo",IF(K739&lt;='01_PARÂMETROS'!$B$16,"Médio",IF(K739&lt;='01_PARÂMETROS'!$B$17,"Alto","Elevado"))))</f>
        <v>Baixo</v>
      </c>
      <c r="N739" s="58" t="s">
        <v>486</v>
      </c>
      <c r="O739" s="54"/>
    </row>
    <row r="740" spans="1:15" ht="13.5" customHeight="1" x14ac:dyDescent="0.25">
      <c r="A740" s="13" t="s">
        <v>1825</v>
      </c>
      <c r="B740" s="49" t="s">
        <v>1665</v>
      </c>
      <c r="C740" s="14" t="s">
        <v>1826</v>
      </c>
      <c r="D740" s="50" t="s">
        <v>1730</v>
      </c>
      <c r="E740" s="65" t="s">
        <v>841</v>
      </c>
      <c r="F740" s="54" t="s">
        <v>485</v>
      </c>
      <c r="G740" s="54" t="s">
        <v>485</v>
      </c>
      <c r="H740" s="54" t="s">
        <v>485</v>
      </c>
      <c r="I740" s="43">
        <f>'01_PARÂMETROS'!$B$9</f>
        <v>50</v>
      </c>
      <c r="J740" s="44">
        <f t="shared" si="36"/>
        <v>0.9</v>
      </c>
      <c r="K740" s="62">
        <f>MAX('01_PARÂMETROS'!$B$11,MIN('01_PARÂMETROS'!$B$12,J740))</f>
        <v>0.9</v>
      </c>
      <c r="L740" s="63">
        <f t="shared" si="35"/>
        <v>-9.9999999999999978E-2</v>
      </c>
      <c r="M740" s="17" t="str">
        <f>IF(K740&lt;='01_PARÂMETROS'!$B$14,"Preferencial",IF(K740&lt;='01_PARÂMETROS'!$B$15,"Baixo",IF(K740&lt;='01_PARÂMETROS'!$B$16,"Médio",IF(K740&lt;='01_PARÂMETROS'!$B$17,"Alto","Elevado"))))</f>
        <v>Baixo</v>
      </c>
      <c r="N740" s="58" t="s">
        <v>486</v>
      </c>
      <c r="O740" s="61"/>
    </row>
    <row r="741" spans="1:15" ht="13.5" customHeight="1" x14ac:dyDescent="0.25">
      <c r="A741" s="24" t="s">
        <v>1827</v>
      </c>
      <c r="B741" s="38" t="s">
        <v>1665</v>
      </c>
      <c r="C741" s="25" t="s">
        <v>1828</v>
      </c>
      <c r="D741" s="39" t="s">
        <v>1730</v>
      </c>
      <c r="E741" s="65" t="s">
        <v>841</v>
      </c>
      <c r="F741" s="54" t="s">
        <v>485</v>
      </c>
      <c r="G741" s="54" t="s">
        <v>485</v>
      </c>
      <c r="H741" s="54" t="s">
        <v>485</v>
      </c>
      <c r="I741" s="43">
        <f>'01_PARÂMETROS'!$B$9</f>
        <v>50</v>
      </c>
      <c r="J741" s="44">
        <f t="shared" si="36"/>
        <v>0.9</v>
      </c>
      <c r="K741" s="62">
        <f>MAX('01_PARÂMETROS'!$B$11,MIN('01_PARÂMETROS'!$B$12,J741))</f>
        <v>0.9</v>
      </c>
      <c r="L741" s="63">
        <f t="shared" si="35"/>
        <v>-9.9999999999999978E-2</v>
      </c>
      <c r="M741" s="17" t="str">
        <f>IF(K741&lt;='01_PARÂMETROS'!$B$14,"Preferencial",IF(K741&lt;='01_PARÂMETROS'!$B$15,"Baixo",IF(K741&lt;='01_PARÂMETROS'!$B$16,"Médio",IF(K741&lt;='01_PARÂMETROS'!$B$17,"Alto","Elevado"))))</f>
        <v>Baixo</v>
      </c>
      <c r="N741" s="58" t="s">
        <v>486</v>
      </c>
      <c r="O741" s="54"/>
    </row>
    <row r="742" spans="1:15" ht="13.5" customHeight="1" x14ac:dyDescent="0.25">
      <c r="A742" s="13" t="s">
        <v>1829</v>
      </c>
      <c r="B742" s="49" t="s">
        <v>1665</v>
      </c>
      <c r="C742" s="14" t="s">
        <v>1830</v>
      </c>
      <c r="D742" s="50" t="s">
        <v>1730</v>
      </c>
      <c r="E742" s="65" t="s">
        <v>841</v>
      </c>
      <c r="F742" s="54" t="s">
        <v>485</v>
      </c>
      <c r="G742" s="54" t="s">
        <v>485</v>
      </c>
      <c r="H742" s="54" t="s">
        <v>485</v>
      </c>
      <c r="I742" s="43">
        <f>'01_PARÂMETROS'!$B$9</f>
        <v>50</v>
      </c>
      <c r="J742" s="44">
        <f t="shared" si="36"/>
        <v>0.9</v>
      </c>
      <c r="K742" s="62">
        <f>MAX('01_PARÂMETROS'!$B$11,MIN('01_PARÂMETROS'!$B$12,J742))</f>
        <v>0.9</v>
      </c>
      <c r="L742" s="63">
        <f t="shared" si="35"/>
        <v>-9.9999999999999978E-2</v>
      </c>
      <c r="M742" s="17" t="str">
        <f>IF(K742&lt;='01_PARÂMETROS'!$B$14,"Preferencial",IF(K742&lt;='01_PARÂMETROS'!$B$15,"Baixo",IF(K742&lt;='01_PARÂMETROS'!$B$16,"Médio",IF(K742&lt;='01_PARÂMETROS'!$B$17,"Alto","Elevado"))))</f>
        <v>Baixo</v>
      </c>
      <c r="N742" s="58" t="s">
        <v>486</v>
      </c>
      <c r="O742" s="61"/>
    </row>
    <row r="743" spans="1:15" ht="13.5" customHeight="1" x14ac:dyDescent="0.25">
      <c r="A743" s="24" t="s">
        <v>1831</v>
      </c>
      <c r="B743" s="38" t="s">
        <v>1665</v>
      </c>
      <c r="C743" s="25" t="s">
        <v>1832</v>
      </c>
      <c r="D743" s="39" t="s">
        <v>1730</v>
      </c>
      <c r="E743" s="65" t="s">
        <v>841</v>
      </c>
      <c r="F743" s="54" t="s">
        <v>485</v>
      </c>
      <c r="G743" s="54" t="s">
        <v>485</v>
      </c>
      <c r="H743" s="54" t="s">
        <v>485</v>
      </c>
      <c r="I743" s="43">
        <f>'01_PARÂMETROS'!$B$9</f>
        <v>50</v>
      </c>
      <c r="J743" s="44">
        <f t="shared" si="36"/>
        <v>0.9</v>
      </c>
      <c r="K743" s="62">
        <f>MAX('01_PARÂMETROS'!$B$11,MIN('01_PARÂMETROS'!$B$12,J743))</f>
        <v>0.9</v>
      </c>
      <c r="L743" s="63">
        <f t="shared" si="35"/>
        <v>-9.9999999999999978E-2</v>
      </c>
      <c r="M743" s="17" t="str">
        <f>IF(K743&lt;='01_PARÂMETROS'!$B$14,"Preferencial",IF(K743&lt;='01_PARÂMETROS'!$B$15,"Baixo",IF(K743&lt;='01_PARÂMETROS'!$B$16,"Médio",IF(K743&lt;='01_PARÂMETROS'!$B$17,"Alto","Elevado"))))</f>
        <v>Baixo</v>
      </c>
      <c r="N743" s="58" t="s">
        <v>486</v>
      </c>
      <c r="O743" s="54"/>
    </row>
    <row r="744" spans="1:15" ht="13.5" customHeight="1" x14ac:dyDescent="0.25">
      <c r="A744" s="13" t="s">
        <v>1833</v>
      </c>
      <c r="B744" s="49" t="s">
        <v>1665</v>
      </c>
      <c r="C744" s="14" t="s">
        <v>1834</v>
      </c>
      <c r="D744" s="50" t="s">
        <v>1730</v>
      </c>
      <c r="E744" s="65" t="s">
        <v>841</v>
      </c>
      <c r="F744" s="54" t="s">
        <v>485</v>
      </c>
      <c r="G744" s="54" t="s">
        <v>485</v>
      </c>
      <c r="H744" s="54" t="s">
        <v>485</v>
      </c>
      <c r="I744" s="43">
        <f>'01_PARÂMETROS'!$B$9</f>
        <v>50</v>
      </c>
      <c r="J744" s="44">
        <f t="shared" si="36"/>
        <v>0.9</v>
      </c>
      <c r="K744" s="62">
        <f>MAX('01_PARÂMETROS'!$B$11,MIN('01_PARÂMETROS'!$B$12,J744))</f>
        <v>0.9</v>
      </c>
      <c r="L744" s="63">
        <f t="shared" si="35"/>
        <v>-9.9999999999999978E-2</v>
      </c>
      <c r="M744" s="17" t="str">
        <f>IF(K744&lt;='01_PARÂMETROS'!$B$14,"Preferencial",IF(K744&lt;='01_PARÂMETROS'!$B$15,"Baixo",IF(K744&lt;='01_PARÂMETROS'!$B$16,"Médio",IF(K744&lt;='01_PARÂMETROS'!$B$17,"Alto","Elevado"))))</f>
        <v>Baixo</v>
      </c>
      <c r="N744" s="58" t="s">
        <v>486</v>
      </c>
      <c r="O744" s="61"/>
    </row>
    <row r="745" spans="1:15" ht="13.5" customHeight="1" x14ac:dyDescent="0.25">
      <c r="A745" s="24" t="s">
        <v>1835</v>
      </c>
      <c r="B745" s="38" t="s">
        <v>1665</v>
      </c>
      <c r="C745" s="25" t="s">
        <v>1836</v>
      </c>
      <c r="D745" s="39" t="s">
        <v>1730</v>
      </c>
      <c r="E745" s="65" t="s">
        <v>841</v>
      </c>
      <c r="F745" s="54" t="s">
        <v>485</v>
      </c>
      <c r="G745" s="54" t="s">
        <v>485</v>
      </c>
      <c r="H745" s="54" t="s">
        <v>485</v>
      </c>
      <c r="I745" s="43">
        <f>'01_PARÂMETROS'!$B$9</f>
        <v>50</v>
      </c>
      <c r="J745" s="44">
        <f t="shared" si="36"/>
        <v>0.9</v>
      </c>
      <c r="K745" s="62">
        <f>MAX('01_PARÂMETROS'!$B$11,MIN('01_PARÂMETROS'!$B$12,J745))</f>
        <v>0.9</v>
      </c>
      <c r="L745" s="63">
        <f t="shared" si="35"/>
        <v>-9.9999999999999978E-2</v>
      </c>
      <c r="M745" s="17" t="str">
        <f>IF(K745&lt;='01_PARÂMETROS'!$B$14,"Preferencial",IF(K745&lt;='01_PARÂMETROS'!$B$15,"Baixo",IF(K745&lt;='01_PARÂMETROS'!$B$16,"Médio",IF(K745&lt;='01_PARÂMETROS'!$B$17,"Alto","Elevado"))))</f>
        <v>Baixo</v>
      </c>
      <c r="N745" s="58" t="s">
        <v>486</v>
      </c>
      <c r="O745" s="54"/>
    </row>
    <row r="746" spans="1:15" ht="13.5" customHeight="1" x14ac:dyDescent="0.25">
      <c r="A746" s="13" t="s">
        <v>1837</v>
      </c>
      <c r="B746" s="49" t="s">
        <v>1665</v>
      </c>
      <c r="C746" s="14" t="s">
        <v>1838</v>
      </c>
      <c r="D746" s="50" t="s">
        <v>1730</v>
      </c>
      <c r="E746" s="65" t="s">
        <v>841</v>
      </c>
      <c r="F746" s="54" t="s">
        <v>485</v>
      </c>
      <c r="G746" s="54" t="s">
        <v>485</v>
      </c>
      <c r="H746" s="54" t="s">
        <v>485</v>
      </c>
      <c r="I746" s="43">
        <f>'01_PARÂMETROS'!$B$9</f>
        <v>50</v>
      </c>
      <c r="J746" s="44">
        <f t="shared" si="36"/>
        <v>0.9</v>
      </c>
      <c r="K746" s="62">
        <f>MAX('01_PARÂMETROS'!$B$11,MIN('01_PARÂMETROS'!$B$12,J746))</f>
        <v>0.9</v>
      </c>
      <c r="L746" s="63">
        <f t="shared" si="35"/>
        <v>-9.9999999999999978E-2</v>
      </c>
      <c r="M746" s="17" t="str">
        <f>IF(K746&lt;='01_PARÂMETROS'!$B$14,"Preferencial",IF(K746&lt;='01_PARÂMETROS'!$B$15,"Baixo",IF(K746&lt;='01_PARÂMETROS'!$B$16,"Médio",IF(K746&lt;='01_PARÂMETROS'!$B$17,"Alto","Elevado"))))</f>
        <v>Baixo</v>
      </c>
      <c r="N746" s="58" t="s">
        <v>486</v>
      </c>
      <c r="O746" s="61"/>
    </row>
    <row r="747" spans="1:15" ht="13.5" customHeight="1" x14ac:dyDescent="0.25">
      <c r="A747" s="24" t="s">
        <v>1839</v>
      </c>
      <c r="B747" s="38" t="s">
        <v>1665</v>
      </c>
      <c r="C747" s="25" t="s">
        <v>1840</v>
      </c>
      <c r="D747" s="39" t="s">
        <v>1730</v>
      </c>
      <c r="E747" s="65" t="s">
        <v>841</v>
      </c>
      <c r="F747" s="54" t="s">
        <v>485</v>
      </c>
      <c r="G747" s="54" t="s">
        <v>485</v>
      </c>
      <c r="H747" s="54" t="s">
        <v>485</v>
      </c>
      <c r="I747" s="43">
        <f>'01_PARÂMETROS'!$B$9</f>
        <v>50</v>
      </c>
      <c r="J747" s="44">
        <f t="shared" si="36"/>
        <v>0.9</v>
      </c>
      <c r="K747" s="62">
        <f>MAX('01_PARÂMETROS'!$B$11,MIN('01_PARÂMETROS'!$B$12,J747))</f>
        <v>0.9</v>
      </c>
      <c r="L747" s="63">
        <f t="shared" si="35"/>
        <v>-9.9999999999999978E-2</v>
      </c>
      <c r="M747" s="17" t="str">
        <f>IF(K747&lt;='01_PARÂMETROS'!$B$14,"Preferencial",IF(K747&lt;='01_PARÂMETROS'!$B$15,"Baixo",IF(K747&lt;='01_PARÂMETROS'!$B$16,"Médio",IF(K747&lt;='01_PARÂMETROS'!$B$17,"Alto","Elevado"))))</f>
        <v>Baixo</v>
      </c>
      <c r="N747" s="58" t="s">
        <v>486</v>
      </c>
      <c r="O747" s="54"/>
    </row>
    <row r="748" spans="1:15" ht="13.5" customHeight="1" x14ac:dyDescent="0.25">
      <c r="A748" s="13" t="s">
        <v>1841</v>
      </c>
      <c r="B748" s="49" t="s">
        <v>1665</v>
      </c>
      <c r="C748" s="14" t="s">
        <v>1842</v>
      </c>
      <c r="D748" s="50" t="s">
        <v>1730</v>
      </c>
      <c r="E748" s="65" t="s">
        <v>841</v>
      </c>
      <c r="F748" s="54" t="s">
        <v>485</v>
      </c>
      <c r="G748" s="54" t="s">
        <v>485</v>
      </c>
      <c r="H748" s="54" t="s">
        <v>485</v>
      </c>
      <c r="I748" s="43">
        <f>'01_PARÂMETROS'!$B$9</f>
        <v>50</v>
      </c>
      <c r="J748" s="44">
        <f t="shared" si="36"/>
        <v>0.9</v>
      </c>
      <c r="K748" s="62">
        <f>MAX('01_PARÂMETROS'!$B$11,MIN('01_PARÂMETROS'!$B$12,J748))</f>
        <v>0.9</v>
      </c>
      <c r="L748" s="63">
        <f t="shared" si="35"/>
        <v>-9.9999999999999978E-2</v>
      </c>
      <c r="M748" s="17" t="str">
        <f>IF(K748&lt;='01_PARÂMETROS'!$B$14,"Preferencial",IF(K748&lt;='01_PARÂMETROS'!$B$15,"Baixo",IF(K748&lt;='01_PARÂMETROS'!$B$16,"Médio",IF(K748&lt;='01_PARÂMETROS'!$B$17,"Alto","Elevado"))))</f>
        <v>Baixo</v>
      </c>
      <c r="N748" s="58" t="s">
        <v>486</v>
      </c>
      <c r="O748" s="61"/>
    </row>
    <row r="749" spans="1:15" ht="13.5" customHeight="1" x14ac:dyDescent="0.25">
      <c r="A749" s="24" t="s">
        <v>1843</v>
      </c>
      <c r="B749" s="38" t="s">
        <v>1665</v>
      </c>
      <c r="C749" s="25" t="s">
        <v>1844</v>
      </c>
      <c r="D749" s="39" t="s">
        <v>1730</v>
      </c>
      <c r="E749" s="65" t="s">
        <v>841</v>
      </c>
      <c r="F749" s="54" t="s">
        <v>485</v>
      </c>
      <c r="G749" s="54" t="s">
        <v>485</v>
      </c>
      <c r="H749" s="54" t="s">
        <v>485</v>
      </c>
      <c r="I749" s="43">
        <f>'01_PARÂMETROS'!$B$9</f>
        <v>50</v>
      </c>
      <c r="J749" s="44">
        <f t="shared" si="36"/>
        <v>0.9</v>
      </c>
      <c r="K749" s="62">
        <f>MAX('01_PARÂMETROS'!$B$11,MIN('01_PARÂMETROS'!$B$12,J749))</f>
        <v>0.9</v>
      </c>
      <c r="L749" s="63">
        <f t="shared" si="35"/>
        <v>-9.9999999999999978E-2</v>
      </c>
      <c r="M749" s="17" t="str">
        <f>IF(K749&lt;='01_PARÂMETROS'!$B$14,"Preferencial",IF(K749&lt;='01_PARÂMETROS'!$B$15,"Baixo",IF(K749&lt;='01_PARÂMETROS'!$B$16,"Médio",IF(K749&lt;='01_PARÂMETROS'!$B$17,"Alto","Elevado"))))</f>
        <v>Baixo</v>
      </c>
      <c r="N749" s="58" t="s">
        <v>486</v>
      </c>
      <c r="O749" s="54"/>
    </row>
    <row r="750" spans="1:15" ht="13.5" customHeight="1" x14ac:dyDescent="0.25">
      <c r="A750" s="13" t="s">
        <v>1845</v>
      </c>
      <c r="B750" s="49" t="s">
        <v>1665</v>
      </c>
      <c r="C750" s="14" t="s">
        <v>1846</v>
      </c>
      <c r="D750" s="50" t="s">
        <v>1730</v>
      </c>
      <c r="E750" s="65" t="s">
        <v>841</v>
      </c>
      <c r="F750" s="54" t="s">
        <v>485</v>
      </c>
      <c r="G750" s="54" t="s">
        <v>485</v>
      </c>
      <c r="H750" s="54" t="s">
        <v>485</v>
      </c>
      <c r="I750" s="43">
        <f>'01_PARÂMETROS'!$B$9</f>
        <v>50</v>
      </c>
      <c r="J750" s="44">
        <f t="shared" si="36"/>
        <v>0.9</v>
      </c>
      <c r="K750" s="62">
        <f>MAX('01_PARÂMETROS'!$B$11,MIN('01_PARÂMETROS'!$B$12,J750))</f>
        <v>0.9</v>
      </c>
      <c r="L750" s="63">
        <f t="shared" si="35"/>
        <v>-9.9999999999999978E-2</v>
      </c>
      <c r="M750" s="17" t="str">
        <f>IF(K750&lt;='01_PARÂMETROS'!$B$14,"Preferencial",IF(K750&lt;='01_PARÂMETROS'!$B$15,"Baixo",IF(K750&lt;='01_PARÂMETROS'!$B$16,"Médio",IF(K750&lt;='01_PARÂMETROS'!$B$17,"Alto","Elevado"))))</f>
        <v>Baixo</v>
      </c>
      <c r="N750" s="58" t="s">
        <v>486</v>
      </c>
      <c r="O750" s="61"/>
    </row>
    <row r="751" spans="1:15" ht="13.5" customHeight="1" x14ac:dyDescent="0.25">
      <c r="A751" s="24" t="s">
        <v>1847</v>
      </c>
      <c r="B751" s="38" t="s">
        <v>1665</v>
      </c>
      <c r="C751" s="25" t="s">
        <v>1848</v>
      </c>
      <c r="D751" s="39" t="s">
        <v>1730</v>
      </c>
      <c r="E751" s="65" t="s">
        <v>841</v>
      </c>
      <c r="F751" s="54" t="s">
        <v>485</v>
      </c>
      <c r="G751" s="54" t="s">
        <v>485</v>
      </c>
      <c r="H751" s="54" t="s">
        <v>485</v>
      </c>
      <c r="I751" s="43">
        <f>'01_PARÂMETROS'!$B$9</f>
        <v>50</v>
      </c>
      <c r="J751" s="44">
        <f t="shared" si="36"/>
        <v>0.9</v>
      </c>
      <c r="K751" s="62">
        <f>MAX('01_PARÂMETROS'!$B$11,MIN('01_PARÂMETROS'!$B$12,J751))</f>
        <v>0.9</v>
      </c>
      <c r="L751" s="63">
        <f t="shared" si="35"/>
        <v>-9.9999999999999978E-2</v>
      </c>
      <c r="M751" s="17" t="str">
        <f>IF(K751&lt;='01_PARÂMETROS'!$B$14,"Preferencial",IF(K751&lt;='01_PARÂMETROS'!$B$15,"Baixo",IF(K751&lt;='01_PARÂMETROS'!$B$16,"Médio",IF(K751&lt;='01_PARÂMETROS'!$B$17,"Alto","Elevado"))))</f>
        <v>Baixo</v>
      </c>
      <c r="N751" s="58" t="s">
        <v>486</v>
      </c>
      <c r="O751" s="54"/>
    </row>
    <row r="752" spans="1:15" ht="13.5" customHeight="1" x14ac:dyDescent="0.25">
      <c r="A752" s="13" t="s">
        <v>1849</v>
      </c>
      <c r="B752" s="49" t="s">
        <v>1665</v>
      </c>
      <c r="C752" s="14" t="s">
        <v>1850</v>
      </c>
      <c r="D752" s="50" t="s">
        <v>1730</v>
      </c>
      <c r="E752" s="65" t="s">
        <v>841</v>
      </c>
      <c r="F752" s="54" t="s">
        <v>485</v>
      </c>
      <c r="G752" s="54" t="s">
        <v>485</v>
      </c>
      <c r="H752" s="54" t="s">
        <v>485</v>
      </c>
      <c r="I752" s="43">
        <f>'01_PARÂMETROS'!$B$9</f>
        <v>50</v>
      </c>
      <c r="J752" s="44">
        <f t="shared" si="36"/>
        <v>0.9</v>
      </c>
      <c r="K752" s="62">
        <f>MAX('01_PARÂMETROS'!$B$11,MIN('01_PARÂMETROS'!$B$12,J752))</f>
        <v>0.9</v>
      </c>
      <c r="L752" s="63">
        <f t="shared" si="35"/>
        <v>-9.9999999999999978E-2</v>
      </c>
      <c r="M752" s="17" t="str">
        <f>IF(K752&lt;='01_PARÂMETROS'!$B$14,"Preferencial",IF(K752&lt;='01_PARÂMETROS'!$B$15,"Baixo",IF(K752&lt;='01_PARÂMETROS'!$B$16,"Médio",IF(K752&lt;='01_PARÂMETROS'!$B$17,"Alto","Elevado"))))</f>
        <v>Baixo</v>
      </c>
      <c r="N752" s="58" t="s">
        <v>486</v>
      </c>
      <c r="O752" s="61"/>
    </row>
    <row r="753" spans="1:15" ht="13.5" customHeight="1" x14ac:dyDescent="0.25">
      <c r="A753" s="24" t="s">
        <v>1851</v>
      </c>
      <c r="B753" s="38" t="s">
        <v>1665</v>
      </c>
      <c r="C753" s="25" t="s">
        <v>1852</v>
      </c>
      <c r="D753" s="39" t="s">
        <v>1730</v>
      </c>
      <c r="E753" s="65" t="s">
        <v>841</v>
      </c>
      <c r="F753" s="54" t="s">
        <v>485</v>
      </c>
      <c r="G753" s="54" t="s">
        <v>485</v>
      </c>
      <c r="H753" s="54" t="s">
        <v>485</v>
      </c>
      <c r="I753" s="43">
        <f>'01_PARÂMETROS'!$B$9</f>
        <v>50</v>
      </c>
      <c r="J753" s="44">
        <f t="shared" si="36"/>
        <v>0.9</v>
      </c>
      <c r="K753" s="62">
        <f>MAX('01_PARÂMETROS'!$B$11,MIN('01_PARÂMETROS'!$B$12,J753))</f>
        <v>0.9</v>
      </c>
      <c r="L753" s="63">
        <f t="shared" si="35"/>
        <v>-9.9999999999999978E-2</v>
      </c>
      <c r="M753" s="17" t="str">
        <f>IF(K753&lt;='01_PARÂMETROS'!$B$14,"Preferencial",IF(K753&lt;='01_PARÂMETROS'!$B$15,"Baixo",IF(K753&lt;='01_PARÂMETROS'!$B$16,"Médio",IF(K753&lt;='01_PARÂMETROS'!$B$17,"Alto","Elevado"))))</f>
        <v>Baixo</v>
      </c>
      <c r="N753" s="58" t="s">
        <v>486</v>
      </c>
      <c r="O753" s="54"/>
    </row>
    <row r="754" spans="1:15" ht="13.5" customHeight="1" x14ac:dyDescent="0.25">
      <c r="A754" s="13" t="s">
        <v>1853</v>
      </c>
      <c r="B754" s="49" t="s">
        <v>1665</v>
      </c>
      <c r="C754" s="14" t="s">
        <v>1854</v>
      </c>
      <c r="D754" s="50" t="s">
        <v>1730</v>
      </c>
      <c r="E754" s="65" t="s">
        <v>841</v>
      </c>
      <c r="F754" s="54" t="s">
        <v>485</v>
      </c>
      <c r="G754" s="54" t="s">
        <v>485</v>
      </c>
      <c r="H754" s="54" t="s">
        <v>485</v>
      </c>
      <c r="I754" s="43">
        <f>'01_PARÂMETROS'!$B$9</f>
        <v>50</v>
      </c>
      <c r="J754" s="44">
        <f t="shared" si="36"/>
        <v>0.9</v>
      </c>
      <c r="K754" s="62">
        <f>MAX('01_PARÂMETROS'!$B$11,MIN('01_PARÂMETROS'!$B$12,J754))</f>
        <v>0.9</v>
      </c>
      <c r="L754" s="63">
        <f t="shared" si="35"/>
        <v>-9.9999999999999978E-2</v>
      </c>
      <c r="M754" s="17" t="str">
        <f>IF(K754&lt;='01_PARÂMETROS'!$B$14,"Preferencial",IF(K754&lt;='01_PARÂMETROS'!$B$15,"Baixo",IF(K754&lt;='01_PARÂMETROS'!$B$16,"Médio",IF(K754&lt;='01_PARÂMETROS'!$B$17,"Alto","Elevado"))))</f>
        <v>Baixo</v>
      </c>
      <c r="N754" s="58" t="s">
        <v>486</v>
      </c>
      <c r="O754" s="61"/>
    </row>
    <row r="755" spans="1:15" ht="13.5" customHeight="1" x14ac:dyDescent="0.25">
      <c r="A755" s="24" t="s">
        <v>1855</v>
      </c>
      <c r="B755" s="38" t="s">
        <v>1665</v>
      </c>
      <c r="C755" s="25" t="s">
        <v>1856</v>
      </c>
      <c r="D755" s="39" t="s">
        <v>1730</v>
      </c>
      <c r="E755" s="65" t="s">
        <v>841</v>
      </c>
      <c r="F755" s="54" t="s">
        <v>485</v>
      </c>
      <c r="G755" s="54" t="s">
        <v>485</v>
      </c>
      <c r="H755" s="54" t="s">
        <v>485</v>
      </c>
      <c r="I755" s="43">
        <f>'01_PARÂMETROS'!$B$9</f>
        <v>50</v>
      </c>
      <c r="J755" s="44">
        <f t="shared" si="36"/>
        <v>0.9</v>
      </c>
      <c r="K755" s="62">
        <f>MAX('01_PARÂMETROS'!$B$11,MIN('01_PARÂMETROS'!$B$12,J755))</f>
        <v>0.9</v>
      </c>
      <c r="L755" s="63">
        <f t="shared" si="35"/>
        <v>-9.9999999999999978E-2</v>
      </c>
      <c r="M755" s="17" t="str">
        <f>IF(K755&lt;='01_PARÂMETROS'!$B$14,"Preferencial",IF(K755&lt;='01_PARÂMETROS'!$B$15,"Baixo",IF(K755&lt;='01_PARÂMETROS'!$B$16,"Médio",IF(K755&lt;='01_PARÂMETROS'!$B$17,"Alto","Elevado"))))</f>
        <v>Baixo</v>
      </c>
      <c r="N755" s="58" t="s">
        <v>486</v>
      </c>
      <c r="O755" s="54"/>
    </row>
    <row r="756" spans="1:15" ht="13.5" customHeight="1" x14ac:dyDescent="0.25">
      <c r="A756" s="13" t="s">
        <v>1857</v>
      </c>
      <c r="B756" s="49" t="s">
        <v>1665</v>
      </c>
      <c r="C756" s="14" t="s">
        <v>1858</v>
      </c>
      <c r="D756" s="50" t="s">
        <v>1730</v>
      </c>
      <c r="E756" s="65" t="s">
        <v>841</v>
      </c>
      <c r="F756" s="54" t="s">
        <v>485</v>
      </c>
      <c r="G756" s="54" t="s">
        <v>485</v>
      </c>
      <c r="H756" s="54" t="s">
        <v>485</v>
      </c>
      <c r="I756" s="43">
        <f>'01_PARÂMETROS'!$B$9</f>
        <v>50</v>
      </c>
      <c r="J756" s="44">
        <f t="shared" ref="J756:J788" si="37">0.9</f>
        <v>0.9</v>
      </c>
      <c r="K756" s="62">
        <f>MAX('01_PARÂMETROS'!$B$11,MIN('01_PARÂMETROS'!$B$12,J756))</f>
        <v>0.9</v>
      </c>
      <c r="L756" s="63">
        <f t="shared" si="35"/>
        <v>-9.9999999999999978E-2</v>
      </c>
      <c r="M756" s="17" t="str">
        <f>IF(K756&lt;='01_PARÂMETROS'!$B$14,"Preferencial",IF(K756&lt;='01_PARÂMETROS'!$B$15,"Baixo",IF(K756&lt;='01_PARÂMETROS'!$B$16,"Médio",IF(K756&lt;='01_PARÂMETROS'!$B$17,"Alto","Elevado"))))</f>
        <v>Baixo</v>
      </c>
      <c r="N756" s="58" t="s">
        <v>486</v>
      </c>
      <c r="O756" s="61"/>
    </row>
    <row r="757" spans="1:15" ht="13.5" customHeight="1" x14ac:dyDescent="0.25">
      <c r="A757" s="24" t="s">
        <v>1859</v>
      </c>
      <c r="B757" s="38" t="s">
        <v>1665</v>
      </c>
      <c r="C757" s="25" t="s">
        <v>1860</v>
      </c>
      <c r="D757" s="39" t="s">
        <v>1730</v>
      </c>
      <c r="E757" s="65" t="s">
        <v>841</v>
      </c>
      <c r="F757" s="54" t="s">
        <v>485</v>
      </c>
      <c r="G757" s="54" t="s">
        <v>485</v>
      </c>
      <c r="H757" s="54" t="s">
        <v>485</v>
      </c>
      <c r="I757" s="43">
        <f>'01_PARÂMETROS'!$B$9</f>
        <v>50</v>
      </c>
      <c r="J757" s="44">
        <f t="shared" si="37"/>
        <v>0.9</v>
      </c>
      <c r="K757" s="62">
        <f>MAX('01_PARÂMETROS'!$B$11,MIN('01_PARÂMETROS'!$B$12,J757))</f>
        <v>0.9</v>
      </c>
      <c r="L757" s="63">
        <f t="shared" si="35"/>
        <v>-9.9999999999999978E-2</v>
      </c>
      <c r="M757" s="17" t="str">
        <f>IF(K757&lt;='01_PARÂMETROS'!$B$14,"Preferencial",IF(K757&lt;='01_PARÂMETROS'!$B$15,"Baixo",IF(K757&lt;='01_PARÂMETROS'!$B$16,"Médio",IF(K757&lt;='01_PARÂMETROS'!$B$17,"Alto","Elevado"))))</f>
        <v>Baixo</v>
      </c>
      <c r="N757" s="58" t="s">
        <v>486</v>
      </c>
      <c r="O757" s="54"/>
    </row>
    <row r="758" spans="1:15" ht="13.5" customHeight="1" x14ac:dyDescent="0.25">
      <c r="A758" s="13" t="s">
        <v>1861</v>
      </c>
      <c r="B758" s="49" t="s">
        <v>1665</v>
      </c>
      <c r="C758" s="14" t="s">
        <v>1862</v>
      </c>
      <c r="D758" s="50" t="s">
        <v>1730</v>
      </c>
      <c r="E758" s="65" t="s">
        <v>841</v>
      </c>
      <c r="F758" s="54" t="s">
        <v>485</v>
      </c>
      <c r="G758" s="54" t="s">
        <v>485</v>
      </c>
      <c r="H758" s="54" t="s">
        <v>485</v>
      </c>
      <c r="I758" s="43">
        <f>'01_PARÂMETROS'!$B$9</f>
        <v>50</v>
      </c>
      <c r="J758" s="44">
        <f t="shared" si="37"/>
        <v>0.9</v>
      </c>
      <c r="K758" s="62">
        <f>MAX('01_PARÂMETROS'!$B$11,MIN('01_PARÂMETROS'!$B$12,J758))</f>
        <v>0.9</v>
      </c>
      <c r="L758" s="63">
        <f t="shared" si="35"/>
        <v>-9.9999999999999978E-2</v>
      </c>
      <c r="M758" s="17" t="str">
        <f>IF(K758&lt;='01_PARÂMETROS'!$B$14,"Preferencial",IF(K758&lt;='01_PARÂMETROS'!$B$15,"Baixo",IF(K758&lt;='01_PARÂMETROS'!$B$16,"Médio",IF(K758&lt;='01_PARÂMETROS'!$B$17,"Alto","Elevado"))))</f>
        <v>Baixo</v>
      </c>
      <c r="N758" s="58" t="s">
        <v>486</v>
      </c>
      <c r="O758" s="61"/>
    </row>
    <row r="759" spans="1:15" ht="13.5" customHeight="1" x14ac:dyDescent="0.25">
      <c r="A759" s="24" t="s">
        <v>1863</v>
      </c>
      <c r="B759" s="38" t="s">
        <v>1665</v>
      </c>
      <c r="C759" s="25" t="s">
        <v>1864</v>
      </c>
      <c r="D759" s="39" t="s">
        <v>1730</v>
      </c>
      <c r="E759" s="65" t="s">
        <v>841</v>
      </c>
      <c r="F759" s="54" t="s">
        <v>485</v>
      </c>
      <c r="G759" s="54" t="s">
        <v>485</v>
      </c>
      <c r="H759" s="54" t="s">
        <v>485</v>
      </c>
      <c r="I759" s="43">
        <f>'01_PARÂMETROS'!$B$9</f>
        <v>50</v>
      </c>
      <c r="J759" s="44">
        <f t="shared" si="37"/>
        <v>0.9</v>
      </c>
      <c r="K759" s="62">
        <f>MAX('01_PARÂMETROS'!$B$11,MIN('01_PARÂMETROS'!$B$12,J759))</f>
        <v>0.9</v>
      </c>
      <c r="L759" s="63">
        <f t="shared" si="35"/>
        <v>-9.9999999999999978E-2</v>
      </c>
      <c r="M759" s="17" t="str">
        <f>IF(K759&lt;='01_PARÂMETROS'!$B$14,"Preferencial",IF(K759&lt;='01_PARÂMETROS'!$B$15,"Baixo",IF(K759&lt;='01_PARÂMETROS'!$B$16,"Médio",IF(K759&lt;='01_PARÂMETROS'!$B$17,"Alto","Elevado"))))</f>
        <v>Baixo</v>
      </c>
      <c r="N759" s="58" t="s">
        <v>486</v>
      </c>
      <c r="O759" s="54"/>
    </row>
    <row r="760" spans="1:15" ht="13.5" customHeight="1" x14ac:dyDescent="0.25">
      <c r="A760" s="13" t="s">
        <v>1865</v>
      </c>
      <c r="B760" s="49" t="s">
        <v>1665</v>
      </c>
      <c r="C760" s="14" t="s">
        <v>1866</v>
      </c>
      <c r="D760" s="50" t="s">
        <v>1730</v>
      </c>
      <c r="E760" s="65" t="s">
        <v>841</v>
      </c>
      <c r="F760" s="54" t="s">
        <v>485</v>
      </c>
      <c r="G760" s="54" t="s">
        <v>485</v>
      </c>
      <c r="H760" s="54" t="s">
        <v>485</v>
      </c>
      <c r="I760" s="43">
        <f>'01_PARÂMETROS'!$B$9</f>
        <v>50</v>
      </c>
      <c r="J760" s="44">
        <f t="shared" si="37"/>
        <v>0.9</v>
      </c>
      <c r="K760" s="62">
        <f>MAX('01_PARÂMETROS'!$B$11,MIN('01_PARÂMETROS'!$B$12,J760))</f>
        <v>0.9</v>
      </c>
      <c r="L760" s="63">
        <f t="shared" si="35"/>
        <v>-9.9999999999999978E-2</v>
      </c>
      <c r="M760" s="17" t="str">
        <f>IF(K760&lt;='01_PARÂMETROS'!$B$14,"Preferencial",IF(K760&lt;='01_PARÂMETROS'!$B$15,"Baixo",IF(K760&lt;='01_PARÂMETROS'!$B$16,"Médio",IF(K760&lt;='01_PARÂMETROS'!$B$17,"Alto","Elevado"))))</f>
        <v>Baixo</v>
      </c>
      <c r="N760" s="58" t="s">
        <v>486</v>
      </c>
      <c r="O760" s="61"/>
    </row>
    <row r="761" spans="1:15" ht="13.5" customHeight="1" x14ac:dyDescent="0.25">
      <c r="A761" s="24" t="s">
        <v>1867</v>
      </c>
      <c r="B761" s="38" t="s">
        <v>1665</v>
      </c>
      <c r="C761" s="25" t="s">
        <v>1868</v>
      </c>
      <c r="D761" s="39" t="s">
        <v>1730</v>
      </c>
      <c r="E761" s="65" t="s">
        <v>841</v>
      </c>
      <c r="F761" s="54" t="s">
        <v>485</v>
      </c>
      <c r="G761" s="54" t="s">
        <v>485</v>
      </c>
      <c r="H761" s="54" t="s">
        <v>485</v>
      </c>
      <c r="I761" s="43">
        <f>'01_PARÂMETROS'!$B$9</f>
        <v>50</v>
      </c>
      <c r="J761" s="44">
        <f t="shared" si="37"/>
        <v>0.9</v>
      </c>
      <c r="K761" s="62">
        <f>MAX('01_PARÂMETROS'!$B$11,MIN('01_PARÂMETROS'!$B$12,J761))</f>
        <v>0.9</v>
      </c>
      <c r="L761" s="63">
        <f t="shared" si="35"/>
        <v>-9.9999999999999978E-2</v>
      </c>
      <c r="M761" s="17" t="str">
        <f>IF(K761&lt;='01_PARÂMETROS'!$B$14,"Preferencial",IF(K761&lt;='01_PARÂMETROS'!$B$15,"Baixo",IF(K761&lt;='01_PARÂMETROS'!$B$16,"Médio",IF(K761&lt;='01_PARÂMETROS'!$B$17,"Alto","Elevado"))))</f>
        <v>Baixo</v>
      </c>
      <c r="N761" s="58" t="s">
        <v>486</v>
      </c>
      <c r="O761" s="54"/>
    </row>
    <row r="762" spans="1:15" ht="13.5" customHeight="1" x14ac:dyDescent="0.25">
      <c r="A762" s="13" t="s">
        <v>1869</v>
      </c>
      <c r="B762" s="49" t="s">
        <v>1665</v>
      </c>
      <c r="C762" s="14" t="s">
        <v>1870</v>
      </c>
      <c r="D762" s="50" t="s">
        <v>1730</v>
      </c>
      <c r="E762" s="65" t="s">
        <v>841</v>
      </c>
      <c r="F762" s="54" t="s">
        <v>485</v>
      </c>
      <c r="G762" s="54" t="s">
        <v>485</v>
      </c>
      <c r="H762" s="54" t="s">
        <v>485</v>
      </c>
      <c r="I762" s="43">
        <f>'01_PARÂMETROS'!$B$9</f>
        <v>50</v>
      </c>
      <c r="J762" s="44">
        <f t="shared" si="37"/>
        <v>0.9</v>
      </c>
      <c r="K762" s="62">
        <f>MAX('01_PARÂMETROS'!$B$11,MIN('01_PARÂMETROS'!$B$12,J762))</f>
        <v>0.9</v>
      </c>
      <c r="L762" s="63">
        <f t="shared" si="35"/>
        <v>-9.9999999999999978E-2</v>
      </c>
      <c r="M762" s="17" t="str">
        <f>IF(K762&lt;='01_PARÂMETROS'!$B$14,"Preferencial",IF(K762&lt;='01_PARÂMETROS'!$B$15,"Baixo",IF(K762&lt;='01_PARÂMETROS'!$B$16,"Médio",IF(K762&lt;='01_PARÂMETROS'!$B$17,"Alto","Elevado"))))</f>
        <v>Baixo</v>
      </c>
      <c r="N762" s="58" t="s">
        <v>486</v>
      </c>
      <c r="O762" s="61"/>
    </row>
    <row r="763" spans="1:15" ht="13.5" customHeight="1" x14ac:dyDescent="0.25">
      <c r="A763" s="24" t="s">
        <v>1871</v>
      </c>
      <c r="B763" s="38" t="s">
        <v>1665</v>
      </c>
      <c r="C763" s="25" t="s">
        <v>1872</v>
      </c>
      <c r="D763" s="39" t="s">
        <v>1730</v>
      </c>
      <c r="E763" s="65" t="s">
        <v>841</v>
      </c>
      <c r="F763" s="54" t="s">
        <v>485</v>
      </c>
      <c r="G763" s="54" t="s">
        <v>485</v>
      </c>
      <c r="H763" s="54" t="s">
        <v>485</v>
      </c>
      <c r="I763" s="43">
        <f>'01_PARÂMETROS'!$B$9</f>
        <v>50</v>
      </c>
      <c r="J763" s="44">
        <f t="shared" si="37"/>
        <v>0.9</v>
      </c>
      <c r="K763" s="62">
        <f>MAX('01_PARÂMETROS'!$B$11,MIN('01_PARÂMETROS'!$B$12,J763))</f>
        <v>0.9</v>
      </c>
      <c r="L763" s="63">
        <f t="shared" si="35"/>
        <v>-9.9999999999999978E-2</v>
      </c>
      <c r="M763" s="17" t="str">
        <f>IF(K763&lt;='01_PARÂMETROS'!$B$14,"Preferencial",IF(K763&lt;='01_PARÂMETROS'!$B$15,"Baixo",IF(K763&lt;='01_PARÂMETROS'!$B$16,"Médio",IF(K763&lt;='01_PARÂMETROS'!$B$17,"Alto","Elevado"))))</f>
        <v>Baixo</v>
      </c>
      <c r="N763" s="58" t="s">
        <v>486</v>
      </c>
      <c r="O763" s="54"/>
    </row>
    <row r="764" spans="1:15" ht="13.5" customHeight="1" x14ac:dyDescent="0.25">
      <c r="A764" s="13" t="s">
        <v>1873</v>
      </c>
      <c r="B764" s="49" t="s">
        <v>1665</v>
      </c>
      <c r="C764" s="14" t="s">
        <v>1874</v>
      </c>
      <c r="D764" s="50" t="s">
        <v>1730</v>
      </c>
      <c r="E764" s="65" t="s">
        <v>841</v>
      </c>
      <c r="F764" s="54" t="s">
        <v>485</v>
      </c>
      <c r="G764" s="54" t="s">
        <v>485</v>
      </c>
      <c r="H764" s="54" t="s">
        <v>485</v>
      </c>
      <c r="I764" s="43">
        <f>'01_PARÂMETROS'!$B$9</f>
        <v>50</v>
      </c>
      <c r="J764" s="44">
        <f t="shared" si="37"/>
        <v>0.9</v>
      </c>
      <c r="K764" s="62">
        <f>MAX('01_PARÂMETROS'!$B$11,MIN('01_PARÂMETROS'!$B$12,J764))</f>
        <v>0.9</v>
      </c>
      <c r="L764" s="63">
        <f t="shared" si="35"/>
        <v>-9.9999999999999978E-2</v>
      </c>
      <c r="M764" s="17" t="str">
        <f>IF(K764&lt;='01_PARÂMETROS'!$B$14,"Preferencial",IF(K764&lt;='01_PARÂMETROS'!$B$15,"Baixo",IF(K764&lt;='01_PARÂMETROS'!$B$16,"Médio",IF(K764&lt;='01_PARÂMETROS'!$B$17,"Alto","Elevado"))))</f>
        <v>Baixo</v>
      </c>
      <c r="N764" s="58" t="s">
        <v>486</v>
      </c>
      <c r="O764" s="61"/>
    </row>
    <row r="765" spans="1:15" ht="13.5" customHeight="1" x14ac:dyDescent="0.25">
      <c r="A765" s="24" t="s">
        <v>1875</v>
      </c>
      <c r="B765" s="38" t="s">
        <v>1665</v>
      </c>
      <c r="C765" s="25" t="s">
        <v>1876</v>
      </c>
      <c r="D765" s="39" t="s">
        <v>1730</v>
      </c>
      <c r="E765" s="65" t="s">
        <v>841</v>
      </c>
      <c r="F765" s="54" t="s">
        <v>485</v>
      </c>
      <c r="G765" s="54" t="s">
        <v>485</v>
      </c>
      <c r="H765" s="54" t="s">
        <v>485</v>
      </c>
      <c r="I765" s="43">
        <f>'01_PARÂMETROS'!$B$9</f>
        <v>50</v>
      </c>
      <c r="J765" s="44">
        <f t="shared" si="37"/>
        <v>0.9</v>
      </c>
      <c r="K765" s="62">
        <f>MAX('01_PARÂMETROS'!$B$11,MIN('01_PARÂMETROS'!$B$12,J765))</f>
        <v>0.9</v>
      </c>
      <c r="L765" s="63">
        <f t="shared" si="35"/>
        <v>-9.9999999999999978E-2</v>
      </c>
      <c r="M765" s="17" t="str">
        <f>IF(K765&lt;='01_PARÂMETROS'!$B$14,"Preferencial",IF(K765&lt;='01_PARÂMETROS'!$B$15,"Baixo",IF(K765&lt;='01_PARÂMETROS'!$B$16,"Médio",IF(K765&lt;='01_PARÂMETROS'!$B$17,"Alto","Elevado"))))</f>
        <v>Baixo</v>
      </c>
      <c r="N765" s="58" t="s">
        <v>486</v>
      </c>
      <c r="O765" s="54"/>
    </row>
    <row r="766" spans="1:15" ht="13.5" customHeight="1" x14ac:dyDescent="0.25">
      <c r="A766" s="13" t="s">
        <v>1877</v>
      </c>
      <c r="B766" s="49" t="s">
        <v>1665</v>
      </c>
      <c r="C766" s="14" t="s">
        <v>1878</v>
      </c>
      <c r="D766" s="50" t="s">
        <v>1730</v>
      </c>
      <c r="E766" s="65" t="s">
        <v>841</v>
      </c>
      <c r="F766" s="54" t="s">
        <v>485</v>
      </c>
      <c r="G766" s="54" t="s">
        <v>485</v>
      </c>
      <c r="H766" s="54" t="s">
        <v>485</v>
      </c>
      <c r="I766" s="43">
        <f>'01_PARÂMETROS'!$B$9</f>
        <v>50</v>
      </c>
      <c r="J766" s="44">
        <f t="shared" si="37"/>
        <v>0.9</v>
      </c>
      <c r="K766" s="62">
        <f>MAX('01_PARÂMETROS'!$B$11,MIN('01_PARÂMETROS'!$B$12,J766))</f>
        <v>0.9</v>
      </c>
      <c r="L766" s="63">
        <f t="shared" si="35"/>
        <v>-9.9999999999999978E-2</v>
      </c>
      <c r="M766" s="17" t="str">
        <f>IF(K766&lt;='01_PARÂMETROS'!$B$14,"Preferencial",IF(K766&lt;='01_PARÂMETROS'!$B$15,"Baixo",IF(K766&lt;='01_PARÂMETROS'!$B$16,"Médio",IF(K766&lt;='01_PARÂMETROS'!$B$17,"Alto","Elevado"))))</f>
        <v>Baixo</v>
      </c>
      <c r="N766" s="58" t="s">
        <v>486</v>
      </c>
      <c r="O766" s="61"/>
    </row>
    <row r="767" spans="1:15" ht="13.5" customHeight="1" x14ac:dyDescent="0.25">
      <c r="A767" s="24" t="s">
        <v>1879</v>
      </c>
      <c r="B767" s="38" t="s">
        <v>1665</v>
      </c>
      <c r="C767" s="25" t="s">
        <v>1880</v>
      </c>
      <c r="D767" s="39" t="s">
        <v>1730</v>
      </c>
      <c r="E767" s="65" t="s">
        <v>841</v>
      </c>
      <c r="F767" s="54" t="s">
        <v>485</v>
      </c>
      <c r="G767" s="54" t="s">
        <v>485</v>
      </c>
      <c r="H767" s="54" t="s">
        <v>485</v>
      </c>
      <c r="I767" s="43">
        <f>'01_PARÂMETROS'!$B$9</f>
        <v>50</v>
      </c>
      <c r="J767" s="44">
        <f t="shared" si="37"/>
        <v>0.9</v>
      </c>
      <c r="K767" s="62">
        <f>MAX('01_PARÂMETROS'!$B$11,MIN('01_PARÂMETROS'!$B$12,J767))</f>
        <v>0.9</v>
      </c>
      <c r="L767" s="63">
        <f t="shared" si="35"/>
        <v>-9.9999999999999978E-2</v>
      </c>
      <c r="M767" s="17" t="str">
        <f>IF(K767&lt;='01_PARÂMETROS'!$B$14,"Preferencial",IF(K767&lt;='01_PARÂMETROS'!$B$15,"Baixo",IF(K767&lt;='01_PARÂMETROS'!$B$16,"Médio",IF(K767&lt;='01_PARÂMETROS'!$B$17,"Alto","Elevado"))))</f>
        <v>Baixo</v>
      </c>
      <c r="N767" s="58" t="s">
        <v>486</v>
      </c>
      <c r="O767" s="54"/>
    </row>
    <row r="768" spans="1:15" ht="13.5" customHeight="1" x14ac:dyDescent="0.25">
      <c r="A768" s="13" t="s">
        <v>1881</v>
      </c>
      <c r="B768" s="49" t="s">
        <v>1665</v>
      </c>
      <c r="C768" s="14" t="s">
        <v>1882</v>
      </c>
      <c r="D768" s="50" t="s">
        <v>1730</v>
      </c>
      <c r="E768" s="65" t="s">
        <v>841</v>
      </c>
      <c r="F768" s="54" t="s">
        <v>485</v>
      </c>
      <c r="G768" s="54" t="s">
        <v>485</v>
      </c>
      <c r="H768" s="54" t="s">
        <v>485</v>
      </c>
      <c r="I768" s="43">
        <f>'01_PARÂMETROS'!$B$9</f>
        <v>50</v>
      </c>
      <c r="J768" s="44">
        <f t="shared" si="37"/>
        <v>0.9</v>
      </c>
      <c r="K768" s="62">
        <f>MAX('01_PARÂMETROS'!$B$11,MIN('01_PARÂMETROS'!$B$12,J768))</f>
        <v>0.9</v>
      </c>
      <c r="L768" s="63">
        <f t="shared" si="35"/>
        <v>-9.9999999999999978E-2</v>
      </c>
      <c r="M768" s="17" t="str">
        <f>IF(K768&lt;='01_PARÂMETROS'!$B$14,"Preferencial",IF(K768&lt;='01_PARÂMETROS'!$B$15,"Baixo",IF(K768&lt;='01_PARÂMETROS'!$B$16,"Médio",IF(K768&lt;='01_PARÂMETROS'!$B$17,"Alto","Elevado"))))</f>
        <v>Baixo</v>
      </c>
      <c r="N768" s="58" t="s">
        <v>486</v>
      </c>
      <c r="O768" s="61"/>
    </row>
    <row r="769" spans="1:15" ht="13.5" customHeight="1" x14ac:dyDescent="0.25">
      <c r="A769" s="24" t="s">
        <v>1883</v>
      </c>
      <c r="B769" s="38" t="s">
        <v>1665</v>
      </c>
      <c r="C769" s="25" t="s">
        <v>1884</v>
      </c>
      <c r="D769" s="39" t="s">
        <v>1730</v>
      </c>
      <c r="E769" s="65" t="s">
        <v>841</v>
      </c>
      <c r="F769" s="54" t="s">
        <v>485</v>
      </c>
      <c r="G769" s="54" t="s">
        <v>485</v>
      </c>
      <c r="H769" s="54" t="s">
        <v>485</v>
      </c>
      <c r="I769" s="43">
        <f>'01_PARÂMETROS'!$B$9</f>
        <v>50</v>
      </c>
      <c r="J769" s="44">
        <f t="shared" si="37"/>
        <v>0.9</v>
      </c>
      <c r="K769" s="62">
        <f>MAX('01_PARÂMETROS'!$B$11,MIN('01_PARÂMETROS'!$B$12,J769))</f>
        <v>0.9</v>
      </c>
      <c r="L769" s="63">
        <f t="shared" si="35"/>
        <v>-9.9999999999999978E-2</v>
      </c>
      <c r="M769" s="17" t="str">
        <f>IF(K769&lt;='01_PARÂMETROS'!$B$14,"Preferencial",IF(K769&lt;='01_PARÂMETROS'!$B$15,"Baixo",IF(K769&lt;='01_PARÂMETROS'!$B$16,"Médio",IF(K769&lt;='01_PARÂMETROS'!$B$17,"Alto","Elevado"))))</f>
        <v>Baixo</v>
      </c>
      <c r="N769" s="58" t="s">
        <v>486</v>
      </c>
      <c r="O769" s="54"/>
    </row>
    <row r="770" spans="1:15" ht="13.5" customHeight="1" x14ac:dyDescent="0.25">
      <c r="A770" s="13" t="s">
        <v>1885</v>
      </c>
      <c r="B770" s="49" t="s">
        <v>1665</v>
      </c>
      <c r="C770" s="14" t="s">
        <v>1886</v>
      </c>
      <c r="D770" s="50" t="s">
        <v>1730</v>
      </c>
      <c r="E770" s="65" t="s">
        <v>841</v>
      </c>
      <c r="F770" s="54" t="s">
        <v>485</v>
      </c>
      <c r="G770" s="54" t="s">
        <v>485</v>
      </c>
      <c r="H770" s="54" t="s">
        <v>485</v>
      </c>
      <c r="I770" s="43">
        <f>'01_PARÂMETROS'!$B$9</f>
        <v>50</v>
      </c>
      <c r="J770" s="44">
        <f t="shared" si="37"/>
        <v>0.9</v>
      </c>
      <c r="K770" s="62">
        <f>MAX('01_PARÂMETROS'!$B$11,MIN('01_PARÂMETROS'!$B$12,J770))</f>
        <v>0.9</v>
      </c>
      <c r="L770" s="63">
        <f t="shared" si="35"/>
        <v>-9.9999999999999978E-2</v>
      </c>
      <c r="M770" s="17" t="str">
        <f>IF(K770&lt;='01_PARÂMETROS'!$B$14,"Preferencial",IF(K770&lt;='01_PARÂMETROS'!$B$15,"Baixo",IF(K770&lt;='01_PARÂMETROS'!$B$16,"Médio",IF(K770&lt;='01_PARÂMETROS'!$B$17,"Alto","Elevado"))))</f>
        <v>Baixo</v>
      </c>
      <c r="N770" s="58" t="s">
        <v>486</v>
      </c>
      <c r="O770" s="61"/>
    </row>
    <row r="771" spans="1:15" ht="13.5" customHeight="1" x14ac:dyDescent="0.25">
      <c r="A771" s="24" t="s">
        <v>1887</v>
      </c>
      <c r="B771" s="38" t="s">
        <v>1665</v>
      </c>
      <c r="C771" s="25" t="s">
        <v>1888</v>
      </c>
      <c r="D771" s="39" t="s">
        <v>1730</v>
      </c>
      <c r="E771" s="65" t="s">
        <v>841</v>
      </c>
      <c r="F771" s="54" t="s">
        <v>485</v>
      </c>
      <c r="G771" s="54" t="s">
        <v>485</v>
      </c>
      <c r="H771" s="54" t="s">
        <v>485</v>
      </c>
      <c r="I771" s="43">
        <f>'01_PARÂMETROS'!$B$9</f>
        <v>50</v>
      </c>
      <c r="J771" s="44">
        <f t="shared" si="37"/>
        <v>0.9</v>
      </c>
      <c r="K771" s="62">
        <f>MAX('01_PARÂMETROS'!$B$11,MIN('01_PARÂMETROS'!$B$12,J771))</f>
        <v>0.9</v>
      </c>
      <c r="L771" s="63">
        <f t="shared" si="35"/>
        <v>-9.9999999999999978E-2</v>
      </c>
      <c r="M771" s="17" t="str">
        <f>IF(K771&lt;='01_PARÂMETROS'!$B$14,"Preferencial",IF(K771&lt;='01_PARÂMETROS'!$B$15,"Baixo",IF(K771&lt;='01_PARÂMETROS'!$B$16,"Médio",IF(K771&lt;='01_PARÂMETROS'!$B$17,"Alto","Elevado"))))</f>
        <v>Baixo</v>
      </c>
      <c r="N771" s="58" t="s">
        <v>486</v>
      </c>
      <c r="O771" s="54"/>
    </row>
    <row r="772" spans="1:15" ht="13.5" customHeight="1" x14ac:dyDescent="0.25">
      <c r="A772" s="13" t="s">
        <v>1889</v>
      </c>
      <c r="B772" s="49" t="s">
        <v>1665</v>
      </c>
      <c r="C772" s="14" t="s">
        <v>1890</v>
      </c>
      <c r="D772" s="50" t="s">
        <v>1730</v>
      </c>
      <c r="E772" s="65" t="s">
        <v>841</v>
      </c>
      <c r="F772" s="54" t="s">
        <v>485</v>
      </c>
      <c r="G772" s="54" t="s">
        <v>485</v>
      </c>
      <c r="H772" s="54" t="s">
        <v>485</v>
      </c>
      <c r="I772" s="43">
        <f>'01_PARÂMETROS'!$B$9</f>
        <v>50</v>
      </c>
      <c r="J772" s="44">
        <f t="shared" si="37"/>
        <v>0.9</v>
      </c>
      <c r="K772" s="62">
        <f>MAX('01_PARÂMETROS'!$B$11,MIN('01_PARÂMETROS'!$B$12,J772))</f>
        <v>0.9</v>
      </c>
      <c r="L772" s="63">
        <f t="shared" si="35"/>
        <v>-9.9999999999999978E-2</v>
      </c>
      <c r="M772" s="17" t="str">
        <f>IF(K772&lt;='01_PARÂMETROS'!$B$14,"Preferencial",IF(K772&lt;='01_PARÂMETROS'!$B$15,"Baixo",IF(K772&lt;='01_PARÂMETROS'!$B$16,"Médio",IF(K772&lt;='01_PARÂMETROS'!$B$17,"Alto","Elevado"))))</f>
        <v>Baixo</v>
      </c>
      <c r="N772" s="58" t="s">
        <v>486</v>
      </c>
      <c r="O772" s="61"/>
    </row>
    <row r="773" spans="1:15" ht="13.5" customHeight="1" x14ac:dyDescent="0.25">
      <c r="A773" s="24" t="s">
        <v>1891</v>
      </c>
      <c r="B773" s="38" t="s">
        <v>1665</v>
      </c>
      <c r="C773" s="25" t="s">
        <v>1892</v>
      </c>
      <c r="D773" s="39" t="s">
        <v>1730</v>
      </c>
      <c r="E773" s="65" t="s">
        <v>841</v>
      </c>
      <c r="F773" s="54" t="s">
        <v>485</v>
      </c>
      <c r="G773" s="54" t="s">
        <v>485</v>
      </c>
      <c r="H773" s="54" t="s">
        <v>485</v>
      </c>
      <c r="I773" s="43">
        <f>'01_PARÂMETROS'!$B$9</f>
        <v>50</v>
      </c>
      <c r="J773" s="44">
        <f t="shared" si="37"/>
        <v>0.9</v>
      </c>
      <c r="K773" s="62">
        <f>MAX('01_PARÂMETROS'!$B$11,MIN('01_PARÂMETROS'!$B$12,J773))</f>
        <v>0.9</v>
      </c>
      <c r="L773" s="63">
        <f t="shared" ref="L773:L836" si="38">(K773-1)</f>
        <v>-9.9999999999999978E-2</v>
      </c>
      <c r="M773" s="17" t="str">
        <f>IF(K773&lt;='01_PARÂMETROS'!$B$14,"Preferencial",IF(K773&lt;='01_PARÂMETROS'!$B$15,"Baixo",IF(K773&lt;='01_PARÂMETROS'!$B$16,"Médio",IF(K773&lt;='01_PARÂMETROS'!$B$17,"Alto","Elevado"))))</f>
        <v>Baixo</v>
      </c>
      <c r="N773" s="58" t="s">
        <v>486</v>
      </c>
      <c r="O773" s="54"/>
    </row>
    <row r="774" spans="1:15" ht="13.5" customHeight="1" x14ac:dyDescent="0.25">
      <c r="A774" s="13" t="s">
        <v>1893</v>
      </c>
      <c r="B774" s="49" t="s">
        <v>1665</v>
      </c>
      <c r="C774" s="14" t="s">
        <v>1894</v>
      </c>
      <c r="D774" s="50" t="s">
        <v>1730</v>
      </c>
      <c r="E774" s="65" t="s">
        <v>841</v>
      </c>
      <c r="F774" s="54" t="s">
        <v>485</v>
      </c>
      <c r="G774" s="54" t="s">
        <v>485</v>
      </c>
      <c r="H774" s="54" t="s">
        <v>485</v>
      </c>
      <c r="I774" s="43">
        <f>'01_PARÂMETROS'!$B$9</f>
        <v>50</v>
      </c>
      <c r="J774" s="44">
        <f t="shared" si="37"/>
        <v>0.9</v>
      </c>
      <c r="K774" s="62">
        <f>MAX('01_PARÂMETROS'!$B$11,MIN('01_PARÂMETROS'!$B$12,J774))</f>
        <v>0.9</v>
      </c>
      <c r="L774" s="63">
        <f t="shared" si="38"/>
        <v>-9.9999999999999978E-2</v>
      </c>
      <c r="M774" s="17" t="str">
        <f>IF(K774&lt;='01_PARÂMETROS'!$B$14,"Preferencial",IF(K774&lt;='01_PARÂMETROS'!$B$15,"Baixo",IF(K774&lt;='01_PARÂMETROS'!$B$16,"Médio",IF(K774&lt;='01_PARÂMETROS'!$B$17,"Alto","Elevado"))))</f>
        <v>Baixo</v>
      </c>
      <c r="N774" s="58" t="s">
        <v>486</v>
      </c>
      <c r="O774" s="61"/>
    </row>
    <row r="775" spans="1:15" ht="13.5" customHeight="1" x14ac:dyDescent="0.25">
      <c r="A775" s="24" t="s">
        <v>1895</v>
      </c>
      <c r="B775" s="38" t="s">
        <v>1665</v>
      </c>
      <c r="C775" s="25" t="s">
        <v>1896</v>
      </c>
      <c r="D775" s="39" t="s">
        <v>1730</v>
      </c>
      <c r="E775" s="65" t="s">
        <v>841</v>
      </c>
      <c r="F775" s="54" t="s">
        <v>485</v>
      </c>
      <c r="G775" s="54" t="s">
        <v>485</v>
      </c>
      <c r="H775" s="54" t="s">
        <v>485</v>
      </c>
      <c r="I775" s="43">
        <f>'01_PARÂMETROS'!$B$9</f>
        <v>50</v>
      </c>
      <c r="J775" s="44">
        <f t="shared" si="37"/>
        <v>0.9</v>
      </c>
      <c r="K775" s="62">
        <f>MAX('01_PARÂMETROS'!$B$11,MIN('01_PARÂMETROS'!$B$12,J775))</f>
        <v>0.9</v>
      </c>
      <c r="L775" s="63">
        <f t="shared" si="38"/>
        <v>-9.9999999999999978E-2</v>
      </c>
      <c r="M775" s="17" t="str">
        <f>IF(K775&lt;='01_PARÂMETROS'!$B$14,"Preferencial",IF(K775&lt;='01_PARÂMETROS'!$B$15,"Baixo",IF(K775&lt;='01_PARÂMETROS'!$B$16,"Médio",IF(K775&lt;='01_PARÂMETROS'!$B$17,"Alto","Elevado"))))</f>
        <v>Baixo</v>
      </c>
      <c r="N775" s="58" t="s">
        <v>486</v>
      </c>
      <c r="O775" s="54"/>
    </row>
    <row r="776" spans="1:15" ht="13.5" customHeight="1" x14ac:dyDescent="0.25">
      <c r="A776" s="13" t="s">
        <v>1897</v>
      </c>
      <c r="B776" s="49" t="s">
        <v>1665</v>
      </c>
      <c r="C776" s="14" t="s">
        <v>1898</v>
      </c>
      <c r="D776" s="50" t="s">
        <v>1730</v>
      </c>
      <c r="E776" s="65" t="s">
        <v>841</v>
      </c>
      <c r="F776" s="54" t="s">
        <v>485</v>
      </c>
      <c r="G776" s="54" t="s">
        <v>485</v>
      </c>
      <c r="H776" s="54" t="s">
        <v>485</v>
      </c>
      <c r="I776" s="43">
        <f>'01_PARÂMETROS'!$B$9</f>
        <v>50</v>
      </c>
      <c r="J776" s="44">
        <f t="shared" si="37"/>
        <v>0.9</v>
      </c>
      <c r="K776" s="62">
        <f>MAX('01_PARÂMETROS'!$B$11,MIN('01_PARÂMETROS'!$B$12,J776))</f>
        <v>0.9</v>
      </c>
      <c r="L776" s="63">
        <f t="shared" si="38"/>
        <v>-9.9999999999999978E-2</v>
      </c>
      <c r="M776" s="17" t="str">
        <f>IF(K776&lt;='01_PARÂMETROS'!$B$14,"Preferencial",IF(K776&lt;='01_PARÂMETROS'!$B$15,"Baixo",IF(K776&lt;='01_PARÂMETROS'!$B$16,"Médio",IF(K776&lt;='01_PARÂMETROS'!$B$17,"Alto","Elevado"))))</f>
        <v>Baixo</v>
      </c>
      <c r="N776" s="58" t="s">
        <v>486</v>
      </c>
      <c r="O776" s="61"/>
    </row>
    <row r="777" spans="1:15" ht="13.5" customHeight="1" x14ac:dyDescent="0.25">
      <c r="A777" s="24" t="s">
        <v>1899</v>
      </c>
      <c r="B777" s="38" t="s">
        <v>1665</v>
      </c>
      <c r="C777" s="25" t="s">
        <v>1900</v>
      </c>
      <c r="D777" s="39" t="s">
        <v>1730</v>
      </c>
      <c r="E777" s="65" t="s">
        <v>841</v>
      </c>
      <c r="F777" s="54" t="s">
        <v>485</v>
      </c>
      <c r="G777" s="54" t="s">
        <v>485</v>
      </c>
      <c r="H777" s="54" t="s">
        <v>485</v>
      </c>
      <c r="I777" s="43">
        <f>'01_PARÂMETROS'!$B$9</f>
        <v>50</v>
      </c>
      <c r="J777" s="44">
        <f t="shared" si="37"/>
        <v>0.9</v>
      </c>
      <c r="K777" s="62">
        <f>MAX('01_PARÂMETROS'!$B$11,MIN('01_PARÂMETROS'!$B$12,J777))</f>
        <v>0.9</v>
      </c>
      <c r="L777" s="63">
        <f t="shared" si="38"/>
        <v>-9.9999999999999978E-2</v>
      </c>
      <c r="M777" s="17" t="str">
        <f>IF(K777&lt;='01_PARÂMETROS'!$B$14,"Preferencial",IF(K777&lt;='01_PARÂMETROS'!$B$15,"Baixo",IF(K777&lt;='01_PARÂMETROS'!$B$16,"Médio",IF(K777&lt;='01_PARÂMETROS'!$B$17,"Alto","Elevado"))))</f>
        <v>Baixo</v>
      </c>
      <c r="N777" s="58" t="s">
        <v>486</v>
      </c>
      <c r="O777" s="54"/>
    </row>
    <row r="778" spans="1:15" ht="13.5" customHeight="1" x14ac:dyDescent="0.25">
      <c r="A778" s="13" t="s">
        <v>1901</v>
      </c>
      <c r="B778" s="49" t="s">
        <v>1665</v>
      </c>
      <c r="C778" s="14" t="s">
        <v>1902</v>
      </c>
      <c r="D778" s="50" t="s">
        <v>1730</v>
      </c>
      <c r="E778" s="65" t="s">
        <v>841</v>
      </c>
      <c r="F778" s="54" t="s">
        <v>485</v>
      </c>
      <c r="G778" s="54" t="s">
        <v>485</v>
      </c>
      <c r="H778" s="54" t="s">
        <v>485</v>
      </c>
      <c r="I778" s="43">
        <f>'01_PARÂMETROS'!$B$9</f>
        <v>50</v>
      </c>
      <c r="J778" s="44">
        <f t="shared" si="37"/>
        <v>0.9</v>
      </c>
      <c r="K778" s="62">
        <f>MAX('01_PARÂMETROS'!$B$11,MIN('01_PARÂMETROS'!$B$12,J778))</f>
        <v>0.9</v>
      </c>
      <c r="L778" s="63">
        <f t="shared" si="38"/>
        <v>-9.9999999999999978E-2</v>
      </c>
      <c r="M778" s="17" t="str">
        <f>IF(K778&lt;='01_PARÂMETROS'!$B$14,"Preferencial",IF(K778&lt;='01_PARÂMETROS'!$B$15,"Baixo",IF(K778&lt;='01_PARÂMETROS'!$B$16,"Médio",IF(K778&lt;='01_PARÂMETROS'!$B$17,"Alto","Elevado"))))</f>
        <v>Baixo</v>
      </c>
      <c r="N778" s="58" t="s">
        <v>486</v>
      </c>
      <c r="O778" s="61"/>
    </row>
    <row r="779" spans="1:15" ht="13.5" customHeight="1" x14ac:dyDescent="0.25">
      <c r="A779" s="24" t="s">
        <v>1903</v>
      </c>
      <c r="B779" s="38" t="s">
        <v>1665</v>
      </c>
      <c r="C779" s="25" t="s">
        <v>1904</v>
      </c>
      <c r="D779" s="39" t="s">
        <v>1730</v>
      </c>
      <c r="E779" s="65" t="s">
        <v>841</v>
      </c>
      <c r="F779" s="54" t="s">
        <v>485</v>
      </c>
      <c r="G779" s="54" t="s">
        <v>485</v>
      </c>
      <c r="H779" s="54" t="s">
        <v>485</v>
      </c>
      <c r="I779" s="43">
        <f>'01_PARÂMETROS'!$B$9</f>
        <v>50</v>
      </c>
      <c r="J779" s="44">
        <f t="shared" si="37"/>
        <v>0.9</v>
      </c>
      <c r="K779" s="62">
        <f>MAX('01_PARÂMETROS'!$B$11,MIN('01_PARÂMETROS'!$B$12,J779))</f>
        <v>0.9</v>
      </c>
      <c r="L779" s="63">
        <f t="shared" si="38"/>
        <v>-9.9999999999999978E-2</v>
      </c>
      <c r="M779" s="17" t="str">
        <f>IF(K779&lt;='01_PARÂMETROS'!$B$14,"Preferencial",IF(K779&lt;='01_PARÂMETROS'!$B$15,"Baixo",IF(K779&lt;='01_PARÂMETROS'!$B$16,"Médio",IF(K779&lt;='01_PARÂMETROS'!$B$17,"Alto","Elevado"))))</f>
        <v>Baixo</v>
      </c>
      <c r="N779" s="58" t="s">
        <v>486</v>
      </c>
      <c r="O779" s="54"/>
    </row>
    <row r="780" spans="1:15" ht="13.5" customHeight="1" x14ac:dyDescent="0.25">
      <c r="A780" s="13" t="s">
        <v>1905</v>
      </c>
      <c r="B780" s="49" t="s">
        <v>1665</v>
      </c>
      <c r="C780" s="14" t="s">
        <v>1906</v>
      </c>
      <c r="D780" s="50" t="s">
        <v>1730</v>
      </c>
      <c r="E780" s="65" t="s">
        <v>841</v>
      </c>
      <c r="F780" s="54" t="s">
        <v>485</v>
      </c>
      <c r="G780" s="54" t="s">
        <v>485</v>
      </c>
      <c r="H780" s="54" t="s">
        <v>485</v>
      </c>
      <c r="I780" s="43">
        <f>'01_PARÂMETROS'!$B$9</f>
        <v>50</v>
      </c>
      <c r="J780" s="44">
        <f t="shared" si="37"/>
        <v>0.9</v>
      </c>
      <c r="K780" s="62">
        <f>MAX('01_PARÂMETROS'!$B$11,MIN('01_PARÂMETROS'!$B$12,J780))</f>
        <v>0.9</v>
      </c>
      <c r="L780" s="63">
        <f t="shared" si="38"/>
        <v>-9.9999999999999978E-2</v>
      </c>
      <c r="M780" s="17" t="str">
        <f>IF(K780&lt;='01_PARÂMETROS'!$B$14,"Preferencial",IF(K780&lt;='01_PARÂMETROS'!$B$15,"Baixo",IF(K780&lt;='01_PARÂMETROS'!$B$16,"Médio",IF(K780&lt;='01_PARÂMETROS'!$B$17,"Alto","Elevado"))))</f>
        <v>Baixo</v>
      </c>
      <c r="N780" s="58" t="s">
        <v>486</v>
      </c>
      <c r="O780" s="61"/>
    </row>
    <row r="781" spans="1:15" ht="13.5" customHeight="1" x14ac:dyDescent="0.25">
      <c r="A781" s="24" t="s">
        <v>1907</v>
      </c>
      <c r="B781" s="38" t="s">
        <v>1665</v>
      </c>
      <c r="C781" s="25" t="s">
        <v>1908</v>
      </c>
      <c r="D781" s="39" t="s">
        <v>1730</v>
      </c>
      <c r="E781" s="65" t="s">
        <v>841</v>
      </c>
      <c r="F781" s="54" t="s">
        <v>485</v>
      </c>
      <c r="G781" s="54" t="s">
        <v>485</v>
      </c>
      <c r="H781" s="54" t="s">
        <v>485</v>
      </c>
      <c r="I781" s="43">
        <f>'01_PARÂMETROS'!$B$9</f>
        <v>50</v>
      </c>
      <c r="J781" s="44">
        <f t="shared" si="37"/>
        <v>0.9</v>
      </c>
      <c r="K781" s="62">
        <f>MAX('01_PARÂMETROS'!$B$11,MIN('01_PARÂMETROS'!$B$12,J781))</f>
        <v>0.9</v>
      </c>
      <c r="L781" s="63">
        <f t="shared" si="38"/>
        <v>-9.9999999999999978E-2</v>
      </c>
      <c r="M781" s="17" t="str">
        <f>IF(K781&lt;='01_PARÂMETROS'!$B$14,"Preferencial",IF(K781&lt;='01_PARÂMETROS'!$B$15,"Baixo",IF(K781&lt;='01_PARÂMETROS'!$B$16,"Médio",IF(K781&lt;='01_PARÂMETROS'!$B$17,"Alto","Elevado"))))</f>
        <v>Baixo</v>
      </c>
      <c r="N781" s="58" t="s">
        <v>486</v>
      </c>
      <c r="O781" s="54"/>
    </row>
    <row r="782" spans="1:15" ht="13.5" customHeight="1" x14ac:dyDescent="0.25">
      <c r="A782" s="13" t="s">
        <v>1909</v>
      </c>
      <c r="B782" s="49" t="s">
        <v>1665</v>
      </c>
      <c r="C782" s="14" t="s">
        <v>1910</v>
      </c>
      <c r="D782" s="50" t="s">
        <v>1730</v>
      </c>
      <c r="E782" s="65" t="s">
        <v>841</v>
      </c>
      <c r="F782" s="54" t="s">
        <v>485</v>
      </c>
      <c r="G782" s="54" t="s">
        <v>485</v>
      </c>
      <c r="H782" s="54" t="s">
        <v>485</v>
      </c>
      <c r="I782" s="43">
        <f>'01_PARÂMETROS'!$B$9</f>
        <v>50</v>
      </c>
      <c r="J782" s="44">
        <f t="shared" si="37"/>
        <v>0.9</v>
      </c>
      <c r="K782" s="62">
        <f>MAX('01_PARÂMETROS'!$B$11,MIN('01_PARÂMETROS'!$B$12,J782))</f>
        <v>0.9</v>
      </c>
      <c r="L782" s="63">
        <f t="shared" si="38"/>
        <v>-9.9999999999999978E-2</v>
      </c>
      <c r="M782" s="17" t="str">
        <f>IF(K782&lt;='01_PARÂMETROS'!$B$14,"Preferencial",IF(K782&lt;='01_PARÂMETROS'!$B$15,"Baixo",IF(K782&lt;='01_PARÂMETROS'!$B$16,"Médio",IF(K782&lt;='01_PARÂMETROS'!$B$17,"Alto","Elevado"))))</f>
        <v>Baixo</v>
      </c>
      <c r="N782" s="58" t="s">
        <v>486</v>
      </c>
      <c r="O782" s="61"/>
    </row>
    <row r="783" spans="1:15" ht="13.5" customHeight="1" x14ac:dyDescent="0.25">
      <c r="A783" s="24" t="s">
        <v>1911</v>
      </c>
      <c r="B783" s="38" t="s">
        <v>1665</v>
      </c>
      <c r="C783" s="25" t="s">
        <v>1912</v>
      </c>
      <c r="D783" s="39" t="s">
        <v>1730</v>
      </c>
      <c r="E783" s="65" t="s">
        <v>841</v>
      </c>
      <c r="F783" s="54" t="s">
        <v>485</v>
      </c>
      <c r="G783" s="54" t="s">
        <v>485</v>
      </c>
      <c r="H783" s="54" t="s">
        <v>485</v>
      </c>
      <c r="I783" s="43">
        <f>'01_PARÂMETROS'!$B$9</f>
        <v>50</v>
      </c>
      <c r="J783" s="44">
        <f t="shared" si="37"/>
        <v>0.9</v>
      </c>
      <c r="K783" s="62">
        <f>MAX('01_PARÂMETROS'!$B$11,MIN('01_PARÂMETROS'!$B$12,J783))</f>
        <v>0.9</v>
      </c>
      <c r="L783" s="63">
        <f t="shared" si="38"/>
        <v>-9.9999999999999978E-2</v>
      </c>
      <c r="M783" s="17" t="str">
        <f>IF(K783&lt;='01_PARÂMETROS'!$B$14,"Preferencial",IF(K783&lt;='01_PARÂMETROS'!$B$15,"Baixo",IF(K783&lt;='01_PARÂMETROS'!$B$16,"Médio",IF(K783&lt;='01_PARÂMETROS'!$B$17,"Alto","Elevado"))))</f>
        <v>Baixo</v>
      </c>
      <c r="N783" s="58" t="s">
        <v>486</v>
      </c>
      <c r="O783" s="54"/>
    </row>
    <row r="784" spans="1:15" ht="13.5" customHeight="1" x14ac:dyDescent="0.25">
      <c r="A784" s="13" t="s">
        <v>1913</v>
      </c>
      <c r="B784" s="49" t="s">
        <v>1665</v>
      </c>
      <c r="C784" s="14" t="s">
        <v>1914</v>
      </c>
      <c r="D784" s="50" t="s">
        <v>1730</v>
      </c>
      <c r="E784" s="65" t="s">
        <v>841</v>
      </c>
      <c r="F784" s="54" t="s">
        <v>485</v>
      </c>
      <c r="G784" s="54" t="s">
        <v>485</v>
      </c>
      <c r="H784" s="54" t="s">
        <v>485</v>
      </c>
      <c r="I784" s="43">
        <f>'01_PARÂMETROS'!$B$9</f>
        <v>50</v>
      </c>
      <c r="J784" s="44">
        <f t="shared" si="37"/>
        <v>0.9</v>
      </c>
      <c r="K784" s="62">
        <f>MAX('01_PARÂMETROS'!$B$11,MIN('01_PARÂMETROS'!$B$12,J784))</f>
        <v>0.9</v>
      </c>
      <c r="L784" s="63">
        <f t="shared" si="38"/>
        <v>-9.9999999999999978E-2</v>
      </c>
      <c r="M784" s="17" t="str">
        <f>IF(K784&lt;='01_PARÂMETROS'!$B$14,"Preferencial",IF(K784&lt;='01_PARÂMETROS'!$B$15,"Baixo",IF(K784&lt;='01_PARÂMETROS'!$B$16,"Médio",IF(K784&lt;='01_PARÂMETROS'!$B$17,"Alto","Elevado"))))</f>
        <v>Baixo</v>
      </c>
      <c r="N784" s="58" t="s">
        <v>486</v>
      </c>
      <c r="O784" s="61"/>
    </row>
    <row r="785" spans="1:15" ht="13.5" customHeight="1" x14ac:dyDescent="0.25">
      <c r="A785" s="24" t="s">
        <v>1915</v>
      </c>
      <c r="B785" s="38" t="s">
        <v>1665</v>
      </c>
      <c r="C785" s="25" t="s">
        <v>1916</v>
      </c>
      <c r="D785" s="39" t="s">
        <v>1730</v>
      </c>
      <c r="E785" s="65" t="s">
        <v>841</v>
      </c>
      <c r="F785" s="54" t="s">
        <v>485</v>
      </c>
      <c r="G785" s="54" t="s">
        <v>485</v>
      </c>
      <c r="H785" s="54" t="s">
        <v>485</v>
      </c>
      <c r="I785" s="43">
        <f>'01_PARÂMETROS'!$B$9</f>
        <v>50</v>
      </c>
      <c r="J785" s="44">
        <f t="shared" si="37"/>
        <v>0.9</v>
      </c>
      <c r="K785" s="62">
        <f>MAX('01_PARÂMETROS'!$B$11,MIN('01_PARÂMETROS'!$B$12,J785))</f>
        <v>0.9</v>
      </c>
      <c r="L785" s="63">
        <f t="shared" si="38"/>
        <v>-9.9999999999999978E-2</v>
      </c>
      <c r="M785" s="17" t="str">
        <f>IF(K785&lt;='01_PARÂMETROS'!$B$14,"Preferencial",IF(K785&lt;='01_PARÂMETROS'!$B$15,"Baixo",IF(K785&lt;='01_PARÂMETROS'!$B$16,"Médio",IF(K785&lt;='01_PARÂMETROS'!$B$17,"Alto","Elevado"))))</f>
        <v>Baixo</v>
      </c>
      <c r="N785" s="58" t="s">
        <v>486</v>
      </c>
      <c r="O785" s="54"/>
    </row>
    <row r="786" spans="1:15" ht="13.5" customHeight="1" x14ac:dyDescent="0.25">
      <c r="A786" s="13" t="s">
        <v>1917</v>
      </c>
      <c r="B786" s="49" t="s">
        <v>1665</v>
      </c>
      <c r="C786" s="14" t="s">
        <v>1918</v>
      </c>
      <c r="D786" s="50" t="s">
        <v>1730</v>
      </c>
      <c r="E786" s="65" t="s">
        <v>841</v>
      </c>
      <c r="F786" s="54" t="s">
        <v>485</v>
      </c>
      <c r="G786" s="54" t="s">
        <v>485</v>
      </c>
      <c r="H786" s="54" t="s">
        <v>485</v>
      </c>
      <c r="I786" s="43">
        <f>'01_PARÂMETROS'!$B$9</f>
        <v>50</v>
      </c>
      <c r="J786" s="44">
        <f t="shared" si="37"/>
        <v>0.9</v>
      </c>
      <c r="K786" s="62">
        <f>MAX('01_PARÂMETROS'!$B$11,MIN('01_PARÂMETROS'!$B$12,J786))</f>
        <v>0.9</v>
      </c>
      <c r="L786" s="63">
        <f t="shared" si="38"/>
        <v>-9.9999999999999978E-2</v>
      </c>
      <c r="M786" s="17" t="str">
        <f>IF(K786&lt;='01_PARÂMETROS'!$B$14,"Preferencial",IF(K786&lt;='01_PARÂMETROS'!$B$15,"Baixo",IF(K786&lt;='01_PARÂMETROS'!$B$16,"Médio",IF(K786&lt;='01_PARÂMETROS'!$B$17,"Alto","Elevado"))))</f>
        <v>Baixo</v>
      </c>
      <c r="N786" s="58" t="s">
        <v>486</v>
      </c>
      <c r="O786" s="61"/>
    </row>
    <row r="787" spans="1:15" ht="13.5" customHeight="1" x14ac:dyDescent="0.25">
      <c r="A787" s="24" t="s">
        <v>1919</v>
      </c>
      <c r="B787" s="38" t="s">
        <v>1665</v>
      </c>
      <c r="C787" s="25" t="s">
        <v>1920</v>
      </c>
      <c r="D787" s="39" t="s">
        <v>1730</v>
      </c>
      <c r="E787" s="65" t="s">
        <v>841</v>
      </c>
      <c r="F787" s="54" t="s">
        <v>485</v>
      </c>
      <c r="G787" s="54" t="s">
        <v>485</v>
      </c>
      <c r="H787" s="54" t="s">
        <v>485</v>
      </c>
      <c r="I787" s="43">
        <f>'01_PARÂMETROS'!$B$9</f>
        <v>50</v>
      </c>
      <c r="J787" s="44">
        <f t="shared" si="37"/>
        <v>0.9</v>
      </c>
      <c r="K787" s="62">
        <f>MAX('01_PARÂMETROS'!$B$11,MIN('01_PARÂMETROS'!$B$12,J787))</f>
        <v>0.9</v>
      </c>
      <c r="L787" s="63">
        <f t="shared" si="38"/>
        <v>-9.9999999999999978E-2</v>
      </c>
      <c r="M787" s="17" t="str">
        <f>IF(K787&lt;='01_PARÂMETROS'!$B$14,"Preferencial",IF(K787&lt;='01_PARÂMETROS'!$B$15,"Baixo",IF(K787&lt;='01_PARÂMETROS'!$B$16,"Médio",IF(K787&lt;='01_PARÂMETROS'!$B$17,"Alto","Elevado"))))</f>
        <v>Baixo</v>
      </c>
      <c r="N787" s="58" t="s">
        <v>486</v>
      </c>
      <c r="O787" s="54"/>
    </row>
    <row r="788" spans="1:15" ht="13.5" customHeight="1" x14ac:dyDescent="0.25">
      <c r="A788" s="13" t="s">
        <v>1921</v>
      </c>
      <c r="B788" s="49" t="s">
        <v>1665</v>
      </c>
      <c r="C788" s="14" t="s">
        <v>1922</v>
      </c>
      <c r="D788" s="50" t="s">
        <v>1730</v>
      </c>
      <c r="E788" s="65" t="s">
        <v>841</v>
      </c>
      <c r="F788" s="54" t="s">
        <v>485</v>
      </c>
      <c r="G788" s="54" t="s">
        <v>485</v>
      </c>
      <c r="H788" s="54" t="s">
        <v>485</v>
      </c>
      <c r="I788" s="43">
        <f>'01_PARÂMETROS'!$B$9</f>
        <v>50</v>
      </c>
      <c r="J788" s="44">
        <f t="shared" si="37"/>
        <v>0.9</v>
      </c>
      <c r="K788" s="62">
        <f>MAX('01_PARÂMETROS'!$B$11,MIN('01_PARÂMETROS'!$B$12,J788))</f>
        <v>0.9</v>
      </c>
      <c r="L788" s="63">
        <f t="shared" si="38"/>
        <v>-9.9999999999999978E-2</v>
      </c>
      <c r="M788" s="17" t="str">
        <f>IF(K788&lt;='01_PARÂMETROS'!$B$14,"Preferencial",IF(K788&lt;='01_PARÂMETROS'!$B$15,"Baixo",IF(K788&lt;='01_PARÂMETROS'!$B$16,"Médio",IF(K788&lt;='01_PARÂMETROS'!$B$17,"Alto","Elevado"))))</f>
        <v>Baixo</v>
      </c>
      <c r="N788" s="58" t="s">
        <v>486</v>
      </c>
      <c r="O788" s="61"/>
    </row>
    <row r="789" spans="1:15" ht="13.5" customHeight="1" x14ac:dyDescent="0.25">
      <c r="A789" s="24" t="s">
        <v>1923</v>
      </c>
      <c r="B789" s="38" t="s">
        <v>1665</v>
      </c>
      <c r="C789" s="25" t="s">
        <v>1924</v>
      </c>
      <c r="D789" s="39" t="s">
        <v>1730</v>
      </c>
      <c r="E789" s="40" t="s">
        <v>477</v>
      </c>
      <c r="F789" s="54" t="s">
        <v>485</v>
      </c>
      <c r="G789" s="54" t="s">
        <v>485</v>
      </c>
      <c r="H789" s="54" t="s">
        <v>485</v>
      </c>
      <c r="I789" s="43">
        <f>'01_PARÂMETROS'!$B$9</f>
        <v>50</v>
      </c>
      <c r="J789" s="44">
        <f>1</f>
        <v>1</v>
      </c>
      <c r="K789" s="55">
        <f>MAX('01_PARÂMETROS'!$B$11,MIN('01_PARÂMETROS'!$B$12,J789))</f>
        <v>1</v>
      </c>
      <c r="L789" s="56">
        <f t="shared" si="38"/>
        <v>0</v>
      </c>
      <c r="M789" s="57" t="str">
        <f>IF(K789&lt;='01_PARÂMETROS'!$B$14,"Preferencial",IF(K789&lt;='01_PARÂMETROS'!$B$15,"Baixo",IF(K789&lt;='01_PARÂMETROS'!$B$16,"Médio",IF(K789&lt;='01_PARÂMETROS'!$B$17,"Alto","Elevado"))))</f>
        <v>Médio</v>
      </c>
      <c r="N789" s="58" t="s">
        <v>486</v>
      </c>
      <c r="O789" s="54"/>
    </row>
    <row r="790" spans="1:15" ht="13.5" customHeight="1" x14ac:dyDescent="0.25">
      <c r="A790" s="13" t="s">
        <v>1925</v>
      </c>
      <c r="B790" s="49" t="s">
        <v>1665</v>
      </c>
      <c r="C790" s="14" t="s">
        <v>1926</v>
      </c>
      <c r="D790" s="50" t="s">
        <v>1730</v>
      </c>
      <c r="E790" s="40" t="s">
        <v>477</v>
      </c>
      <c r="F790" s="54" t="s">
        <v>485</v>
      </c>
      <c r="G790" s="54" t="s">
        <v>485</v>
      </c>
      <c r="H790" s="54" t="s">
        <v>485</v>
      </c>
      <c r="I790" s="43">
        <f>'01_PARÂMETROS'!$B$9</f>
        <v>50</v>
      </c>
      <c r="J790" s="44">
        <f>1</f>
        <v>1</v>
      </c>
      <c r="K790" s="55">
        <f>MAX('01_PARÂMETROS'!$B$11,MIN('01_PARÂMETROS'!$B$12,J790))</f>
        <v>1</v>
      </c>
      <c r="L790" s="56">
        <f t="shared" si="38"/>
        <v>0</v>
      </c>
      <c r="M790" s="57" t="str">
        <f>IF(K790&lt;='01_PARÂMETROS'!$B$14,"Preferencial",IF(K790&lt;='01_PARÂMETROS'!$B$15,"Baixo",IF(K790&lt;='01_PARÂMETROS'!$B$16,"Médio",IF(K790&lt;='01_PARÂMETROS'!$B$17,"Alto","Elevado"))))</f>
        <v>Médio</v>
      </c>
      <c r="N790" s="58" t="s">
        <v>486</v>
      </c>
      <c r="O790" s="61"/>
    </row>
    <row r="791" spans="1:15" ht="13.5" customHeight="1" x14ac:dyDescent="0.25">
      <c r="A791" s="24" t="s">
        <v>1927</v>
      </c>
      <c r="B791" s="38" t="s">
        <v>1665</v>
      </c>
      <c r="C791" s="25" t="s">
        <v>1928</v>
      </c>
      <c r="D791" s="39" t="s">
        <v>1730</v>
      </c>
      <c r="E791" s="40" t="s">
        <v>477</v>
      </c>
      <c r="F791" s="54" t="s">
        <v>485</v>
      </c>
      <c r="G791" s="54" t="s">
        <v>485</v>
      </c>
      <c r="H791" s="54" t="s">
        <v>485</v>
      </c>
      <c r="I791" s="43">
        <f>'01_PARÂMETROS'!$B$9</f>
        <v>50</v>
      </c>
      <c r="J791" s="44">
        <f>1</f>
        <v>1</v>
      </c>
      <c r="K791" s="55">
        <f>MAX('01_PARÂMETROS'!$B$11,MIN('01_PARÂMETROS'!$B$12,J791))</f>
        <v>1</v>
      </c>
      <c r="L791" s="56">
        <f t="shared" si="38"/>
        <v>0</v>
      </c>
      <c r="M791" s="57" t="str">
        <f>IF(K791&lt;='01_PARÂMETROS'!$B$14,"Preferencial",IF(K791&lt;='01_PARÂMETROS'!$B$15,"Baixo",IF(K791&lt;='01_PARÂMETROS'!$B$16,"Médio",IF(K791&lt;='01_PARÂMETROS'!$B$17,"Alto","Elevado"))))</f>
        <v>Médio</v>
      </c>
      <c r="N791" s="58" t="s">
        <v>486</v>
      </c>
      <c r="O791" s="54"/>
    </row>
    <row r="792" spans="1:15" ht="13.5" customHeight="1" x14ac:dyDescent="0.25">
      <c r="A792" s="13" t="s">
        <v>1929</v>
      </c>
      <c r="B792" s="49" t="s">
        <v>1665</v>
      </c>
      <c r="C792" s="14" t="s">
        <v>1930</v>
      </c>
      <c r="D792" s="50" t="s">
        <v>1730</v>
      </c>
      <c r="E792" s="40" t="s">
        <v>477</v>
      </c>
      <c r="F792" s="54" t="s">
        <v>485</v>
      </c>
      <c r="G792" s="54" t="s">
        <v>485</v>
      </c>
      <c r="H792" s="54" t="s">
        <v>485</v>
      </c>
      <c r="I792" s="43">
        <f>'01_PARÂMETROS'!$B$9</f>
        <v>50</v>
      </c>
      <c r="J792" s="44">
        <f>1</f>
        <v>1</v>
      </c>
      <c r="K792" s="55">
        <f>MAX('01_PARÂMETROS'!$B$11,MIN('01_PARÂMETROS'!$B$12,J792))</f>
        <v>1</v>
      </c>
      <c r="L792" s="56">
        <f t="shared" si="38"/>
        <v>0</v>
      </c>
      <c r="M792" s="57" t="str">
        <f>IF(K792&lt;='01_PARÂMETROS'!$B$14,"Preferencial",IF(K792&lt;='01_PARÂMETROS'!$B$15,"Baixo",IF(K792&lt;='01_PARÂMETROS'!$B$16,"Médio",IF(K792&lt;='01_PARÂMETROS'!$B$17,"Alto","Elevado"))))</f>
        <v>Médio</v>
      </c>
      <c r="N792" s="58" t="s">
        <v>486</v>
      </c>
      <c r="O792" s="61"/>
    </row>
    <row r="793" spans="1:15" ht="13.5" customHeight="1" x14ac:dyDescent="0.25">
      <c r="A793" s="24" t="s">
        <v>1931</v>
      </c>
      <c r="B793" s="38" t="s">
        <v>1665</v>
      </c>
      <c r="C793" s="25" t="s">
        <v>1932</v>
      </c>
      <c r="D793" s="39" t="s">
        <v>1730</v>
      </c>
      <c r="E793" s="40" t="s">
        <v>477</v>
      </c>
      <c r="F793" s="54" t="s">
        <v>485</v>
      </c>
      <c r="G793" s="54" t="s">
        <v>485</v>
      </c>
      <c r="H793" s="54" t="s">
        <v>485</v>
      </c>
      <c r="I793" s="43">
        <f>'01_PARÂMETROS'!$B$9</f>
        <v>50</v>
      </c>
      <c r="J793" s="44">
        <f>1</f>
        <v>1</v>
      </c>
      <c r="K793" s="55">
        <f>MAX('01_PARÂMETROS'!$B$11,MIN('01_PARÂMETROS'!$B$12,J793))</f>
        <v>1</v>
      </c>
      <c r="L793" s="56">
        <f t="shared" si="38"/>
        <v>0</v>
      </c>
      <c r="M793" s="57" t="str">
        <f>IF(K793&lt;='01_PARÂMETROS'!$B$14,"Preferencial",IF(K793&lt;='01_PARÂMETROS'!$B$15,"Baixo",IF(K793&lt;='01_PARÂMETROS'!$B$16,"Médio",IF(K793&lt;='01_PARÂMETROS'!$B$17,"Alto","Elevado"))))</f>
        <v>Médio</v>
      </c>
      <c r="N793" s="58" t="s">
        <v>486</v>
      </c>
      <c r="O793" s="54"/>
    </row>
    <row r="794" spans="1:15" ht="13.5" customHeight="1" x14ac:dyDescent="0.25">
      <c r="A794" s="13" t="s">
        <v>1933</v>
      </c>
      <c r="B794" s="49" t="s">
        <v>1665</v>
      </c>
      <c r="C794" s="14" t="s">
        <v>1934</v>
      </c>
      <c r="D794" s="50" t="s">
        <v>1730</v>
      </c>
      <c r="E794" s="40" t="s">
        <v>477</v>
      </c>
      <c r="F794" s="54" t="s">
        <v>485</v>
      </c>
      <c r="G794" s="54" t="s">
        <v>485</v>
      </c>
      <c r="H794" s="54" t="s">
        <v>485</v>
      </c>
      <c r="I794" s="43">
        <f>'01_PARÂMETROS'!$B$9</f>
        <v>50</v>
      </c>
      <c r="J794" s="44">
        <f>1</f>
        <v>1</v>
      </c>
      <c r="K794" s="55">
        <f>MAX('01_PARÂMETROS'!$B$11,MIN('01_PARÂMETROS'!$B$12,J794))</f>
        <v>1</v>
      </c>
      <c r="L794" s="56">
        <f t="shared" si="38"/>
        <v>0</v>
      </c>
      <c r="M794" s="57" t="str">
        <f>IF(K794&lt;='01_PARÂMETROS'!$B$14,"Preferencial",IF(K794&lt;='01_PARÂMETROS'!$B$15,"Baixo",IF(K794&lt;='01_PARÂMETROS'!$B$16,"Médio",IF(K794&lt;='01_PARÂMETROS'!$B$17,"Alto","Elevado"))))</f>
        <v>Médio</v>
      </c>
      <c r="N794" s="58" t="s">
        <v>486</v>
      </c>
      <c r="O794" s="61"/>
    </row>
    <row r="795" spans="1:15" ht="13.5" customHeight="1" x14ac:dyDescent="0.25">
      <c r="A795" s="24" t="s">
        <v>1935</v>
      </c>
      <c r="B795" s="38" t="s">
        <v>1665</v>
      </c>
      <c r="C795" s="25" t="s">
        <v>1936</v>
      </c>
      <c r="D795" s="39" t="s">
        <v>1730</v>
      </c>
      <c r="E795" s="40" t="s">
        <v>477</v>
      </c>
      <c r="F795" s="54" t="s">
        <v>485</v>
      </c>
      <c r="G795" s="54" t="s">
        <v>485</v>
      </c>
      <c r="H795" s="54" t="s">
        <v>485</v>
      </c>
      <c r="I795" s="43">
        <f>'01_PARÂMETROS'!$B$9</f>
        <v>50</v>
      </c>
      <c r="J795" s="44">
        <f>1</f>
        <v>1</v>
      </c>
      <c r="K795" s="55">
        <f>MAX('01_PARÂMETROS'!$B$11,MIN('01_PARÂMETROS'!$B$12,J795))</f>
        <v>1</v>
      </c>
      <c r="L795" s="56">
        <f t="shared" si="38"/>
        <v>0</v>
      </c>
      <c r="M795" s="57" t="str">
        <f>IF(K795&lt;='01_PARÂMETROS'!$B$14,"Preferencial",IF(K795&lt;='01_PARÂMETROS'!$B$15,"Baixo",IF(K795&lt;='01_PARÂMETROS'!$B$16,"Médio",IF(K795&lt;='01_PARÂMETROS'!$B$17,"Alto","Elevado"))))</f>
        <v>Médio</v>
      </c>
      <c r="N795" s="58" t="s">
        <v>486</v>
      </c>
      <c r="O795" s="54"/>
    </row>
    <row r="796" spans="1:15" ht="13.5" customHeight="1" x14ac:dyDescent="0.25">
      <c r="A796" s="13" t="s">
        <v>1937</v>
      </c>
      <c r="B796" s="49" t="s">
        <v>1665</v>
      </c>
      <c r="C796" s="14" t="s">
        <v>1938</v>
      </c>
      <c r="D796" s="50" t="s">
        <v>1730</v>
      </c>
      <c r="E796" s="40" t="s">
        <v>477</v>
      </c>
      <c r="F796" s="54" t="s">
        <v>485</v>
      </c>
      <c r="G796" s="54" t="s">
        <v>485</v>
      </c>
      <c r="H796" s="54" t="s">
        <v>485</v>
      </c>
      <c r="I796" s="43">
        <f>'01_PARÂMETROS'!$B$9</f>
        <v>50</v>
      </c>
      <c r="J796" s="44">
        <f>1</f>
        <v>1</v>
      </c>
      <c r="K796" s="55">
        <f>MAX('01_PARÂMETROS'!$B$11,MIN('01_PARÂMETROS'!$B$12,J796))</f>
        <v>1</v>
      </c>
      <c r="L796" s="56">
        <f t="shared" si="38"/>
        <v>0</v>
      </c>
      <c r="M796" s="57" t="str">
        <f>IF(K796&lt;='01_PARÂMETROS'!$B$14,"Preferencial",IF(K796&lt;='01_PARÂMETROS'!$B$15,"Baixo",IF(K796&lt;='01_PARÂMETROS'!$B$16,"Médio",IF(K796&lt;='01_PARÂMETROS'!$B$17,"Alto","Elevado"))))</f>
        <v>Médio</v>
      </c>
      <c r="N796" s="58" t="s">
        <v>486</v>
      </c>
      <c r="O796" s="61"/>
    </row>
    <row r="797" spans="1:15" ht="13.5" customHeight="1" x14ac:dyDescent="0.25">
      <c r="A797" s="24" t="s">
        <v>1939</v>
      </c>
      <c r="B797" s="38" t="s">
        <v>1665</v>
      </c>
      <c r="C797" s="25" t="s">
        <v>1940</v>
      </c>
      <c r="D797" s="39" t="s">
        <v>1730</v>
      </c>
      <c r="E797" s="40" t="s">
        <v>477</v>
      </c>
      <c r="F797" s="54" t="s">
        <v>485</v>
      </c>
      <c r="G797" s="54" t="s">
        <v>485</v>
      </c>
      <c r="H797" s="54" t="s">
        <v>485</v>
      </c>
      <c r="I797" s="43">
        <f>'01_PARÂMETROS'!$B$9</f>
        <v>50</v>
      </c>
      <c r="J797" s="44">
        <f>1</f>
        <v>1</v>
      </c>
      <c r="K797" s="55">
        <f>MAX('01_PARÂMETROS'!$B$11,MIN('01_PARÂMETROS'!$B$12,J797))</f>
        <v>1</v>
      </c>
      <c r="L797" s="56">
        <f t="shared" si="38"/>
        <v>0</v>
      </c>
      <c r="M797" s="57" t="str">
        <f>IF(K797&lt;='01_PARÂMETROS'!$B$14,"Preferencial",IF(K797&lt;='01_PARÂMETROS'!$B$15,"Baixo",IF(K797&lt;='01_PARÂMETROS'!$B$16,"Médio",IF(K797&lt;='01_PARÂMETROS'!$B$17,"Alto","Elevado"))))</f>
        <v>Médio</v>
      </c>
      <c r="N797" s="58" t="s">
        <v>486</v>
      </c>
      <c r="O797" s="54"/>
    </row>
    <row r="798" spans="1:15" ht="13.5" customHeight="1" x14ac:dyDescent="0.25">
      <c r="A798" s="13" t="s">
        <v>1941</v>
      </c>
      <c r="B798" s="49" t="s">
        <v>1665</v>
      </c>
      <c r="C798" s="14" t="s">
        <v>1942</v>
      </c>
      <c r="D798" s="50" t="s">
        <v>1730</v>
      </c>
      <c r="E798" s="40" t="s">
        <v>477</v>
      </c>
      <c r="F798" s="54" t="s">
        <v>485</v>
      </c>
      <c r="G798" s="54" t="s">
        <v>485</v>
      </c>
      <c r="H798" s="54" t="s">
        <v>485</v>
      </c>
      <c r="I798" s="43">
        <f>'01_PARÂMETROS'!$B$9</f>
        <v>50</v>
      </c>
      <c r="J798" s="44">
        <f>1</f>
        <v>1</v>
      </c>
      <c r="K798" s="55">
        <f>MAX('01_PARÂMETROS'!$B$11,MIN('01_PARÂMETROS'!$B$12,J798))</f>
        <v>1</v>
      </c>
      <c r="L798" s="56">
        <f t="shared" si="38"/>
        <v>0</v>
      </c>
      <c r="M798" s="57" t="str">
        <f>IF(K798&lt;='01_PARÂMETROS'!$B$14,"Preferencial",IF(K798&lt;='01_PARÂMETROS'!$B$15,"Baixo",IF(K798&lt;='01_PARÂMETROS'!$B$16,"Médio",IF(K798&lt;='01_PARÂMETROS'!$B$17,"Alto","Elevado"))))</f>
        <v>Médio</v>
      </c>
      <c r="N798" s="58" t="s">
        <v>486</v>
      </c>
      <c r="O798" s="61"/>
    </row>
    <row r="799" spans="1:15" ht="13.5" customHeight="1" x14ac:dyDescent="0.25">
      <c r="A799" s="24" t="s">
        <v>1943</v>
      </c>
      <c r="B799" s="38" t="s">
        <v>1665</v>
      </c>
      <c r="C799" s="25" t="s">
        <v>1944</v>
      </c>
      <c r="D799" s="39" t="s">
        <v>1730</v>
      </c>
      <c r="E799" s="40" t="s">
        <v>477</v>
      </c>
      <c r="F799" s="54" t="s">
        <v>485</v>
      </c>
      <c r="G799" s="54" t="s">
        <v>485</v>
      </c>
      <c r="H799" s="54" t="s">
        <v>485</v>
      </c>
      <c r="I799" s="43">
        <f>'01_PARÂMETROS'!$B$9</f>
        <v>50</v>
      </c>
      <c r="J799" s="44">
        <f>1</f>
        <v>1</v>
      </c>
      <c r="K799" s="55">
        <f>MAX('01_PARÂMETROS'!$B$11,MIN('01_PARÂMETROS'!$B$12,J799))</f>
        <v>1</v>
      </c>
      <c r="L799" s="56">
        <f t="shared" si="38"/>
        <v>0</v>
      </c>
      <c r="M799" s="57" t="str">
        <f>IF(K799&lt;='01_PARÂMETROS'!$B$14,"Preferencial",IF(K799&lt;='01_PARÂMETROS'!$B$15,"Baixo",IF(K799&lt;='01_PARÂMETROS'!$B$16,"Médio",IF(K799&lt;='01_PARÂMETROS'!$B$17,"Alto","Elevado"))))</f>
        <v>Médio</v>
      </c>
      <c r="N799" s="58" t="s">
        <v>486</v>
      </c>
      <c r="O799" s="54"/>
    </row>
    <row r="800" spans="1:15" ht="13.5" customHeight="1" x14ac:dyDescent="0.25">
      <c r="A800" s="13" t="s">
        <v>1945</v>
      </c>
      <c r="B800" s="49" t="s">
        <v>1665</v>
      </c>
      <c r="C800" s="14" t="s">
        <v>1946</v>
      </c>
      <c r="D800" s="50" t="s">
        <v>1730</v>
      </c>
      <c r="E800" s="40" t="s">
        <v>477</v>
      </c>
      <c r="F800" s="54" t="s">
        <v>485</v>
      </c>
      <c r="G800" s="54" t="s">
        <v>485</v>
      </c>
      <c r="H800" s="54" t="s">
        <v>485</v>
      </c>
      <c r="I800" s="43">
        <f>'01_PARÂMETROS'!$B$9</f>
        <v>50</v>
      </c>
      <c r="J800" s="44">
        <f>1</f>
        <v>1</v>
      </c>
      <c r="K800" s="55">
        <f>MAX('01_PARÂMETROS'!$B$11,MIN('01_PARÂMETROS'!$B$12,J800))</f>
        <v>1</v>
      </c>
      <c r="L800" s="56">
        <f t="shared" si="38"/>
        <v>0</v>
      </c>
      <c r="M800" s="57" t="str">
        <f>IF(K800&lt;='01_PARÂMETROS'!$B$14,"Preferencial",IF(K800&lt;='01_PARÂMETROS'!$B$15,"Baixo",IF(K800&lt;='01_PARÂMETROS'!$B$16,"Médio",IF(K800&lt;='01_PARÂMETROS'!$B$17,"Alto","Elevado"))))</f>
        <v>Médio</v>
      </c>
      <c r="N800" s="58" t="s">
        <v>486</v>
      </c>
      <c r="O800" s="61"/>
    </row>
    <row r="801" spans="1:15" ht="13.5" customHeight="1" x14ac:dyDescent="0.25">
      <c r="A801" s="24" t="s">
        <v>1947</v>
      </c>
      <c r="B801" s="38" t="s">
        <v>1665</v>
      </c>
      <c r="C801" s="25" t="s">
        <v>1948</v>
      </c>
      <c r="D801" s="39" t="s">
        <v>1730</v>
      </c>
      <c r="E801" s="40" t="s">
        <v>477</v>
      </c>
      <c r="F801" s="54" t="s">
        <v>485</v>
      </c>
      <c r="G801" s="54" t="s">
        <v>485</v>
      </c>
      <c r="H801" s="54" t="s">
        <v>485</v>
      </c>
      <c r="I801" s="43">
        <f>'01_PARÂMETROS'!$B$9</f>
        <v>50</v>
      </c>
      <c r="J801" s="44">
        <f>1</f>
        <v>1</v>
      </c>
      <c r="K801" s="55">
        <f>MAX('01_PARÂMETROS'!$B$11,MIN('01_PARÂMETROS'!$B$12,J801))</f>
        <v>1</v>
      </c>
      <c r="L801" s="56">
        <f t="shared" si="38"/>
        <v>0</v>
      </c>
      <c r="M801" s="57" t="str">
        <f>IF(K801&lt;='01_PARÂMETROS'!$B$14,"Preferencial",IF(K801&lt;='01_PARÂMETROS'!$B$15,"Baixo",IF(K801&lt;='01_PARÂMETROS'!$B$16,"Médio",IF(K801&lt;='01_PARÂMETROS'!$B$17,"Alto","Elevado"))))</f>
        <v>Médio</v>
      </c>
      <c r="N801" s="58" t="s">
        <v>486</v>
      </c>
      <c r="O801" s="54"/>
    </row>
    <row r="802" spans="1:15" ht="13.5" customHeight="1" x14ac:dyDescent="0.25">
      <c r="A802" s="13" t="s">
        <v>1949</v>
      </c>
      <c r="B802" s="49" t="s">
        <v>1665</v>
      </c>
      <c r="C802" s="14" t="s">
        <v>1950</v>
      </c>
      <c r="D802" s="50" t="s">
        <v>1730</v>
      </c>
      <c r="E802" s="40" t="s">
        <v>477</v>
      </c>
      <c r="F802" s="54" t="s">
        <v>485</v>
      </c>
      <c r="G802" s="54" t="s">
        <v>485</v>
      </c>
      <c r="H802" s="54" t="s">
        <v>485</v>
      </c>
      <c r="I802" s="43">
        <f>'01_PARÂMETROS'!$B$9</f>
        <v>50</v>
      </c>
      <c r="J802" s="44">
        <f>1</f>
        <v>1</v>
      </c>
      <c r="K802" s="55">
        <f>MAX('01_PARÂMETROS'!$B$11,MIN('01_PARÂMETROS'!$B$12,J802))</f>
        <v>1</v>
      </c>
      <c r="L802" s="56">
        <f t="shared" si="38"/>
        <v>0</v>
      </c>
      <c r="M802" s="57" t="str">
        <f>IF(K802&lt;='01_PARÂMETROS'!$B$14,"Preferencial",IF(K802&lt;='01_PARÂMETROS'!$B$15,"Baixo",IF(K802&lt;='01_PARÂMETROS'!$B$16,"Médio",IF(K802&lt;='01_PARÂMETROS'!$B$17,"Alto","Elevado"))))</f>
        <v>Médio</v>
      </c>
      <c r="N802" s="58" t="s">
        <v>486</v>
      </c>
      <c r="O802" s="61"/>
    </row>
    <row r="803" spans="1:15" ht="13.5" customHeight="1" x14ac:dyDescent="0.25">
      <c r="A803" s="24" t="s">
        <v>1951</v>
      </c>
      <c r="B803" s="38" t="s">
        <v>1665</v>
      </c>
      <c r="C803" s="25" t="s">
        <v>1952</v>
      </c>
      <c r="D803" s="39" t="s">
        <v>1730</v>
      </c>
      <c r="E803" s="40" t="s">
        <v>477</v>
      </c>
      <c r="F803" s="54" t="s">
        <v>485</v>
      </c>
      <c r="G803" s="54" t="s">
        <v>485</v>
      </c>
      <c r="H803" s="54" t="s">
        <v>485</v>
      </c>
      <c r="I803" s="43">
        <f>'01_PARÂMETROS'!$B$9</f>
        <v>50</v>
      </c>
      <c r="J803" s="44">
        <f>1</f>
        <v>1</v>
      </c>
      <c r="K803" s="55">
        <f>MAX('01_PARÂMETROS'!$B$11,MIN('01_PARÂMETROS'!$B$12,J803))</f>
        <v>1</v>
      </c>
      <c r="L803" s="56">
        <f t="shared" si="38"/>
        <v>0</v>
      </c>
      <c r="M803" s="57" t="str">
        <f>IF(K803&lt;='01_PARÂMETROS'!$B$14,"Preferencial",IF(K803&lt;='01_PARÂMETROS'!$B$15,"Baixo",IF(K803&lt;='01_PARÂMETROS'!$B$16,"Médio",IF(K803&lt;='01_PARÂMETROS'!$B$17,"Alto","Elevado"))))</f>
        <v>Médio</v>
      </c>
      <c r="N803" s="58" t="s">
        <v>486</v>
      </c>
      <c r="O803" s="54"/>
    </row>
    <row r="804" spans="1:15" ht="13.5" customHeight="1" x14ac:dyDescent="0.25">
      <c r="A804" s="13" t="s">
        <v>1953</v>
      </c>
      <c r="B804" s="49" t="s">
        <v>1665</v>
      </c>
      <c r="C804" s="14" t="s">
        <v>1954</v>
      </c>
      <c r="D804" s="50" t="s">
        <v>1730</v>
      </c>
      <c r="E804" s="40" t="s">
        <v>477</v>
      </c>
      <c r="F804" s="54" t="s">
        <v>485</v>
      </c>
      <c r="G804" s="54" t="s">
        <v>485</v>
      </c>
      <c r="H804" s="54" t="s">
        <v>485</v>
      </c>
      <c r="I804" s="43">
        <f>'01_PARÂMETROS'!$B$9</f>
        <v>50</v>
      </c>
      <c r="J804" s="44">
        <f>1</f>
        <v>1</v>
      </c>
      <c r="K804" s="55">
        <f>MAX('01_PARÂMETROS'!$B$11,MIN('01_PARÂMETROS'!$B$12,J804))</f>
        <v>1</v>
      </c>
      <c r="L804" s="56">
        <f t="shared" si="38"/>
        <v>0</v>
      </c>
      <c r="M804" s="57" t="str">
        <f>IF(K804&lt;='01_PARÂMETROS'!$B$14,"Preferencial",IF(K804&lt;='01_PARÂMETROS'!$B$15,"Baixo",IF(K804&lt;='01_PARÂMETROS'!$B$16,"Médio",IF(K804&lt;='01_PARÂMETROS'!$B$17,"Alto","Elevado"))))</f>
        <v>Médio</v>
      </c>
      <c r="N804" s="58" t="s">
        <v>486</v>
      </c>
      <c r="O804" s="61"/>
    </row>
    <row r="805" spans="1:15" ht="13.5" customHeight="1" x14ac:dyDescent="0.25">
      <c r="A805" s="24" t="s">
        <v>1955</v>
      </c>
      <c r="B805" s="38" t="s">
        <v>1665</v>
      </c>
      <c r="C805" s="25" t="s">
        <v>1956</v>
      </c>
      <c r="D805" s="39" t="s">
        <v>1730</v>
      </c>
      <c r="E805" s="40" t="s">
        <v>477</v>
      </c>
      <c r="F805" s="54" t="s">
        <v>485</v>
      </c>
      <c r="G805" s="54" t="s">
        <v>485</v>
      </c>
      <c r="H805" s="54" t="s">
        <v>485</v>
      </c>
      <c r="I805" s="43">
        <f>'01_PARÂMETROS'!$B$9</f>
        <v>50</v>
      </c>
      <c r="J805" s="44">
        <f>1</f>
        <v>1</v>
      </c>
      <c r="K805" s="55">
        <f>MAX('01_PARÂMETROS'!$B$11,MIN('01_PARÂMETROS'!$B$12,J805))</f>
        <v>1</v>
      </c>
      <c r="L805" s="56">
        <f t="shared" si="38"/>
        <v>0</v>
      </c>
      <c r="M805" s="57" t="str">
        <f>IF(K805&lt;='01_PARÂMETROS'!$B$14,"Preferencial",IF(K805&lt;='01_PARÂMETROS'!$B$15,"Baixo",IF(K805&lt;='01_PARÂMETROS'!$B$16,"Médio",IF(K805&lt;='01_PARÂMETROS'!$B$17,"Alto","Elevado"))))</f>
        <v>Médio</v>
      </c>
      <c r="N805" s="58" t="s">
        <v>486</v>
      </c>
      <c r="O805" s="54"/>
    </row>
    <row r="806" spans="1:15" ht="13.5" customHeight="1" x14ac:dyDescent="0.25">
      <c r="A806" s="13" t="s">
        <v>1957</v>
      </c>
      <c r="B806" s="49" t="s">
        <v>1665</v>
      </c>
      <c r="C806" s="14" t="s">
        <v>1958</v>
      </c>
      <c r="D806" s="50" t="s">
        <v>1730</v>
      </c>
      <c r="E806" s="40" t="s">
        <v>477</v>
      </c>
      <c r="F806" s="54" t="s">
        <v>485</v>
      </c>
      <c r="G806" s="54" t="s">
        <v>485</v>
      </c>
      <c r="H806" s="54" t="s">
        <v>485</v>
      </c>
      <c r="I806" s="43">
        <f>'01_PARÂMETROS'!$B$9</f>
        <v>50</v>
      </c>
      <c r="J806" s="44">
        <f>1</f>
        <v>1</v>
      </c>
      <c r="K806" s="55">
        <f>MAX('01_PARÂMETROS'!$B$11,MIN('01_PARÂMETROS'!$B$12,J806))</f>
        <v>1</v>
      </c>
      <c r="L806" s="56">
        <f t="shared" si="38"/>
        <v>0</v>
      </c>
      <c r="M806" s="57" t="str">
        <f>IF(K806&lt;='01_PARÂMETROS'!$B$14,"Preferencial",IF(K806&lt;='01_PARÂMETROS'!$B$15,"Baixo",IF(K806&lt;='01_PARÂMETROS'!$B$16,"Médio",IF(K806&lt;='01_PARÂMETROS'!$B$17,"Alto","Elevado"))))</f>
        <v>Médio</v>
      </c>
      <c r="N806" s="58" t="s">
        <v>486</v>
      </c>
      <c r="O806" s="61"/>
    </row>
    <row r="807" spans="1:15" ht="13.5" customHeight="1" x14ac:dyDescent="0.25">
      <c r="A807" s="24" t="s">
        <v>1959</v>
      </c>
      <c r="B807" s="38" t="s">
        <v>1665</v>
      </c>
      <c r="C807" s="25" t="s">
        <v>1960</v>
      </c>
      <c r="D807" s="39" t="s">
        <v>1730</v>
      </c>
      <c r="E807" s="40" t="s">
        <v>477</v>
      </c>
      <c r="F807" s="54" t="s">
        <v>485</v>
      </c>
      <c r="G807" s="54" t="s">
        <v>485</v>
      </c>
      <c r="H807" s="54" t="s">
        <v>485</v>
      </c>
      <c r="I807" s="43">
        <f>'01_PARÂMETROS'!$B$9</f>
        <v>50</v>
      </c>
      <c r="J807" s="44">
        <f>1</f>
        <v>1</v>
      </c>
      <c r="K807" s="55">
        <f>MAX('01_PARÂMETROS'!$B$11,MIN('01_PARÂMETROS'!$B$12,J807))</f>
        <v>1</v>
      </c>
      <c r="L807" s="56">
        <f t="shared" si="38"/>
        <v>0</v>
      </c>
      <c r="M807" s="57" t="str">
        <f>IF(K807&lt;='01_PARÂMETROS'!$B$14,"Preferencial",IF(K807&lt;='01_PARÂMETROS'!$B$15,"Baixo",IF(K807&lt;='01_PARÂMETROS'!$B$16,"Médio",IF(K807&lt;='01_PARÂMETROS'!$B$17,"Alto","Elevado"))))</f>
        <v>Médio</v>
      </c>
      <c r="N807" s="58" t="s">
        <v>486</v>
      </c>
      <c r="O807" s="54"/>
    </row>
    <row r="808" spans="1:15" ht="13.5" customHeight="1" x14ac:dyDescent="0.25">
      <c r="A808" s="13" t="s">
        <v>1961</v>
      </c>
      <c r="B808" s="49" t="s">
        <v>1665</v>
      </c>
      <c r="C808" s="14" t="s">
        <v>1962</v>
      </c>
      <c r="D808" s="50" t="s">
        <v>1730</v>
      </c>
      <c r="E808" s="65" t="s">
        <v>841</v>
      </c>
      <c r="F808" s="54" t="s">
        <v>485</v>
      </c>
      <c r="G808" s="54" t="s">
        <v>485</v>
      </c>
      <c r="H808" s="54" t="s">
        <v>485</v>
      </c>
      <c r="I808" s="43">
        <f>'01_PARÂMETROS'!$B$9</f>
        <v>50</v>
      </c>
      <c r="J808" s="44">
        <f t="shared" ref="J808:J826" si="39">0.9</f>
        <v>0.9</v>
      </c>
      <c r="K808" s="62">
        <f>MAX('01_PARÂMETROS'!$B$11,MIN('01_PARÂMETROS'!$B$12,J808))</f>
        <v>0.9</v>
      </c>
      <c r="L808" s="63">
        <f t="shared" si="38"/>
        <v>-9.9999999999999978E-2</v>
      </c>
      <c r="M808" s="17" t="str">
        <f>IF(K808&lt;='01_PARÂMETROS'!$B$14,"Preferencial",IF(K808&lt;='01_PARÂMETROS'!$B$15,"Baixo",IF(K808&lt;='01_PARÂMETROS'!$B$16,"Médio",IF(K808&lt;='01_PARÂMETROS'!$B$17,"Alto","Elevado"))))</f>
        <v>Baixo</v>
      </c>
      <c r="N808" s="58" t="s">
        <v>486</v>
      </c>
      <c r="O808" s="61"/>
    </row>
    <row r="809" spans="1:15" ht="13.5" customHeight="1" x14ac:dyDescent="0.25">
      <c r="A809" s="24" t="s">
        <v>1963</v>
      </c>
      <c r="B809" s="38" t="s">
        <v>1665</v>
      </c>
      <c r="C809" s="25" t="s">
        <v>1964</v>
      </c>
      <c r="D809" s="39" t="s">
        <v>1730</v>
      </c>
      <c r="E809" s="65" t="s">
        <v>841</v>
      </c>
      <c r="F809" s="54" t="s">
        <v>485</v>
      </c>
      <c r="G809" s="54" t="s">
        <v>485</v>
      </c>
      <c r="H809" s="54" t="s">
        <v>485</v>
      </c>
      <c r="I809" s="43">
        <f>'01_PARÂMETROS'!$B$9</f>
        <v>50</v>
      </c>
      <c r="J809" s="44">
        <f t="shared" si="39"/>
        <v>0.9</v>
      </c>
      <c r="K809" s="62">
        <f>MAX('01_PARÂMETROS'!$B$11,MIN('01_PARÂMETROS'!$B$12,J809))</f>
        <v>0.9</v>
      </c>
      <c r="L809" s="63">
        <f t="shared" si="38"/>
        <v>-9.9999999999999978E-2</v>
      </c>
      <c r="M809" s="17" t="str">
        <f>IF(K809&lt;='01_PARÂMETROS'!$B$14,"Preferencial",IF(K809&lt;='01_PARÂMETROS'!$B$15,"Baixo",IF(K809&lt;='01_PARÂMETROS'!$B$16,"Médio",IF(K809&lt;='01_PARÂMETROS'!$B$17,"Alto","Elevado"))))</f>
        <v>Baixo</v>
      </c>
      <c r="N809" s="58" t="s">
        <v>486</v>
      </c>
      <c r="O809" s="54"/>
    </row>
    <row r="810" spans="1:15" ht="13.5" customHeight="1" x14ac:dyDescent="0.25">
      <c r="A810" s="13" t="s">
        <v>1965</v>
      </c>
      <c r="B810" s="49" t="s">
        <v>1665</v>
      </c>
      <c r="C810" s="14" t="s">
        <v>1966</v>
      </c>
      <c r="D810" s="50" t="s">
        <v>1730</v>
      </c>
      <c r="E810" s="65" t="s">
        <v>841</v>
      </c>
      <c r="F810" s="54" t="s">
        <v>485</v>
      </c>
      <c r="G810" s="54" t="s">
        <v>485</v>
      </c>
      <c r="H810" s="54" t="s">
        <v>485</v>
      </c>
      <c r="I810" s="43">
        <f>'01_PARÂMETROS'!$B$9</f>
        <v>50</v>
      </c>
      <c r="J810" s="44">
        <f t="shared" si="39"/>
        <v>0.9</v>
      </c>
      <c r="K810" s="62">
        <f>MAX('01_PARÂMETROS'!$B$11,MIN('01_PARÂMETROS'!$B$12,J810))</f>
        <v>0.9</v>
      </c>
      <c r="L810" s="63">
        <f t="shared" si="38"/>
        <v>-9.9999999999999978E-2</v>
      </c>
      <c r="M810" s="17" t="str">
        <f>IF(K810&lt;='01_PARÂMETROS'!$B$14,"Preferencial",IF(K810&lt;='01_PARÂMETROS'!$B$15,"Baixo",IF(K810&lt;='01_PARÂMETROS'!$B$16,"Médio",IF(K810&lt;='01_PARÂMETROS'!$B$17,"Alto","Elevado"))))</f>
        <v>Baixo</v>
      </c>
      <c r="N810" s="58" t="s">
        <v>486</v>
      </c>
      <c r="O810" s="61"/>
    </row>
    <row r="811" spans="1:15" ht="13.5" customHeight="1" x14ac:dyDescent="0.25">
      <c r="A811" s="24" t="s">
        <v>1967</v>
      </c>
      <c r="B811" s="38" t="s">
        <v>1665</v>
      </c>
      <c r="C811" s="25" t="s">
        <v>1968</v>
      </c>
      <c r="D811" s="39" t="s">
        <v>1969</v>
      </c>
      <c r="E811" s="65" t="s">
        <v>841</v>
      </c>
      <c r="F811" s="54" t="s">
        <v>485</v>
      </c>
      <c r="G811" s="54" t="s">
        <v>485</v>
      </c>
      <c r="H811" s="54" t="s">
        <v>485</v>
      </c>
      <c r="I811" s="43">
        <f>'01_PARÂMETROS'!$B$9</f>
        <v>50</v>
      </c>
      <c r="J811" s="44">
        <f t="shared" si="39"/>
        <v>0.9</v>
      </c>
      <c r="K811" s="62">
        <f>MAX('01_PARÂMETROS'!$B$11,MIN('01_PARÂMETROS'!$B$12,J811))</f>
        <v>0.9</v>
      </c>
      <c r="L811" s="63">
        <f t="shared" si="38"/>
        <v>-9.9999999999999978E-2</v>
      </c>
      <c r="M811" s="17" t="str">
        <f>IF(K811&lt;='01_PARÂMETROS'!$B$14,"Preferencial",IF(K811&lt;='01_PARÂMETROS'!$B$15,"Baixo",IF(K811&lt;='01_PARÂMETROS'!$B$16,"Médio",IF(K811&lt;='01_PARÂMETROS'!$B$17,"Alto","Elevado"))))</f>
        <v>Baixo</v>
      </c>
      <c r="N811" s="58" t="s">
        <v>486</v>
      </c>
      <c r="O811" s="54"/>
    </row>
    <row r="812" spans="1:15" ht="13.5" customHeight="1" x14ac:dyDescent="0.25">
      <c r="A812" s="13" t="s">
        <v>1970</v>
      </c>
      <c r="B812" s="49" t="s">
        <v>1665</v>
      </c>
      <c r="C812" s="14" t="s">
        <v>1971</v>
      </c>
      <c r="D812" s="50" t="s">
        <v>1969</v>
      </c>
      <c r="E812" s="65" t="s">
        <v>841</v>
      </c>
      <c r="F812" s="54" t="s">
        <v>485</v>
      </c>
      <c r="G812" s="54" t="s">
        <v>485</v>
      </c>
      <c r="H812" s="54" t="s">
        <v>485</v>
      </c>
      <c r="I812" s="43">
        <f>'01_PARÂMETROS'!$B$9</f>
        <v>50</v>
      </c>
      <c r="J812" s="44">
        <f t="shared" si="39"/>
        <v>0.9</v>
      </c>
      <c r="K812" s="62">
        <f>MAX('01_PARÂMETROS'!$B$11,MIN('01_PARÂMETROS'!$B$12,J812))</f>
        <v>0.9</v>
      </c>
      <c r="L812" s="63">
        <f t="shared" si="38"/>
        <v>-9.9999999999999978E-2</v>
      </c>
      <c r="M812" s="17" t="str">
        <f>IF(K812&lt;='01_PARÂMETROS'!$B$14,"Preferencial",IF(K812&lt;='01_PARÂMETROS'!$B$15,"Baixo",IF(K812&lt;='01_PARÂMETROS'!$B$16,"Médio",IF(K812&lt;='01_PARÂMETROS'!$B$17,"Alto","Elevado"))))</f>
        <v>Baixo</v>
      </c>
      <c r="N812" s="58" t="s">
        <v>486</v>
      </c>
      <c r="O812" s="61"/>
    </row>
    <row r="813" spans="1:15" ht="13.5" customHeight="1" x14ac:dyDescent="0.25">
      <c r="A813" s="24" t="s">
        <v>1972</v>
      </c>
      <c r="B813" s="38" t="s">
        <v>1665</v>
      </c>
      <c r="C813" s="25" t="s">
        <v>1973</v>
      </c>
      <c r="D813" s="39" t="s">
        <v>1969</v>
      </c>
      <c r="E813" s="65" t="s">
        <v>841</v>
      </c>
      <c r="F813" s="54" t="s">
        <v>485</v>
      </c>
      <c r="G813" s="54" t="s">
        <v>485</v>
      </c>
      <c r="H813" s="54" t="s">
        <v>485</v>
      </c>
      <c r="I813" s="43">
        <f>'01_PARÂMETROS'!$B$9</f>
        <v>50</v>
      </c>
      <c r="J813" s="44">
        <f t="shared" si="39"/>
        <v>0.9</v>
      </c>
      <c r="K813" s="62">
        <f>MAX('01_PARÂMETROS'!$B$11,MIN('01_PARÂMETROS'!$B$12,J813))</f>
        <v>0.9</v>
      </c>
      <c r="L813" s="63">
        <f t="shared" si="38"/>
        <v>-9.9999999999999978E-2</v>
      </c>
      <c r="M813" s="17" t="str">
        <f>IF(K813&lt;='01_PARÂMETROS'!$B$14,"Preferencial",IF(K813&lt;='01_PARÂMETROS'!$B$15,"Baixo",IF(K813&lt;='01_PARÂMETROS'!$B$16,"Médio",IF(K813&lt;='01_PARÂMETROS'!$B$17,"Alto","Elevado"))))</f>
        <v>Baixo</v>
      </c>
      <c r="N813" s="58" t="s">
        <v>486</v>
      </c>
      <c r="O813" s="54"/>
    </row>
    <row r="814" spans="1:15" ht="13.5" customHeight="1" x14ac:dyDescent="0.25">
      <c r="A814" s="13" t="s">
        <v>1974</v>
      </c>
      <c r="B814" s="49" t="s">
        <v>1665</v>
      </c>
      <c r="C814" s="14" t="s">
        <v>1975</v>
      </c>
      <c r="D814" s="50" t="s">
        <v>1969</v>
      </c>
      <c r="E814" s="65" t="s">
        <v>841</v>
      </c>
      <c r="F814" s="54" t="s">
        <v>485</v>
      </c>
      <c r="G814" s="54" t="s">
        <v>485</v>
      </c>
      <c r="H814" s="54" t="s">
        <v>485</v>
      </c>
      <c r="I814" s="43">
        <f>'01_PARÂMETROS'!$B$9</f>
        <v>50</v>
      </c>
      <c r="J814" s="44">
        <f t="shared" si="39"/>
        <v>0.9</v>
      </c>
      <c r="K814" s="62">
        <f>MAX('01_PARÂMETROS'!$B$11,MIN('01_PARÂMETROS'!$B$12,J814))</f>
        <v>0.9</v>
      </c>
      <c r="L814" s="63">
        <f t="shared" si="38"/>
        <v>-9.9999999999999978E-2</v>
      </c>
      <c r="M814" s="17" t="str">
        <f>IF(K814&lt;='01_PARÂMETROS'!$B$14,"Preferencial",IF(K814&lt;='01_PARÂMETROS'!$B$15,"Baixo",IF(K814&lt;='01_PARÂMETROS'!$B$16,"Médio",IF(K814&lt;='01_PARÂMETROS'!$B$17,"Alto","Elevado"))))</f>
        <v>Baixo</v>
      </c>
      <c r="N814" s="58" t="s">
        <v>486</v>
      </c>
      <c r="O814" s="61"/>
    </row>
    <row r="815" spans="1:15" ht="13.5" customHeight="1" x14ac:dyDescent="0.25">
      <c r="A815" s="24" t="s">
        <v>1976</v>
      </c>
      <c r="B815" s="38" t="s">
        <v>1665</v>
      </c>
      <c r="C815" s="25" t="s">
        <v>1977</v>
      </c>
      <c r="D815" s="39" t="s">
        <v>1969</v>
      </c>
      <c r="E815" s="65" t="s">
        <v>841</v>
      </c>
      <c r="F815" s="54" t="s">
        <v>485</v>
      </c>
      <c r="G815" s="54" t="s">
        <v>485</v>
      </c>
      <c r="H815" s="54" t="s">
        <v>485</v>
      </c>
      <c r="I815" s="43">
        <f>'01_PARÂMETROS'!$B$9</f>
        <v>50</v>
      </c>
      <c r="J815" s="44">
        <f t="shared" si="39"/>
        <v>0.9</v>
      </c>
      <c r="K815" s="62">
        <f>MAX('01_PARÂMETROS'!$B$11,MIN('01_PARÂMETROS'!$B$12,J815))</f>
        <v>0.9</v>
      </c>
      <c r="L815" s="63">
        <f t="shared" si="38"/>
        <v>-9.9999999999999978E-2</v>
      </c>
      <c r="M815" s="17" t="str">
        <f>IF(K815&lt;='01_PARÂMETROS'!$B$14,"Preferencial",IF(K815&lt;='01_PARÂMETROS'!$B$15,"Baixo",IF(K815&lt;='01_PARÂMETROS'!$B$16,"Médio",IF(K815&lt;='01_PARÂMETROS'!$B$17,"Alto","Elevado"))))</f>
        <v>Baixo</v>
      </c>
      <c r="N815" s="58" t="s">
        <v>486</v>
      </c>
      <c r="O815" s="54"/>
    </row>
    <row r="816" spans="1:15" ht="13.5" customHeight="1" x14ac:dyDescent="0.25">
      <c r="A816" s="13" t="s">
        <v>1978</v>
      </c>
      <c r="B816" s="49" t="s">
        <v>1665</v>
      </c>
      <c r="C816" s="14" t="s">
        <v>1979</v>
      </c>
      <c r="D816" s="50" t="s">
        <v>1969</v>
      </c>
      <c r="E816" s="65" t="s">
        <v>841</v>
      </c>
      <c r="F816" s="54" t="s">
        <v>485</v>
      </c>
      <c r="G816" s="54" t="s">
        <v>485</v>
      </c>
      <c r="H816" s="54" t="s">
        <v>485</v>
      </c>
      <c r="I816" s="43">
        <f>'01_PARÂMETROS'!$B$9</f>
        <v>50</v>
      </c>
      <c r="J816" s="44">
        <f t="shared" si="39"/>
        <v>0.9</v>
      </c>
      <c r="K816" s="62">
        <f>MAX('01_PARÂMETROS'!$B$11,MIN('01_PARÂMETROS'!$B$12,J816))</f>
        <v>0.9</v>
      </c>
      <c r="L816" s="63">
        <f t="shared" si="38"/>
        <v>-9.9999999999999978E-2</v>
      </c>
      <c r="M816" s="17" t="str">
        <f>IF(K816&lt;='01_PARÂMETROS'!$B$14,"Preferencial",IF(K816&lt;='01_PARÂMETROS'!$B$15,"Baixo",IF(K816&lt;='01_PARÂMETROS'!$B$16,"Médio",IF(K816&lt;='01_PARÂMETROS'!$B$17,"Alto","Elevado"))))</f>
        <v>Baixo</v>
      </c>
      <c r="N816" s="58" t="s">
        <v>486</v>
      </c>
      <c r="O816" s="61"/>
    </row>
    <row r="817" spans="1:15" ht="13.5" customHeight="1" x14ac:dyDescent="0.25">
      <c r="A817" s="24" t="s">
        <v>1980</v>
      </c>
      <c r="B817" s="38" t="s">
        <v>1665</v>
      </c>
      <c r="C817" s="25" t="s">
        <v>1981</v>
      </c>
      <c r="D817" s="39" t="s">
        <v>1969</v>
      </c>
      <c r="E817" s="65" t="s">
        <v>841</v>
      </c>
      <c r="F817" s="54" t="s">
        <v>485</v>
      </c>
      <c r="G817" s="54" t="s">
        <v>485</v>
      </c>
      <c r="H817" s="54" t="s">
        <v>485</v>
      </c>
      <c r="I817" s="43">
        <f>'01_PARÂMETROS'!$B$9</f>
        <v>50</v>
      </c>
      <c r="J817" s="44">
        <f t="shared" si="39"/>
        <v>0.9</v>
      </c>
      <c r="K817" s="62">
        <f>MAX('01_PARÂMETROS'!$B$11,MIN('01_PARÂMETROS'!$B$12,J817))</f>
        <v>0.9</v>
      </c>
      <c r="L817" s="63">
        <f t="shared" si="38"/>
        <v>-9.9999999999999978E-2</v>
      </c>
      <c r="M817" s="17" t="str">
        <f>IF(K817&lt;='01_PARÂMETROS'!$B$14,"Preferencial",IF(K817&lt;='01_PARÂMETROS'!$B$15,"Baixo",IF(K817&lt;='01_PARÂMETROS'!$B$16,"Médio",IF(K817&lt;='01_PARÂMETROS'!$B$17,"Alto","Elevado"))))</f>
        <v>Baixo</v>
      </c>
      <c r="N817" s="58" t="s">
        <v>486</v>
      </c>
      <c r="O817" s="54"/>
    </row>
    <row r="818" spans="1:15" ht="13.5" customHeight="1" x14ac:dyDescent="0.25">
      <c r="A818" s="13" t="s">
        <v>1982</v>
      </c>
      <c r="B818" s="49" t="s">
        <v>1665</v>
      </c>
      <c r="C818" s="14" t="s">
        <v>1983</v>
      </c>
      <c r="D818" s="50" t="s">
        <v>1969</v>
      </c>
      <c r="E818" s="65" t="s">
        <v>841</v>
      </c>
      <c r="F818" s="54" t="s">
        <v>485</v>
      </c>
      <c r="G818" s="54" t="s">
        <v>485</v>
      </c>
      <c r="H818" s="54" t="s">
        <v>485</v>
      </c>
      <c r="I818" s="43">
        <f>'01_PARÂMETROS'!$B$9</f>
        <v>50</v>
      </c>
      <c r="J818" s="44">
        <f t="shared" si="39"/>
        <v>0.9</v>
      </c>
      <c r="K818" s="62">
        <f>MAX('01_PARÂMETROS'!$B$11,MIN('01_PARÂMETROS'!$B$12,J818))</f>
        <v>0.9</v>
      </c>
      <c r="L818" s="63">
        <f t="shared" si="38"/>
        <v>-9.9999999999999978E-2</v>
      </c>
      <c r="M818" s="17" t="str">
        <f>IF(K818&lt;='01_PARÂMETROS'!$B$14,"Preferencial",IF(K818&lt;='01_PARÂMETROS'!$B$15,"Baixo",IF(K818&lt;='01_PARÂMETROS'!$B$16,"Médio",IF(K818&lt;='01_PARÂMETROS'!$B$17,"Alto","Elevado"))))</f>
        <v>Baixo</v>
      </c>
      <c r="N818" s="58" t="s">
        <v>486</v>
      </c>
      <c r="O818" s="61"/>
    </row>
    <row r="819" spans="1:15" ht="13.5" customHeight="1" x14ac:dyDescent="0.25">
      <c r="A819" s="24" t="s">
        <v>1984</v>
      </c>
      <c r="B819" s="38" t="s">
        <v>1665</v>
      </c>
      <c r="C819" s="25" t="s">
        <v>1985</v>
      </c>
      <c r="D819" s="39" t="s">
        <v>1969</v>
      </c>
      <c r="E819" s="65" t="s">
        <v>841</v>
      </c>
      <c r="F819" s="54" t="s">
        <v>485</v>
      </c>
      <c r="G819" s="54" t="s">
        <v>485</v>
      </c>
      <c r="H819" s="54" t="s">
        <v>485</v>
      </c>
      <c r="I819" s="43">
        <f>'01_PARÂMETROS'!$B$9</f>
        <v>50</v>
      </c>
      <c r="J819" s="44">
        <f t="shared" si="39"/>
        <v>0.9</v>
      </c>
      <c r="K819" s="62">
        <f>MAX('01_PARÂMETROS'!$B$11,MIN('01_PARÂMETROS'!$B$12,J819))</f>
        <v>0.9</v>
      </c>
      <c r="L819" s="63">
        <f t="shared" si="38"/>
        <v>-9.9999999999999978E-2</v>
      </c>
      <c r="M819" s="17" t="str">
        <f>IF(K819&lt;='01_PARÂMETROS'!$B$14,"Preferencial",IF(K819&lt;='01_PARÂMETROS'!$B$15,"Baixo",IF(K819&lt;='01_PARÂMETROS'!$B$16,"Médio",IF(K819&lt;='01_PARÂMETROS'!$B$17,"Alto","Elevado"))))</f>
        <v>Baixo</v>
      </c>
      <c r="N819" s="58" t="s">
        <v>486</v>
      </c>
      <c r="O819" s="54"/>
    </row>
    <row r="820" spans="1:15" ht="13.5" customHeight="1" x14ac:dyDescent="0.25">
      <c r="A820" s="13" t="s">
        <v>1986</v>
      </c>
      <c r="B820" s="49" t="s">
        <v>1665</v>
      </c>
      <c r="C820" s="14" t="s">
        <v>1987</v>
      </c>
      <c r="D820" s="50" t="s">
        <v>1969</v>
      </c>
      <c r="E820" s="65" t="s">
        <v>841</v>
      </c>
      <c r="F820" s="54" t="s">
        <v>485</v>
      </c>
      <c r="G820" s="54" t="s">
        <v>485</v>
      </c>
      <c r="H820" s="54" t="s">
        <v>485</v>
      </c>
      <c r="I820" s="43">
        <f>'01_PARÂMETROS'!$B$9</f>
        <v>50</v>
      </c>
      <c r="J820" s="44">
        <f t="shared" si="39"/>
        <v>0.9</v>
      </c>
      <c r="K820" s="62">
        <f>MAX('01_PARÂMETROS'!$B$11,MIN('01_PARÂMETROS'!$B$12,J820))</f>
        <v>0.9</v>
      </c>
      <c r="L820" s="63">
        <f t="shared" si="38"/>
        <v>-9.9999999999999978E-2</v>
      </c>
      <c r="M820" s="17" t="str">
        <f>IF(K820&lt;='01_PARÂMETROS'!$B$14,"Preferencial",IF(K820&lt;='01_PARÂMETROS'!$B$15,"Baixo",IF(K820&lt;='01_PARÂMETROS'!$B$16,"Médio",IF(K820&lt;='01_PARÂMETROS'!$B$17,"Alto","Elevado"))))</f>
        <v>Baixo</v>
      </c>
      <c r="N820" s="58" t="s">
        <v>486</v>
      </c>
      <c r="O820" s="61"/>
    </row>
    <row r="821" spans="1:15" ht="13.5" customHeight="1" x14ac:dyDescent="0.25">
      <c r="A821" s="24" t="s">
        <v>1988</v>
      </c>
      <c r="B821" s="38" t="s">
        <v>1665</v>
      </c>
      <c r="C821" s="25" t="s">
        <v>1989</v>
      </c>
      <c r="D821" s="39" t="s">
        <v>1969</v>
      </c>
      <c r="E821" s="65" t="s">
        <v>841</v>
      </c>
      <c r="F821" s="54" t="s">
        <v>485</v>
      </c>
      <c r="G821" s="54" t="s">
        <v>485</v>
      </c>
      <c r="H821" s="54" t="s">
        <v>485</v>
      </c>
      <c r="I821" s="43">
        <f>'01_PARÂMETROS'!$B$9</f>
        <v>50</v>
      </c>
      <c r="J821" s="44">
        <f t="shared" si="39"/>
        <v>0.9</v>
      </c>
      <c r="K821" s="62">
        <f>MAX('01_PARÂMETROS'!$B$11,MIN('01_PARÂMETROS'!$B$12,J821))</f>
        <v>0.9</v>
      </c>
      <c r="L821" s="63">
        <f t="shared" si="38"/>
        <v>-9.9999999999999978E-2</v>
      </c>
      <c r="M821" s="17" t="str">
        <f>IF(K821&lt;='01_PARÂMETROS'!$B$14,"Preferencial",IF(K821&lt;='01_PARÂMETROS'!$B$15,"Baixo",IF(K821&lt;='01_PARÂMETROS'!$B$16,"Médio",IF(K821&lt;='01_PARÂMETROS'!$B$17,"Alto","Elevado"))))</f>
        <v>Baixo</v>
      </c>
      <c r="N821" s="58" t="s">
        <v>486</v>
      </c>
      <c r="O821" s="54"/>
    </row>
    <row r="822" spans="1:15" ht="13.5" customHeight="1" x14ac:dyDescent="0.25">
      <c r="A822" s="13" t="s">
        <v>1990</v>
      </c>
      <c r="B822" s="49" t="s">
        <v>1665</v>
      </c>
      <c r="C822" s="14" t="s">
        <v>1991</v>
      </c>
      <c r="D822" s="50" t="s">
        <v>1969</v>
      </c>
      <c r="E822" s="65" t="s">
        <v>841</v>
      </c>
      <c r="F822" s="54" t="s">
        <v>485</v>
      </c>
      <c r="G822" s="54" t="s">
        <v>485</v>
      </c>
      <c r="H822" s="54" t="s">
        <v>485</v>
      </c>
      <c r="I822" s="43">
        <f>'01_PARÂMETROS'!$B$9</f>
        <v>50</v>
      </c>
      <c r="J822" s="44">
        <f t="shared" si="39"/>
        <v>0.9</v>
      </c>
      <c r="K822" s="62">
        <f>MAX('01_PARÂMETROS'!$B$11,MIN('01_PARÂMETROS'!$B$12,J822))</f>
        <v>0.9</v>
      </c>
      <c r="L822" s="63">
        <f t="shared" si="38"/>
        <v>-9.9999999999999978E-2</v>
      </c>
      <c r="M822" s="17" t="str">
        <f>IF(K822&lt;='01_PARÂMETROS'!$B$14,"Preferencial",IF(K822&lt;='01_PARÂMETROS'!$B$15,"Baixo",IF(K822&lt;='01_PARÂMETROS'!$B$16,"Médio",IF(K822&lt;='01_PARÂMETROS'!$B$17,"Alto","Elevado"))))</f>
        <v>Baixo</v>
      </c>
      <c r="N822" s="58" t="s">
        <v>486</v>
      </c>
      <c r="O822" s="61"/>
    </row>
    <row r="823" spans="1:15" ht="13.5" customHeight="1" x14ac:dyDescent="0.25">
      <c r="A823" s="24" t="s">
        <v>1992</v>
      </c>
      <c r="B823" s="38" t="s">
        <v>1665</v>
      </c>
      <c r="C823" s="25" t="s">
        <v>1993</v>
      </c>
      <c r="D823" s="39" t="s">
        <v>1969</v>
      </c>
      <c r="E823" s="65" t="s">
        <v>841</v>
      </c>
      <c r="F823" s="54" t="s">
        <v>485</v>
      </c>
      <c r="G823" s="54" t="s">
        <v>485</v>
      </c>
      <c r="H823" s="54" t="s">
        <v>485</v>
      </c>
      <c r="I823" s="43">
        <f>'01_PARÂMETROS'!$B$9</f>
        <v>50</v>
      </c>
      <c r="J823" s="44">
        <f t="shared" si="39"/>
        <v>0.9</v>
      </c>
      <c r="K823" s="62">
        <f>MAX('01_PARÂMETROS'!$B$11,MIN('01_PARÂMETROS'!$B$12,J823))</f>
        <v>0.9</v>
      </c>
      <c r="L823" s="63">
        <f t="shared" si="38"/>
        <v>-9.9999999999999978E-2</v>
      </c>
      <c r="M823" s="17" t="str">
        <f>IF(K823&lt;='01_PARÂMETROS'!$B$14,"Preferencial",IF(K823&lt;='01_PARÂMETROS'!$B$15,"Baixo",IF(K823&lt;='01_PARÂMETROS'!$B$16,"Médio",IF(K823&lt;='01_PARÂMETROS'!$B$17,"Alto","Elevado"))))</f>
        <v>Baixo</v>
      </c>
      <c r="N823" s="58" t="s">
        <v>486</v>
      </c>
      <c r="O823" s="54"/>
    </row>
    <row r="824" spans="1:15" ht="13.5" customHeight="1" x14ac:dyDescent="0.25">
      <c r="A824" s="13" t="s">
        <v>1994</v>
      </c>
      <c r="B824" s="49" t="s">
        <v>1665</v>
      </c>
      <c r="C824" s="14" t="s">
        <v>1995</v>
      </c>
      <c r="D824" s="50" t="s">
        <v>1969</v>
      </c>
      <c r="E824" s="65" t="s">
        <v>841</v>
      </c>
      <c r="F824" s="54" t="s">
        <v>485</v>
      </c>
      <c r="G824" s="54" t="s">
        <v>485</v>
      </c>
      <c r="H824" s="54" t="s">
        <v>485</v>
      </c>
      <c r="I824" s="43">
        <f>'01_PARÂMETROS'!$B$9</f>
        <v>50</v>
      </c>
      <c r="J824" s="44">
        <f t="shared" si="39"/>
        <v>0.9</v>
      </c>
      <c r="K824" s="62">
        <f>MAX('01_PARÂMETROS'!$B$11,MIN('01_PARÂMETROS'!$B$12,J824))</f>
        <v>0.9</v>
      </c>
      <c r="L824" s="63">
        <f t="shared" si="38"/>
        <v>-9.9999999999999978E-2</v>
      </c>
      <c r="M824" s="17" t="str">
        <f>IF(K824&lt;='01_PARÂMETROS'!$B$14,"Preferencial",IF(K824&lt;='01_PARÂMETROS'!$B$15,"Baixo",IF(K824&lt;='01_PARÂMETROS'!$B$16,"Médio",IF(K824&lt;='01_PARÂMETROS'!$B$17,"Alto","Elevado"))))</f>
        <v>Baixo</v>
      </c>
      <c r="N824" s="58" t="s">
        <v>486</v>
      </c>
      <c r="O824" s="61"/>
    </row>
    <row r="825" spans="1:15" ht="13.5" customHeight="1" x14ac:dyDescent="0.25">
      <c r="A825" s="24" t="s">
        <v>1996</v>
      </c>
      <c r="B825" s="38" t="s">
        <v>1665</v>
      </c>
      <c r="C825" s="25" t="s">
        <v>1997</v>
      </c>
      <c r="D825" s="39" t="s">
        <v>1969</v>
      </c>
      <c r="E825" s="65" t="s">
        <v>841</v>
      </c>
      <c r="F825" s="54" t="s">
        <v>485</v>
      </c>
      <c r="G825" s="54" t="s">
        <v>485</v>
      </c>
      <c r="H825" s="54" t="s">
        <v>485</v>
      </c>
      <c r="I825" s="43">
        <f>'01_PARÂMETROS'!$B$9</f>
        <v>50</v>
      </c>
      <c r="J825" s="44">
        <f t="shared" si="39"/>
        <v>0.9</v>
      </c>
      <c r="K825" s="62">
        <f>MAX('01_PARÂMETROS'!$B$11,MIN('01_PARÂMETROS'!$B$12,J825))</f>
        <v>0.9</v>
      </c>
      <c r="L825" s="63">
        <f t="shared" si="38"/>
        <v>-9.9999999999999978E-2</v>
      </c>
      <c r="M825" s="17" t="str">
        <f>IF(K825&lt;='01_PARÂMETROS'!$B$14,"Preferencial",IF(K825&lt;='01_PARÂMETROS'!$B$15,"Baixo",IF(K825&lt;='01_PARÂMETROS'!$B$16,"Médio",IF(K825&lt;='01_PARÂMETROS'!$B$17,"Alto","Elevado"))))</f>
        <v>Baixo</v>
      </c>
      <c r="N825" s="58" t="s">
        <v>486</v>
      </c>
      <c r="O825" s="54"/>
    </row>
    <row r="826" spans="1:15" ht="13.5" customHeight="1" x14ac:dyDescent="0.25">
      <c r="A826" s="13" t="s">
        <v>1998</v>
      </c>
      <c r="B826" s="49" t="s">
        <v>1665</v>
      </c>
      <c r="C826" s="14" t="s">
        <v>1999</v>
      </c>
      <c r="D826" s="50" t="s">
        <v>1969</v>
      </c>
      <c r="E826" s="65" t="s">
        <v>841</v>
      </c>
      <c r="F826" s="54" t="s">
        <v>485</v>
      </c>
      <c r="G826" s="54" t="s">
        <v>485</v>
      </c>
      <c r="H826" s="54" t="s">
        <v>485</v>
      </c>
      <c r="I826" s="43">
        <f>'01_PARÂMETROS'!$B$9</f>
        <v>50</v>
      </c>
      <c r="J826" s="44">
        <f t="shared" si="39"/>
        <v>0.9</v>
      </c>
      <c r="K826" s="62">
        <f>MAX('01_PARÂMETROS'!$B$11,MIN('01_PARÂMETROS'!$B$12,J826))</f>
        <v>0.9</v>
      </c>
      <c r="L826" s="63">
        <f t="shared" si="38"/>
        <v>-9.9999999999999978E-2</v>
      </c>
      <c r="M826" s="17" t="str">
        <f>IF(K826&lt;='01_PARÂMETROS'!$B$14,"Preferencial",IF(K826&lt;='01_PARÂMETROS'!$B$15,"Baixo",IF(K826&lt;='01_PARÂMETROS'!$B$16,"Médio",IF(K826&lt;='01_PARÂMETROS'!$B$17,"Alto","Elevado"))))</f>
        <v>Baixo</v>
      </c>
      <c r="N826" s="58" t="s">
        <v>486</v>
      </c>
      <c r="O826" s="61"/>
    </row>
    <row r="827" spans="1:15" ht="13.5" customHeight="1" x14ac:dyDescent="0.25">
      <c r="A827" s="24" t="s">
        <v>2000</v>
      </c>
      <c r="B827" s="38" t="s">
        <v>1665</v>
      </c>
      <c r="C827" s="25" t="s">
        <v>2001</v>
      </c>
      <c r="D827" s="39" t="s">
        <v>1969</v>
      </c>
      <c r="E827" s="64" t="s">
        <v>566</v>
      </c>
      <c r="F827" s="54" t="s">
        <v>485</v>
      </c>
      <c r="G827" s="54" t="s">
        <v>485</v>
      </c>
      <c r="H827" s="54" t="s">
        <v>485</v>
      </c>
      <c r="I827" s="43">
        <f>'01_PARÂMETROS'!$B$9</f>
        <v>50</v>
      </c>
      <c r="J827" s="44">
        <f>1.15</f>
        <v>1.1499999999999999</v>
      </c>
      <c r="K827" s="45">
        <f>MAX('01_PARÂMETROS'!$B$11,MIN('01_PARÂMETROS'!$B$12,J827))</f>
        <v>1.1499999999999999</v>
      </c>
      <c r="L827" s="46">
        <f t="shared" si="38"/>
        <v>0.14999999999999991</v>
      </c>
      <c r="M827" s="47" t="str">
        <f>IF(K827&lt;='01_PARÂMETROS'!$B$14,"Preferencial",IF(K827&lt;='01_PARÂMETROS'!$B$15,"Baixo",IF(K827&lt;='01_PARÂMETROS'!$B$16,"Médio",IF(K827&lt;='01_PARÂMETROS'!$B$17,"Alto","Elevado"))))</f>
        <v>Alto</v>
      </c>
      <c r="N827" s="58" t="s">
        <v>486</v>
      </c>
      <c r="O827" s="54"/>
    </row>
    <row r="828" spans="1:15" ht="13.5" customHeight="1" x14ac:dyDescent="0.25">
      <c r="A828" s="13" t="s">
        <v>2002</v>
      </c>
      <c r="B828" s="49" t="s">
        <v>1665</v>
      </c>
      <c r="C828" s="14" t="s">
        <v>2003</v>
      </c>
      <c r="D828" s="50" t="s">
        <v>1969</v>
      </c>
      <c r="E828" s="64" t="s">
        <v>566</v>
      </c>
      <c r="F828" s="54" t="s">
        <v>485</v>
      </c>
      <c r="G828" s="54" t="s">
        <v>485</v>
      </c>
      <c r="H828" s="54" t="s">
        <v>485</v>
      </c>
      <c r="I828" s="43">
        <f>'01_PARÂMETROS'!$B$9</f>
        <v>50</v>
      </c>
      <c r="J828" s="44">
        <f>1.15</f>
        <v>1.1499999999999999</v>
      </c>
      <c r="K828" s="45">
        <f>MAX('01_PARÂMETROS'!$B$11,MIN('01_PARÂMETROS'!$B$12,J828))</f>
        <v>1.1499999999999999</v>
      </c>
      <c r="L828" s="46">
        <f t="shared" si="38"/>
        <v>0.14999999999999991</v>
      </c>
      <c r="M828" s="47" t="str">
        <f>IF(K828&lt;='01_PARÂMETROS'!$B$14,"Preferencial",IF(K828&lt;='01_PARÂMETROS'!$B$15,"Baixo",IF(K828&lt;='01_PARÂMETROS'!$B$16,"Médio",IF(K828&lt;='01_PARÂMETROS'!$B$17,"Alto","Elevado"))))</f>
        <v>Alto</v>
      </c>
      <c r="N828" s="58" t="s">
        <v>486</v>
      </c>
      <c r="O828" s="61"/>
    </row>
    <row r="829" spans="1:15" ht="13.5" customHeight="1" x14ac:dyDescent="0.25">
      <c r="A829" s="24" t="s">
        <v>2004</v>
      </c>
      <c r="B829" s="38" t="s">
        <v>1665</v>
      </c>
      <c r="C829" s="25" t="s">
        <v>2005</v>
      </c>
      <c r="D829" s="39" t="s">
        <v>1969</v>
      </c>
      <c r="E829" s="65" t="s">
        <v>841</v>
      </c>
      <c r="F829" s="54" t="s">
        <v>485</v>
      </c>
      <c r="G829" s="54" t="s">
        <v>485</v>
      </c>
      <c r="H829" s="54" t="s">
        <v>485</v>
      </c>
      <c r="I829" s="43">
        <f>'01_PARÂMETROS'!$B$9</f>
        <v>50</v>
      </c>
      <c r="J829" s="44">
        <f t="shared" ref="J829:J860" si="40">0.9</f>
        <v>0.9</v>
      </c>
      <c r="K829" s="62">
        <f>MAX('01_PARÂMETROS'!$B$11,MIN('01_PARÂMETROS'!$B$12,J829))</f>
        <v>0.9</v>
      </c>
      <c r="L829" s="63">
        <f t="shared" si="38"/>
        <v>-9.9999999999999978E-2</v>
      </c>
      <c r="M829" s="17" t="str">
        <f>IF(K829&lt;='01_PARÂMETROS'!$B$14,"Preferencial",IF(K829&lt;='01_PARÂMETROS'!$B$15,"Baixo",IF(K829&lt;='01_PARÂMETROS'!$B$16,"Médio",IF(K829&lt;='01_PARÂMETROS'!$B$17,"Alto","Elevado"))))</f>
        <v>Baixo</v>
      </c>
      <c r="N829" s="58" t="s">
        <v>486</v>
      </c>
      <c r="O829" s="54"/>
    </row>
    <row r="830" spans="1:15" ht="13.5" customHeight="1" x14ac:dyDescent="0.25">
      <c r="A830" s="13" t="s">
        <v>2006</v>
      </c>
      <c r="B830" s="49" t="s">
        <v>1665</v>
      </c>
      <c r="C830" s="14" t="s">
        <v>2007</v>
      </c>
      <c r="D830" s="50" t="s">
        <v>1969</v>
      </c>
      <c r="E830" s="65" t="s">
        <v>841</v>
      </c>
      <c r="F830" s="54" t="s">
        <v>485</v>
      </c>
      <c r="G830" s="54" t="s">
        <v>485</v>
      </c>
      <c r="H830" s="54" t="s">
        <v>485</v>
      </c>
      <c r="I830" s="43">
        <f>'01_PARÂMETROS'!$B$9</f>
        <v>50</v>
      </c>
      <c r="J830" s="44">
        <f t="shared" si="40"/>
        <v>0.9</v>
      </c>
      <c r="K830" s="62">
        <f>MAX('01_PARÂMETROS'!$B$11,MIN('01_PARÂMETROS'!$B$12,J830))</f>
        <v>0.9</v>
      </c>
      <c r="L830" s="63">
        <f t="shared" si="38"/>
        <v>-9.9999999999999978E-2</v>
      </c>
      <c r="M830" s="17" t="str">
        <f>IF(K830&lt;='01_PARÂMETROS'!$B$14,"Preferencial",IF(K830&lt;='01_PARÂMETROS'!$B$15,"Baixo",IF(K830&lt;='01_PARÂMETROS'!$B$16,"Médio",IF(K830&lt;='01_PARÂMETROS'!$B$17,"Alto","Elevado"))))</f>
        <v>Baixo</v>
      </c>
      <c r="N830" s="58" t="s">
        <v>486</v>
      </c>
      <c r="O830" s="61"/>
    </row>
    <row r="831" spans="1:15" ht="13.5" customHeight="1" x14ac:dyDescent="0.25">
      <c r="A831" s="24" t="s">
        <v>2008</v>
      </c>
      <c r="B831" s="38" t="s">
        <v>1665</v>
      </c>
      <c r="C831" s="25" t="s">
        <v>2009</v>
      </c>
      <c r="D831" s="39" t="s">
        <v>1969</v>
      </c>
      <c r="E831" s="65" t="s">
        <v>841</v>
      </c>
      <c r="F831" s="54" t="s">
        <v>485</v>
      </c>
      <c r="G831" s="54" t="s">
        <v>485</v>
      </c>
      <c r="H831" s="54" t="s">
        <v>485</v>
      </c>
      <c r="I831" s="43">
        <f>'01_PARÂMETROS'!$B$9</f>
        <v>50</v>
      </c>
      <c r="J831" s="44">
        <f t="shared" si="40"/>
        <v>0.9</v>
      </c>
      <c r="K831" s="62">
        <f>MAX('01_PARÂMETROS'!$B$11,MIN('01_PARÂMETROS'!$B$12,J831))</f>
        <v>0.9</v>
      </c>
      <c r="L831" s="63">
        <f t="shared" si="38"/>
        <v>-9.9999999999999978E-2</v>
      </c>
      <c r="M831" s="17" t="str">
        <f>IF(K831&lt;='01_PARÂMETROS'!$B$14,"Preferencial",IF(K831&lt;='01_PARÂMETROS'!$B$15,"Baixo",IF(K831&lt;='01_PARÂMETROS'!$B$16,"Médio",IF(K831&lt;='01_PARÂMETROS'!$B$17,"Alto","Elevado"))))</f>
        <v>Baixo</v>
      </c>
      <c r="N831" s="58" t="s">
        <v>486</v>
      </c>
      <c r="O831" s="54"/>
    </row>
    <row r="832" spans="1:15" ht="13.5" customHeight="1" x14ac:dyDescent="0.25">
      <c r="A832" s="13" t="s">
        <v>2010</v>
      </c>
      <c r="B832" s="49" t="s">
        <v>1665</v>
      </c>
      <c r="C832" s="14" t="s">
        <v>2011</v>
      </c>
      <c r="D832" s="50" t="s">
        <v>1969</v>
      </c>
      <c r="E832" s="65" t="s">
        <v>841</v>
      </c>
      <c r="F832" s="54" t="s">
        <v>485</v>
      </c>
      <c r="G832" s="54" t="s">
        <v>485</v>
      </c>
      <c r="H832" s="54" t="s">
        <v>485</v>
      </c>
      <c r="I832" s="43">
        <f>'01_PARÂMETROS'!$B$9</f>
        <v>50</v>
      </c>
      <c r="J832" s="44">
        <f t="shared" si="40"/>
        <v>0.9</v>
      </c>
      <c r="K832" s="62">
        <f>MAX('01_PARÂMETROS'!$B$11,MIN('01_PARÂMETROS'!$B$12,J832))</f>
        <v>0.9</v>
      </c>
      <c r="L832" s="63">
        <f t="shared" si="38"/>
        <v>-9.9999999999999978E-2</v>
      </c>
      <c r="M832" s="17" t="str">
        <f>IF(K832&lt;='01_PARÂMETROS'!$B$14,"Preferencial",IF(K832&lt;='01_PARÂMETROS'!$B$15,"Baixo",IF(K832&lt;='01_PARÂMETROS'!$B$16,"Médio",IF(K832&lt;='01_PARÂMETROS'!$B$17,"Alto","Elevado"))))</f>
        <v>Baixo</v>
      </c>
      <c r="N832" s="58" t="s">
        <v>486</v>
      </c>
      <c r="O832" s="61"/>
    </row>
    <row r="833" spans="1:15" ht="13.5" customHeight="1" x14ac:dyDescent="0.25">
      <c r="A833" s="24" t="s">
        <v>2012</v>
      </c>
      <c r="B833" s="38" t="s">
        <v>1665</v>
      </c>
      <c r="C833" s="25" t="s">
        <v>2013</v>
      </c>
      <c r="D833" s="39" t="s">
        <v>1969</v>
      </c>
      <c r="E833" s="65" t="s">
        <v>841</v>
      </c>
      <c r="F833" s="54" t="s">
        <v>485</v>
      </c>
      <c r="G833" s="54" t="s">
        <v>485</v>
      </c>
      <c r="H833" s="54" t="s">
        <v>485</v>
      </c>
      <c r="I833" s="43">
        <f>'01_PARÂMETROS'!$B$9</f>
        <v>50</v>
      </c>
      <c r="J833" s="44">
        <f t="shared" si="40"/>
        <v>0.9</v>
      </c>
      <c r="K833" s="62">
        <f>MAX('01_PARÂMETROS'!$B$11,MIN('01_PARÂMETROS'!$B$12,J833))</f>
        <v>0.9</v>
      </c>
      <c r="L833" s="63">
        <f t="shared" si="38"/>
        <v>-9.9999999999999978E-2</v>
      </c>
      <c r="M833" s="17" t="str">
        <f>IF(K833&lt;='01_PARÂMETROS'!$B$14,"Preferencial",IF(K833&lt;='01_PARÂMETROS'!$B$15,"Baixo",IF(K833&lt;='01_PARÂMETROS'!$B$16,"Médio",IF(K833&lt;='01_PARÂMETROS'!$B$17,"Alto","Elevado"))))</f>
        <v>Baixo</v>
      </c>
      <c r="N833" s="58" t="s">
        <v>486</v>
      </c>
      <c r="O833" s="54"/>
    </row>
    <row r="834" spans="1:15" ht="13.5" customHeight="1" x14ac:dyDescent="0.25">
      <c r="A834" s="13" t="s">
        <v>2014</v>
      </c>
      <c r="B834" s="49" t="s">
        <v>1665</v>
      </c>
      <c r="C834" s="14" t="s">
        <v>2015</v>
      </c>
      <c r="D834" s="50" t="s">
        <v>1969</v>
      </c>
      <c r="E834" s="65" t="s">
        <v>841</v>
      </c>
      <c r="F834" s="54" t="s">
        <v>485</v>
      </c>
      <c r="G834" s="54" t="s">
        <v>485</v>
      </c>
      <c r="H834" s="54" t="s">
        <v>485</v>
      </c>
      <c r="I834" s="43">
        <f>'01_PARÂMETROS'!$B$9</f>
        <v>50</v>
      </c>
      <c r="J834" s="44">
        <f t="shared" si="40"/>
        <v>0.9</v>
      </c>
      <c r="K834" s="62">
        <f>MAX('01_PARÂMETROS'!$B$11,MIN('01_PARÂMETROS'!$B$12,J834))</f>
        <v>0.9</v>
      </c>
      <c r="L834" s="63">
        <f t="shared" si="38"/>
        <v>-9.9999999999999978E-2</v>
      </c>
      <c r="M834" s="17" t="str">
        <f>IF(K834&lt;='01_PARÂMETROS'!$B$14,"Preferencial",IF(K834&lt;='01_PARÂMETROS'!$B$15,"Baixo",IF(K834&lt;='01_PARÂMETROS'!$B$16,"Médio",IF(K834&lt;='01_PARÂMETROS'!$B$17,"Alto","Elevado"))))</f>
        <v>Baixo</v>
      </c>
      <c r="N834" s="58" t="s">
        <v>486</v>
      </c>
      <c r="O834" s="61"/>
    </row>
    <row r="835" spans="1:15" ht="13.5" customHeight="1" x14ac:dyDescent="0.25">
      <c r="A835" s="24" t="s">
        <v>2016</v>
      </c>
      <c r="B835" s="38" t="s">
        <v>1665</v>
      </c>
      <c r="C835" s="25" t="s">
        <v>2017</v>
      </c>
      <c r="D835" s="39" t="s">
        <v>1969</v>
      </c>
      <c r="E835" s="65" t="s">
        <v>841</v>
      </c>
      <c r="F835" s="54" t="s">
        <v>485</v>
      </c>
      <c r="G835" s="54" t="s">
        <v>485</v>
      </c>
      <c r="H835" s="54" t="s">
        <v>485</v>
      </c>
      <c r="I835" s="43">
        <f>'01_PARÂMETROS'!$B$9</f>
        <v>50</v>
      </c>
      <c r="J835" s="44">
        <f t="shared" si="40"/>
        <v>0.9</v>
      </c>
      <c r="K835" s="62">
        <f>MAX('01_PARÂMETROS'!$B$11,MIN('01_PARÂMETROS'!$B$12,J835))</f>
        <v>0.9</v>
      </c>
      <c r="L835" s="63">
        <f t="shared" si="38"/>
        <v>-9.9999999999999978E-2</v>
      </c>
      <c r="M835" s="17" t="str">
        <f>IF(K835&lt;='01_PARÂMETROS'!$B$14,"Preferencial",IF(K835&lt;='01_PARÂMETROS'!$B$15,"Baixo",IF(K835&lt;='01_PARÂMETROS'!$B$16,"Médio",IF(K835&lt;='01_PARÂMETROS'!$B$17,"Alto","Elevado"))))</f>
        <v>Baixo</v>
      </c>
      <c r="N835" s="58" t="s">
        <v>486</v>
      </c>
      <c r="O835" s="54"/>
    </row>
    <row r="836" spans="1:15" ht="13.5" customHeight="1" x14ac:dyDescent="0.25">
      <c r="A836" s="13" t="s">
        <v>2018</v>
      </c>
      <c r="B836" s="49" t="s">
        <v>1665</v>
      </c>
      <c r="C836" s="14" t="s">
        <v>2019</v>
      </c>
      <c r="D836" s="50" t="s">
        <v>1969</v>
      </c>
      <c r="E836" s="65" t="s">
        <v>841</v>
      </c>
      <c r="F836" s="54" t="s">
        <v>485</v>
      </c>
      <c r="G836" s="54" t="s">
        <v>485</v>
      </c>
      <c r="H836" s="54" t="s">
        <v>485</v>
      </c>
      <c r="I836" s="43">
        <f>'01_PARÂMETROS'!$B$9</f>
        <v>50</v>
      </c>
      <c r="J836" s="44">
        <f t="shared" si="40"/>
        <v>0.9</v>
      </c>
      <c r="K836" s="62">
        <f>MAX('01_PARÂMETROS'!$B$11,MIN('01_PARÂMETROS'!$B$12,J836))</f>
        <v>0.9</v>
      </c>
      <c r="L836" s="63">
        <f t="shared" si="38"/>
        <v>-9.9999999999999978E-2</v>
      </c>
      <c r="M836" s="17" t="str">
        <f>IF(K836&lt;='01_PARÂMETROS'!$B$14,"Preferencial",IF(K836&lt;='01_PARÂMETROS'!$B$15,"Baixo",IF(K836&lt;='01_PARÂMETROS'!$B$16,"Médio",IF(K836&lt;='01_PARÂMETROS'!$B$17,"Alto","Elevado"))))</f>
        <v>Baixo</v>
      </c>
      <c r="N836" s="58" t="s">
        <v>486</v>
      </c>
      <c r="O836" s="61"/>
    </row>
    <row r="837" spans="1:15" ht="13.5" customHeight="1" x14ac:dyDescent="0.25">
      <c r="A837" s="24" t="s">
        <v>2020</v>
      </c>
      <c r="B837" s="38" t="s">
        <v>1665</v>
      </c>
      <c r="C837" s="25" t="s">
        <v>2021</v>
      </c>
      <c r="D837" s="39" t="s">
        <v>1969</v>
      </c>
      <c r="E837" s="65" t="s">
        <v>841</v>
      </c>
      <c r="F837" s="54" t="s">
        <v>485</v>
      </c>
      <c r="G837" s="54" t="s">
        <v>485</v>
      </c>
      <c r="H837" s="54" t="s">
        <v>485</v>
      </c>
      <c r="I837" s="43">
        <f>'01_PARÂMETROS'!$B$9</f>
        <v>50</v>
      </c>
      <c r="J837" s="44">
        <f t="shared" si="40"/>
        <v>0.9</v>
      </c>
      <c r="K837" s="62">
        <f>MAX('01_PARÂMETROS'!$B$11,MIN('01_PARÂMETROS'!$B$12,J837))</f>
        <v>0.9</v>
      </c>
      <c r="L837" s="63">
        <f t="shared" ref="L837:L900" si="41">(K837-1)</f>
        <v>-9.9999999999999978E-2</v>
      </c>
      <c r="M837" s="17" t="str">
        <f>IF(K837&lt;='01_PARÂMETROS'!$B$14,"Preferencial",IF(K837&lt;='01_PARÂMETROS'!$B$15,"Baixo",IF(K837&lt;='01_PARÂMETROS'!$B$16,"Médio",IF(K837&lt;='01_PARÂMETROS'!$B$17,"Alto","Elevado"))))</f>
        <v>Baixo</v>
      </c>
      <c r="N837" s="58" t="s">
        <v>486</v>
      </c>
      <c r="O837" s="54"/>
    </row>
    <row r="838" spans="1:15" ht="13.5" customHeight="1" x14ac:dyDescent="0.25">
      <c r="A838" s="13" t="s">
        <v>2022</v>
      </c>
      <c r="B838" s="49" t="s">
        <v>1665</v>
      </c>
      <c r="C838" s="14" t="s">
        <v>2023</v>
      </c>
      <c r="D838" s="50" t="s">
        <v>1969</v>
      </c>
      <c r="E838" s="65" t="s">
        <v>841</v>
      </c>
      <c r="F838" s="54" t="s">
        <v>485</v>
      </c>
      <c r="G838" s="54" t="s">
        <v>485</v>
      </c>
      <c r="H838" s="54" t="s">
        <v>485</v>
      </c>
      <c r="I838" s="43">
        <f>'01_PARÂMETROS'!$B$9</f>
        <v>50</v>
      </c>
      <c r="J838" s="44">
        <f t="shared" si="40"/>
        <v>0.9</v>
      </c>
      <c r="K838" s="62">
        <f>MAX('01_PARÂMETROS'!$B$11,MIN('01_PARÂMETROS'!$B$12,J838))</f>
        <v>0.9</v>
      </c>
      <c r="L838" s="63">
        <f t="shared" si="41"/>
        <v>-9.9999999999999978E-2</v>
      </c>
      <c r="M838" s="17" t="str">
        <f>IF(K838&lt;='01_PARÂMETROS'!$B$14,"Preferencial",IF(K838&lt;='01_PARÂMETROS'!$B$15,"Baixo",IF(K838&lt;='01_PARÂMETROS'!$B$16,"Médio",IF(K838&lt;='01_PARÂMETROS'!$B$17,"Alto","Elevado"))))</f>
        <v>Baixo</v>
      </c>
      <c r="N838" s="58" t="s">
        <v>486</v>
      </c>
      <c r="O838" s="61"/>
    </row>
    <row r="839" spans="1:15" ht="13.5" customHeight="1" x14ac:dyDescent="0.25">
      <c r="A839" s="24" t="s">
        <v>2024</v>
      </c>
      <c r="B839" s="38" t="s">
        <v>1665</v>
      </c>
      <c r="C839" s="25" t="s">
        <v>2025</v>
      </c>
      <c r="D839" s="39" t="s">
        <v>1969</v>
      </c>
      <c r="E839" s="65" t="s">
        <v>841</v>
      </c>
      <c r="F839" s="54" t="s">
        <v>485</v>
      </c>
      <c r="G839" s="54" t="s">
        <v>485</v>
      </c>
      <c r="H839" s="54" t="s">
        <v>485</v>
      </c>
      <c r="I839" s="43">
        <f>'01_PARÂMETROS'!$B$9</f>
        <v>50</v>
      </c>
      <c r="J839" s="44">
        <f t="shared" si="40"/>
        <v>0.9</v>
      </c>
      <c r="K839" s="62">
        <f>MAX('01_PARÂMETROS'!$B$11,MIN('01_PARÂMETROS'!$B$12,J839))</f>
        <v>0.9</v>
      </c>
      <c r="L839" s="63">
        <f t="shared" si="41"/>
        <v>-9.9999999999999978E-2</v>
      </c>
      <c r="M839" s="17" t="str">
        <f>IF(K839&lt;='01_PARÂMETROS'!$B$14,"Preferencial",IF(K839&lt;='01_PARÂMETROS'!$B$15,"Baixo",IF(K839&lt;='01_PARÂMETROS'!$B$16,"Médio",IF(K839&lt;='01_PARÂMETROS'!$B$17,"Alto","Elevado"))))</f>
        <v>Baixo</v>
      </c>
      <c r="N839" s="58" t="s">
        <v>486</v>
      </c>
      <c r="O839" s="54"/>
    </row>
    <row r="840" spans="1:15" ht="13.5" customHeight="1" x14ac:dyDescent="0.25">
      <c r="A840" s="13" t="s">
        <v>2026</v>
      </c>
      <c r="B840" s="49" t="s">
        <v>1665</v>
      </c>
      <c r="C840" s="14" t="s">
        <v>2027</v>
      </c>
      <c r="D840" s="50" t="s">
        <v>1969</v>
      </c>
      <c r="E840" s="65" t="s">
        <v>841</v>
      </c>
      <c r="F840" s="54" t="s">
        <v>485</v>
      </c>
      <c r="G840" s="54" t="s">
        <v>485</v>
      </c>
      <c r="H840" s="54" t="s">
        <v>485</v>
      </c>
      <c r="I840" s="43">
        <f>'01_PARÂMETROS'!$B$9</f>
        <v>50</v>
      </c>
      <c r="J840" s="44">
        <f t="shared" si="40"/>
        <v>0.9</v>
      </c>
      <c r="K840" s="62">
        <f>MAX('01_PARÂMETROS'!$B$11,MIN('01_PARÂMETROS'!$B$12,J840))</f>
        <v>0.9</v>
      </c>
      <c r="L840" s="63">
        <f t="shared" si="41"/>
        <v>-9.9999999999999978E-2</v>
      </c>
      <c r="M840" s="17" t="str">
        <f>IF(K840&lt;='01_PARÂMETROS'!$B$14,"Preferencial",IF(K840&lt;='01_PARÂMETROS'!$B$15,"Baixo",IF(K840&lt;='01_PARÂMETROS'!$B$16,"Médio",IF(K840&lt;='01_PARÂMETROS'!$B$17,"Alto","Elevado"))))</f>
        <v>Baixo</v>
      </c>
      <c r="N840" s="58" t="s">
        <v>486</v>
      </c>
      <c r="O840" s="61"/>
    </row>
    <row r="841" spans="1:15" ht="13.5" customHeight="1" x14ac:dyDescent="0.25">
      <c r="A841" s="24" t="s">
        <v>2028</v>
      </c>
      <c r="B841" s="38" t="s">
        <v>1665</v>
      </c>
      <c r="C841" s="25" t="s">
        <v>2029</v>
      </c>
      <c r="D841" s="39" t="s">
        <v>1969</v>
      </c>
      <c r="E841" s="65" t="s">
        <v>841</v>
      </c>
      <c r="F841" s="54" t="s">
        <v>485</v>
      </c>
      <c r="G841" s="54" t="s">
        <v>485</v>
      </c>
      <c r="H841" s="54" t="s">
        <v>485</v>
      </c>
      <c r="I841" s="43">
        <f>'01_PARÂMETROS'!$B$9</f>
        <v>50</v>
      </c>
      <c r="J841" s="44">
        <f t="shared" si="40"/>
        <v>0.9</v>
      </c>
      <c r="K841" s="62">
        <f>MAX('01_PARÂMETROS'!$B$11,MIN('01_PARÂMETROS'!$B$12,J841))</f>
        <v>0.9</v>
      </c>
      <c r="L841" s="63">
        <f t="shared" si="41"/>
        <v>-9.9999999999999978E-2</v>
      </c>
      <c r="M841" s="17" t="str">
        <f>IF(K841&lt;='01_PARÂMETROS'!$B$14,"Preferencial",IF(K841&lt;='01_PARÂMETROS'!$B$15,"Baixo",IF(K841&lt;='01_PARÂMETROS'!$B$16,"Médio",IF(K841&lt;='01_PARÂMETROS'!$B$17,"Alto","Elevado"))))</f>
        <v>Baixo</v>
      </c>
      <c r="N841" s="58" t="s">
        <v>486</v>
      </c>
      <c r="O841" s="54"/>
    </row>
    <row r="842" spans="1:15" ht="13.5" customHeight="1" x14ac:dyDescent="0.25">
      <c r="A842" s="13" t="s">
        <v>2030</v>
      </c>
      <c r="B842" s="49" t="s">
        <v>1665</v>
      </c>
      <c r="C842" s="14" t="s">
        <v>2031</v>
      </c>
      <c r="D842" s="50" t="s">
        <v>1969</v>
      </c>
      <c r="E842" s="65" t="s">
        <v>841</v>
      </c>
      <c r="F842" s="54" t="s">
        <v>485</v>
      </c>
      <c r="G842" s="54" t="s">
        <v>485</v>
      </c>
      <c r="H842" s="54" t="s">
        <v>485</v>
      </c>
      <c r="I842" s="43">
        <f>'01_PARÂMETROS'!$B$9</f>
        <v>50</v>
      </c>
      <c r="J842" s="44">
        <f t="shared" si="40"/>
        <v>0.9</v>
      </c>
      <c r="K842" s="62">
        <f>MAX('01_PARÂMETROS'!$B$11,MIN('01_PARÂMETROS'!$B$12,J842))</f>
        <v>0.9</v>
      </c>
      <c r="L842" s="63">
        <f t="shared" si="41"/>
        <v>-9.9999999999999978E-2</v>
      </c>
      <c r="M842" s="17" t="str">
        <f>IF(K842&lt;='01_PARÂMETROS'!$B$14,"Preferencial",IF(K842&lt;='01_PARÂMETROS'!$B$15,"Baixo",IF(K842&lt;='01_PARÂMETROS'!$B$16,"Médio",IF(K842&lt;='01_PARÂMETROS'!$B$17,"Alto","Elevado"))))</f>
        <v>Baixo</v>
      </c>
      <c r="N842" s="58" t="s">
        <v>486</v>
      </c>
      <c r="O842" s="61"/>
    </row>
    <row r="843" spans="1:15" ht="13.5" customHeight="1" x14ac:dyDescent="0.25">
      <c r="A843" s="24" t="s">
        <v>2032</v>
      </c>
      <c r="B843" s="38" t="s">
        <v>1665</v>
      </c>
      <c r="C843" s="25" t="s">
        <v>2033</v>
      </c>
      <c r="D843" s="39" t="s">
        <v>1969</v>
      </c>
      <c r="E843" s="65" t="s">
        <v>841</v>
      </c>
      <c r="F843" s="54" t="s">
        <v>485</v>
      </c>
      <c r="G843" s="54" t="s">
        <v>485</v>
      </c>
      <c r="H843" s="54" t="s">
        <v>485</v>
      </c>
      <c r="I843" s="43">
        <f>'01_PARÂMETROS'!$B$9</f>
        <v>50</v>
      </c>
      <c r="J843" s="44">
        <f t="shared" si="40"/>
        <v>0.9</v>
      </c>
      <c r="K843" s="62">
        <f>MAX('01_PARÂMETROS'!$B$11,MIN('01_PARÂMETROS'!$B$12,J843))</f>
        <v>0.9</v>
      </c>
      <c r="L843" s="63">
        <f t="shared" si="41"/>
        <v>-9.9999999999999978E-2</v>
      </c>
      <c r="M843" s="17" t="str">
        <f>IF(K843&lt;='01_PARÂMETROS'!$B$14,"Preferencial",IF(K843&lt;='01_PARÂMETROS'!$B$15,"Baixo",IF(K843&lt;='01_PARÂMETROS'!$B$16,"Médio",IF(K843&lt;='01_PARÂMETROS'!$B$17,"Alto","Elevado"))))</f>
        <v>Baixo</v>
      </c>
      <c r="N843" s="58" t="s">
        <v>486</v>
      </c>
      <c r="O843" s="54"/>
    </row>
    <row r="844" spans="1:15" ht="13.5" customHeight="1" x14ac:dyDescent="0.25">
      <c r="A844" s="13" t="s">
        <v>2034</v>
      </c>
      <c r="B844" s="49" t="s">
        <v>1665</v>
      </c>
      <c r="C844" s="14" t="s">
        <v>2035</v>
      </c>
      <c r="D844" s="50" t="s">
        <v>1969</v>
      </c>
      <c r="E844" s="65" t="s">
        <v>841</v>
      </c>
      <c r="F844" s="54" t="s">
        <v>485</v>
      </c>
      <c r="G844" s="54" t="s">
        <v>485</v>
      </c>
      <c r="H844" s="54" t="s">
        <v>485</v>
      </c>
      <c r="I844" s="43">
        <f>'01_PARÂMETROS'!$B$9</f>
        <v>50</v>
      </c>
      <c r="J844" s="44">
        <f t="shared" si="40"/>
        <v>0.9</v>
      </c>
      <c r="K844" s="62">
        <f>MAX('01_PARÂMETROS'!$B$11,MIN('01_PARÂMETROS'!$B$12,J844))</f>
        <v>0.9</v>
      </c>
      <c r="L844" s="63">
        <f t="shared" si="41"/>
        <v>-9.9999999999999978E-2</v>
      </c>
      <c r="M844" s="17" t="str">
        <f>IF(K844&lt;='01_PARÂMETROS'!$B$14,"Preferencial",IF(K844&lt;='01_PARÂMETROS'!$B$15,"Baixo",IF(K844&lt;='01_PARÂMETROS'!$B$16,"Médio",IF(K844&lt;='01_PARÂMETROS'!$B$17,"Alto","Elevado"))))</f>
        <v>Baixo</v>
      </c>
      <c r="N844" s="58" t="s">
        <v>486</v>
      </c>
      <c r="O844" s="61"/>
    </row>
    <row r="845" spans="1:15" ht="13.5" customHeight="1" x14ac:dyDescent="0.25">
      <c r="A845" s="24" t="s">
        <v>2036</v>
      </c>
      <c r="B845" s="38" t="s">
        <v>1665</v>
      </c>
      <c r="C845" s="25" t="s">
        <v>2037</v>
      </c>
      <c r="D845" s="39" t="s">
        <v>1969</v>
      </c>
      <c r="E845" s="65" t="s">
        <v>841</v>
      </c>
      <c r="F845" s="54" t="s">
        <v>485</v>
      </c>
      <c r="G845" s="54" t="s">
        <v>485</v>
      </c>
      <c r="H845" s="54" t="s">
        <v>485</v>
      </c>
      <c r="I845" s="43">
        <f>'01_PARÂMETROS'!$B$9</f>
        <v>50</v>
      </c>
      <c r="J845" s="44">
        <f t="shared" si="40"/>
        <v>0.9</v>
      </c>
      <c r="K845" s="62">
        <f>MAX('01_PARÂMETROS'!$B$11,MIN('01_PARÂMETROS'!$B$12,J845))</f>
        <v>0.9</v>
      </c>
      <c r="L845" s="63">
        <f t="shared" si="41"/>
        <v>-9.9999999999999978E-2</v>
      </c>
      <c r="M845" s="17" t="str">
        <f>IF(K845&lt;='01_PARÂMETROS'!$B$14,"Preferencial",IF(K845&lt;='01_PARÂMETROS'!$B$15,"Baixo",IF(K845&lt;='01_PARÂMETROS'!$B$16,"Médio",IF(K845&lt;='01_PARÂMETROS'!$B$17,"Alto","Elevado"))))</f>
        <v>Baixo</v>
      </c>
      <c r="N845" s="58" t="s">
        <v>486</v>
      </c>
      <c r="O845" s="54"/>
    </row>
    <row r="846" spans="1:15" ht="13.5" customHeight="1" x14ac:dyDescent="0.25">
      <c r="A846" s="13" t="s">
        <v>2038</v>
      </c>
      <c r="B846" s="49" t="s">
        <v>1665</v>
      </c>
      <c r="C846" s="14" t="s">
        <v>2039</v>
      </c>
      <c r="D846" s="50" t="s">
        <v>1969</v>
      </c>
      <c r="E846" s="65" t="s">
        <v>841</v>
      </c>
      <c r="F846" s="54" t="s">
        <v>485</v>
      </c>
      <c r="G846" s="54" t="s">
        <v>485</v>
      </c>
      <c r="H846" s="54" t="s">
        <v>485</v>
      </c>
      <c r="I846" s="43">
        <f>'01_PARÂMETROS'!$B$9</f>
        <v>50</v>
      </c>
      <c r="J846" s="44">
        <f t="shared" si="40"/>
        <v>0.9</v>
      </c>
      <c r="K846" s="62">
        <f>MAX('01_PARÂMETROS'!$B$11,MIN('01_PARÂMETROS'!$B$12,J846))</f>
        <v>0.9</v>
      </c>
      <c r="L846" s="63">
        <f t="shared" si="41"/>
        <v>-9.9999999999999978E-2</v>
      </c>
      <c r="M846" s="17" t="str">
        <f>IF(K846&lt;='01_PARÂMETROS'!$B$14,"Preferencial",IF(K846&lt;='01_PARÂMETROS'!$B$15,"Baixo",IF(K846&lt;='01_PARÂMETROS'!$B$16,"Médio",IF(K846&lt;='01_PARÂMETROS'!$B$17,"Alto","Elevado"))))</f>
        <v>Baixo</v>
      </c>
      <c r="N846" s="58" t="s">
        <v>486</v>
      </c>
      <c r="O846" s="61"/>
    </row>
    <row r="847" spans="1:15" ht="13.5" customHeight="1" x14ac:dyDescent="0.25">
      <c r="A847" s="24" t="s">
        <v>2040</v>
      </c>
      <c r="B847" s="38" t="s">
        <v>1665</v>
      </c>
      <c r="C847" s="25" t="s">
        <v>2041</v>
      </c>
      <c r="D847" s="39" t="s">
        <v>1969</v>
      </c>
      <c r="E847" s="65" t="s">
        <v>841</v>
      </c>
      <c r="F847" s="54" t="s">
        <v>485</v>
      </c>
      <c r="G847" s="54" t="s">
        <v>485</v>
      </c>
      <c r="H847" s="54" t="s">
        <v>485</v>
      </c>
      <c r="I847" s="43">
        <f>'01_PARÂMETROS'!$B$9</f>
        <v>50</v>
      </c>
      <c r="J847" s="44">
        <f t="shared" si="40"/>
        <v>0.9</v>
      </c>
      <c r="K847" s="62">
        <f>MAX('01_PARÂMETROS'!$B$11,MIN('01_PARÂMETROS'!$B$12,J847))</f>
        <v>0.9</v>
      </c>
      <c r="L847" s="63">
        <f t="shared" si="41"/>
        <v>-9.9999999999999978E-2</v>
      </c>
      <c r="M847" s="17" t="str">
        <f>IF(K847&lt;='01_PARÂMETROS'!$B$14,"Preferencial",IF(K847&lt;='01_PARÂMETROS'!$B$15,"Baixo",IF(K847&lt;='01_PARÂMETROS'!$B$16,"Médio",IF(K847&lt;='01_PARÂMETROS'!$B$17,"Alto","Elevado"))))</f>
        <v>Baixo</v>
      </c>
      <c r="N847" s="58" t="s">
        <v>486</v>
      </c>
      <c r="O847" s="54"/>
    </row>
    <row r="848" spans="1:15" ht="13.5" customHeight="1" x14ac:dyDescent="0.25">
      <c r="A848" s="13" t="s">
        <v>2042</v>
      </c>
      <c r="B848" s="49" t="s">
        <v>1665</v>
      </c>
      <c r="C848" s="14" t="s">
        <v>2043</v>
      </c>
      <c r="D848" s="50" t="s">
        <v>1969</v>
      </c>
      <c r="E848" s="65" t="s">
        <v>841</v>
      </c>
      <c r="F848" s="54" t="s">
        <v>485</v>
      </c>
      <c r="G848" s="54" t="s">
        <v>485</v>
      </c>
      <c r="H848" s="54" t="s">
        <v>485</v>
      </c>
      <c r="I848" s="43">
        <f>'01_PARÂMETROS'!$B$9</f>
        <v>50</v>
      </c>
      <c r="J848" s="44">
        <f t="shared" si="40"/>
        <v>0.9</v>
      </c>
      <c r="K848" s="62">
        <f>MAX('01_PARÂMETROS'!$B$11,MIN('01_PARÂMETROS'!$B$12,J848))</f>
        <v>0.9</v>
      </c>
      <c r="L848" s="63">
        <f t="shared" si="41"/>
        <v>-9.9999999999999978E-2</v>
      </c>
      <c r="M848" s="17" t="str">
        <f>IF(K848&lt;='01_PARÂMETROS'!$B$14,"Preferencial",IF(K848&lt;='01_PARÂMETROS'!$B$15,"Baixo",IF(K848&lt;='01_PARÂMETROS'!$B$16,"Médio",IF(K848&lt;='01_PARÂMETROS'!$B$17,"Alto","Elevado"))))</f>
        <v>Baixo</v>
      </c>
      <c r="N848" s="58" t="s">
        <v>486</v>
      </c>
      <c r="O848" s="61"/>
    </row>
    <row r="849" spans="1:15" ht="13.5" customHeight="1" x14ac:dyDescent="0.25">
      <c r="A849" s="24" t="s">
        <v>2044</v>
      </c>
      <c r="B849" s="38" t="s">
        <v>1665</v>
      </c>
      <c r="C849" s="25" t="s">
        <v>2045</v>
      </c>
      <c r="D849" s="39" t="s">
        <v>1969</v>
      </c>
      <c r="E849" s="65" t="s">
        <v>841</v>
      </c>
      <c r="F849" s="54" t="s">
        <v>485</v>
      </c>
      <c r="G849" s="54" t="s">
        <v>485</v>
      </c>
      <c r="H849" s="54" t="s">
        <v>485</v>
      </c>
      <c r="I849" s="43">
        <f>'01_PARÂMETROS'!$B$9</f>
        <v>50</v>
      </c>
      <c r="J849" s="44">
        <f t="shared" si="40"/>
        <v>0.9</v>
      </c>
      <c r="K849" s="62">
        <f>MAX('01_PARÂMETROS'!$B$11,MIN('01_PARÂMETROS'!$B$12,J849))</f>
        <v>0.9</v>
      </c>
      <c r="L849" s="63">
        <f t="shared" si="41"/>
        <v>-9.9999999999999978E-2</v>
      </c>
      <c r="M849" s="17" t="str">
        <f>IF(K849&lt;='01_PARÂMETROS'!$B$14,"Preferencial",IF(K849&lt;='01_PARÂMETROS'!$B$15,"Baixo",IF(K849&lt;='01_PARÂMETROS'!$B$16,"Médio",IF(K849&lt;='01_PARÂMETROS'!$B$17,"Alto","Elevado"))))</f>
        <v>Baixo</v>
      </c>
      <c r="N849" s="58" t="s">
        <v>486</v>
      </c>
      <c r="O849" s="54"/>
    </row>
    <row r="850" spans="1:15" ht="13.5" customHeight="1" x14ac:dyDescent="0.25">
      <c r="A850" s="13" t="s">
        <v>2046</v>
      </c>
      <c r="B850" s="49" t="s">
        <v>1665</v>
      </c>
      <c r="C850" s="14" t="s">
        <v>2047</v>
      </c>
      <c r="D850" s="50" t="s">
        <v>1969</v>
      </c>
      <c r="E850" s="65" t="s">
        <v>841</v>
      </c>
      <c r="F850" s="54" t="s">
        <v>485</v>
      </c>
      <c r="G850" s="54" t="s">
        <v>485</v>
      </c>
      <c r="H850" s="54" t="s">
        <v>485</v>
      </c>
      <c r="I850" s="43">
        <f>'01_PARÂMETROS'!$B$9</f>
        <v>50</v>
      </c>
      <c r="J850" s="44">
        <f t="shared" si="40"/>
        <v>0.9</v>
      </c>
      <c r="K850" s="62">
        <f>MAX('01_PARÂMETROS'!$B$11,MIN('01_PARÂMETROS'!$B$12,J850))</f>
        <v>0.9</v>
      </c>
      <c r="L850" s="63">
        <f t="shared" si="41"/>
        <v>-9.9999999999999978E-2</v>
      </c>
      <c r="M850" s="17" t="str">
        <f>IF(K850&lt;='01_PARÂMETROS'!$B$14,"Preferencial",IF(K850&lt;='01_PARÂMETROS'!$B$15,"Baixo",IF(K850&lt;='01_PARÂMETROS'!$B$16,"Médio",IF(K850&lt;='01_PARÂMETROS'!$B$17,"Alto","Elevado"))))</f>
        <v>Baixo</v>
      </c>
      <c r="N850" s="58" t="s">
        <v>486</v>
      </c>
      <c r="O850" s="61"/>
    </row>
    <row r="851" spans="1:15" ht="13.5" customHeight="1" x14ac:dyDescent="0.25">
      <c r="A851" s="24" t="s">
        <v>2048</v>
      </c>
      <c r="B851" s="38" t="s">
        <v>1665</v>
      </c>
      <c r="C851" s="25" t="s">
        <v>2049</v>
      </c>
      <c r="D851" s="39" t="s">
        <v>1969</v>
      </c>
      <c r="E851" s="65" t="s">
        <v>841</v>
      </c>
      <c r="F851" s="54" t="s">
        <v>485</v>
      </c>
      <c r="G851" s="54" t="s">
        <v>485</v>
      </c>
      <c r="H851" s="54" t="s">
        <v>485</v>
      </c>
      <c r="I851" s="43">
        <f>'01_PARÂMETROS'!$B$9</f>
        <v>50</v>
      </c>
      <c r="J851" s="44">
        <f t="shared" si="40"/>
        <v>0.9</v>
      </c>
      <c r="K851" s="62">
        <f>MAX('01_PARÂMETROS'!$B$11,MIN('01_PARÂMETROS'!$B$12,J851))</f>
        <v>0.9</v>
      </c>
      <c r="L851" s="63">
        <f t="shared" si="41"/>
        <v>-9.9999999999999978E-2</v>
      </c>
      <c r="M851" s="17" t="str">
        <f>IF(K851&lt;='01_PARÂMETROS'!$B$14,"Preferencial",IF(K851&lt;='01_PARÂMETROS'!$B$15,"Baixo",IF(K851&lt;='01_PARÂMETROS'!$B$16,"Médio",IF(K851&lt;='01_PARÂMETROS'!$B$17,"Alto","Elevado"))))</f>
        <v>Baixo</v>
      </c>
      <c r="N851" s="58" t="s">
        <v>486</v>
      </c>
      <c r="O851" s="54"/>
    </row>
    <row r="852" spans="1:15" ht="13.5" customHeight="1" x14ac:dyDescent="0.25">
      <c r="A852" s="13" t="s">
        <v>2050</v>
      </c>
      <c r="B852" s="49" t="s">
        <v>1665</v>
      </c>
      <c r="C852" s="14" t="s">
        <v>2051</v>
      </c>
      <c r="D852" s="50" t="s">
        <v>1969</v>
      </c>
      <c r="E852" s="65" t="s">
        <v>841</v>
      </c>
      <c r="F852" s="54" t="s">
        <v>485</v>
      </c>
      <c r="G852" s="54" t="s">
        <v>485</v>
      </c>
      <c r="H852" s="54" t="s">
        <v>485</v>
      </c>
      <c r="I852" s="43">
        <f>'01_PARÂMETROS'!$B$9</f>
        <v>50</v>
      </c>
      <c r="J852" s="44">
        <f t="shared" si="40"/>
        <v>0.9</v>
      </c>
      <c r="K852" s="62">
        <f>MAX('01_PARÂMETROS'!$B$11,MIN('01_PARÂMETROS'!$B$12,J852))</f>
        <v>0.9</v>
      </c>
      <c r="L852" s="63">
        <f t="shared" si="41"/>
        <v>-9.9999999999999978E-2</v>
      </c>
      <c r="M852" s="17" t="str">
        <f>IF(K852&lt;='01_PARÂMETROS'!$B$14,"Preferencial",IF(K852&lt;='01_PARÂMETROS'!$B$15,"Baixo",IF(K852&lt;='01_PARÂMETROS'!$B$16,"Médio",IF(K852&lt;='01_PARÂMETROS'!$B$17,"Alto","Elevado"))))</f>
        <v>Baixo</v>
      </c>
      <c r="N852" s="58" t="s">
        <v>486</v>
      </c>
      <c r="O852" s="61"/>
    </row>
    <row r="853" spans="1:15" ht="13.5" customHeight="1" x14ac:dyDescent="0.25">
      <c r="A853" s="24" t="s">
        <v>2052</v>
      </c>
      <c r="B853" s="38" t="s">
        <v>1665</v>
      </c>
      <c r="C853" s="25" t="s">
        <v>2053</v>
      </c>
      <c r="D853" s="39" t="s">
        <v>1969</v>
      </c>
      <c r="E853" s="65" t="s">
        <v>841</v>
      </c>
      <c r="F853" s="54" t="s">
        <v>485</v>
      </c>
      <c r="G853" s="54" t="s">
        <v>485</v>
      </c>
      <c r="H853" s="54" t="s">
        <v>485</v>
      </c>
      <c r="I853" s="43">
        <f>'01_PARÂMETROS'!$B$9</f>
        <v>50</v>
      </c>
      <c r="J853" s="44">
        <f t="shared" si="40"/>
        <v>0.9</v>
      </c>
      <c r="K853" s="62">
        <f>MAX('01_PARÂMETROS'!$B$11,MIN('01_PARÂMETROS'!$B$12,J853))</f>
        <v>0.9</v>
      </c>
      <c r="L853" s="63">
        <f t="shared" si="41"/>
        <v>-9.9999999999999978E-2</v>
      </c>
      <c r="M853" s="17" t="str">
        <f>IF(K853&lt;='01_PARÂMETROS'!$B$14,"Preferencial",IF(K853&lt;='01_PARÂMETROS'!$B$15,"Baixo",IF(K853&lt;='01_PARÂMETROS'!$B$16,"Médio",IF(K853&lt;='01_PARÂMETROS'!$B$17,"Alto","Elevado"))))</f>
        <v>Baixo</v>
      </c>
      <c r="N853" s="58" t="s">
        <v>486</v>
      </c>
      <c r="O853" s="54"/>
    </row>
    <row r="854" spans="1:15" ht="13.5" customHeight="1" x14ac:dyDescent="0.25">
      <c r="A854" s="13" t="s">
        <v>2054</v>
      </c>
      <c r="B854" s="49" t="s">
        <v>1665</v>
      </c>
      <c r="C854" s="14" t="s">
        <v>2055</v>
      </c>
      <c r="D854" s="50" t="s">
        <v>1969</v>
      </c>
      <c r="E854" s="65" t="s">
        <v>841</v>
      </c>
      <c r="F854" s="54" t="s">
        <v>485</v>
      </c>
      <c r="G854" s="54" t="s">
        <v>485</v>
      </c>
      <c r="H854" s="54" t="s">
        <v>485</v>
      </c>
      <c r="I854" s="43">
        <f>'01_PARÂMETROS'!$B$9</f>
        <v>50</v>
      </c>
      <c r="J854" s="44">
        <f t="shared" si="40"/>
        <v>0.9</v>
      </c>
      <c r="K854" s="62">
        <f>MAX('01_PARÂMETROS'!$B$11,MIN('01_PARÂMETROS'!$B$12,J854))</f>
        <v>0.9</v>
      </c>
      <c r="L854" s="63">
        <f t="shared" si="41"/>
        <v>-9.9999999999999978E-2</v>
      </c>
      <c r="M854" s="17" t="str">
        <f>IF(K854&lt;='01_PARÂMETROS'!$B$14,"Preferencial",IF(K854&lt;='01_PARÂMETROS'!$B$15,"Baixo",IF(K854&lt;='01_PARÂMETROS'!$B$16,"Médio",IF(K854&lt;='01_PARÂMETROS'!$B$17,"Alto","Elevado"))))</f>
        <v>Baixo</v>
      </c>
      <c r="N854" s="58" t="s">
        <v>486</v>
      </c>
      <c r="O854" s="61"/>
    </row>
    <row r="855" spans="1:15" ht="13.5" customHeight="1" x14ac:dyDescent="0.25">
      <c r="A855" s="24" t="s">
        <v>2056</v>
      </c>
      <c r="B855" s="38" t="s">
        <v>1665</v>
      </c>
      <c r="C855" s="25" t="s">
        <v>2057</v>
      </c>
      <c r="D855" s="39" t="s">
        <v>1969</v>
      </c>
      <c r="E855" s="65" t="s">
        <v>841</v>
      </c>
      <c r="F855" s="54" t="s">
        <v>485</v>
      </c>
      <c r="G855" s="54" t="s">
        <v>485</v>
      </c>
      <c r="H855" s="54" t="s">
        <v>485</v>
      </c>
      <c r="I855" s="43">
        <f>'01_PARÂMETROS'!$B$9</f>
        <v>50</v>
      </c>
      <c r="J855" s="44">
        <f t="shared" si="40"/>
        <v>0.9</v>
      </c>
      <c r="K855" s="62">
        <f>MAX('01_PARÂMETROS'!$B$11,MIN('01_PARÂMETROS'!$B$12,J855))</f>
        <v>0.9</v>
      </c>
      <c r="L855" s="63">
        <f t="shared" si="41"/>
        <v>-9.9999999999999978E-2</v>
      </c>
      <c r="M855" s="17" t="str">
        <f>IF(K855&lt;='01_PARÂMETROS'!$B$14,"Preferencial",IF(K855&lt;='01_PARÂMETROS'!$B$15,"Baixo",IF(K855&lt;='01_PARÂMETROS'!$B$16,"Médio",IF(K855&lt;='01_PARÂMETROS'!$B$17,"Alto","Elevado"))))</f>
        <v>Baixo</v>
      </c>
      <c r="N855" s="58" t="s">
        <v>486</v>
      </c>
      <c r="O855" s="54"/>
    </row>
    <row r="856" spans="1:15" ht="13.5" customHeight="1" x14ac:dyDescent="0.25">
      <c r="A856" s="13" t="s">
        <v>2058</v>
      </c>
      <c r="B856" s="49" t="s">
        <v>1665</v>
      </c>
      <c r="C856" s="14" t="s">
        <v>2059</v>
      </c>
      <c r="D856" s="50" t="s">
        <v>1969</v>
      </c>
      <c r="E856" s="65" t="s">
        <v>841</v>
      </c>
      <c r="F856" s="54" t="s">
        <v>485</v>
      </c>
      <c r="G856" s="54" t="s">
        <v>485</v>
      </c>
      <c r="H856" s="54" t="s">
        <v>485</v>
      </c>
      <c r="I856" s="43">
        <f>'01_PARÂMETROS'!$B$9</f>
        <v>50</v>
      </c>
      <c r="J856" s="44">
        <f t="shared" si="40"/>
        <v>0.9</v>
      </c>
      <c r="K856" s="62">
        <f>MAX('01_PARÂMETROS'!$B$11,MIN('01_PARÂMETROS'!$B$12,J856))</f>
        <v>0.9</v>
      </c>
      <c r="L856" s="63">
        <f t="shared" si="41"/>
        <v>-9.9999999999999978E-2</v>
      </c>
      <c r="M856" s="17" t="str">
        <f>IF(K856&lt;='01_PARÂMETROS'!$B$14,"Preferencial",IF(K856&lt;='01_PARÂMETROS'!$B$15,"Baixo",IF(K856&lt;='01_PARÂMETROS'!$B$16,"Médio",IF(K856&lt;='01_PARÂMETROS'!$B$17,"Alto","Elevado"))))</f>
        <v>Baixo</v>
      </c>
      <c r="N856" s="58" t="s">
        <v>486</v>
      </c>
      <c r="O856" s="61"/>
    </row>
    <row r="857" spans="1:15" ht="13.5" customHeight="1" x14ac:dyDescent="0.25">
      <c r="A857" s="24" t="s">
        <v>2060</v>
      </c>
      <c r="B857" s="38" t="s">
        <v>1665</v>
      </c>
      <c r="C857" s="25" t="s">
        <v>2061</v>
      </c>
      <c r="D857" s="39" t="s">
        <v>1969</v>
      </c>
      <c r="E857" s="65" t="s">
        <v>841</v>
      </c>
      <c r="F857" s="54" t="s">
        <v>485</v>
      </c>
      <c r="G857" s="54" t="s">
        <v>485</v>
      </c>
      <c r="H857" s="54" t="s">
        <v>485</v>
      </c>
      <c r="I857" s="43">
        <f>'01_PARÂMETROS'!$B$9</f>
        <v>50</v>
      </c>
      <c r="J857" s="44">
        <f t="shared" si="40"/>
        <v>0.9</v>
      </c>
      <c r="K857" s="62">
        <f>MAX('01_PARÂMETROS'!$B$11,MIN('01_PARÂMETROS'!$B$12,J857))</f>
        <v>0.9</v>
      </c>
      <c r="L857" s="63">
        <f t="shared" si="41"/>
        <v>-9.9999999999999978E-2</v>
      </c>
      <c r="M857" s="17" t="str">
        <f>IF(K857&lt;='01_PARÂMETROS'!$B$14,"Preferencial",IF(K857&lt;='01_PARÂMETROS'!$B$15,"Baixo",IF(K857&lt;='01_PARÂMETROS'!$B$16,"Médio",IF(K857&lt;='01_PARÂMETROS'!$B$17,"Alto","Elevado"))))</f>
        <v>Baixo</v>
      </c>
      <c r="N857" s="58" t="s">
        <v>486</v>
      </c>
      <c r="O857" s="54"/>
    </row>
    <row r="858" spans="1:15" ht="13.5" customHeight="1" x14ac:dyDescent="0.25">
      <c r="A858" s="13" t="s">
        <v>2062</v>
      </c>
      <c r="B858" s="49" t="s">
        <v>1665</v>
      </c>
      <c r="C858" s="14" t="s">
        <v>2063</v>
      </c>
      <c r="D858" s="50" t="s">
        <v>1969</v>
      </c>
      <c r="E858" s="65" t="s">
        <v>841</v>
      </c>
      <c r="F858" s="54" t="s">
        <v>485</v>
      </c>
      <c r="G858" s="54" t="s">
        <v>485</v>
      </c>
      <c r="H858" s="54" t="s">
        <v>485</v>
      </c>
      <c r="I858" s="43">
        <f>'01_PARÂMETROS'!$B$9</f>
        <v>50</v>
      </c>
      <c r="J858" s="44">
        <f t="shared" si="40"/>
        <v>0.9</v>
      </c>
      <c r="K858" s="62">
        <f>MAX('01_PARÂMETROS'!$B$11,MIN('01_PARÂMETROS'!$B$12,J858))</f>
        <v>0.9</v>
      </c>
      <c r="L858" s="63">
        <f t="shared" si="41"/>
        <v>-9.9999999999999978E-2</v>
      </c>
      <c r="M858" s="17" t="str">
        <f>IF(K858&lt;='01_PARÂMETROS'!$B$14,"Preferencial",IF(K858&lt;='01_PARÂMETROS'!$B$15,"Baixo",IF(K858&lt;='01_PARÂMETROS'!$B$16,"Médio",IF(K858&lt;='01_PARÂMETROS'!$B$17,"Alto","Elevado"))))</f>
        <v>Baixo</v>
      </c>
      <c r="N858" s="58" t="s">
        <v>486</v>
      </c>
      <c r="O858" s="61"/>
    </row>
    <row r="859" spans="1:15" ht="13.5" customHeight="1" x14ac:dyDescent="0.25">
      <c r="A859" s="24" t="s">
        <v>2064</v>
      </c>
      <c r="B859" s="38" t="s">
        <v>1665</v>
      </c>
      <c r="C859" s="25" t="s">
        <v>2065</v>
      </c>
      <c r="D859" s="39" t="s">
        <v>1969</v>
      </c>
      <c r="E859" s="65" t="s">
        <v>841</v>
      </c>
      <c r="F859" s="54" t="s">
        <v>485</v>
      </c>
      <c r="G859" s="54" t="s">
        <v>485</v>
      </c>
      <c r="H859" s="54" t="s">
        <v>485</v>
      </c>
      <c r="I859" s="43">
        <f>'01_PARÂMETROS'!$B$9</f>
        <v>50</v>
      </c>
      <c r="J859" s="44">
        <f t="shared" si="40"/>
        <v>0.9</v>
      </c>
      <c r="K859" s="62">
        <f>MAX('01_PARÂMETROS'!$B$11,MIN('01_PARÂMETROS'!$B$12,J859))</f>
        <v>0.9</v>
      </c>
      <c r="L859" s="63">
        <f t="shared" si="41"/>
        <v>-9.9999999999999978E-2</v>
      </c>
      <c r="M859" s="17" t="str">
        <f>IF(K859&lt;='01_PARÂMETROS'!$B$14,"Preferencial",IF(K859&lt;='01_PARÂMETROS'!$B$15,"Baixo",IF(K859&lt;='01_PARÂMETROS'!$B$16,"Médio",IF(K859&lt;='01_PARÂMETROS'!$B$17,"Alto","Elevado"))))</f>
        <v>Baixo</v>
      </c>
      <c r="N859" s="58" t="s">
        <v>486</v>
      </c>
      <c r="O859" s="54"/>
    </row>
    <row r="860" spans="1:15" ht="13.5" customHeight="1" x14ac:dyDescent="0.25">
      <c r="A860" s="13" t="s">
        <v>2066</v>
      </c>
      <c r="B860" s="49" t="s">
        <v>1665</v>
      </c>
      <c r="C860" s="14" t="s">
        <v>2067</v>
      </c>
      <c r="D860" s="50" t="s">
        <v>1969</v>
      </c>
      <c r="E860" s="65" t="s">
        <v>841</v>
      </c>
      <c r="F860" s="54" t="s">
        <v>485</v>
      </c>
      <c r="G860" s="54" t="s">
        <v>485</v>
      </c>
      <c r="H860" s="54" t="s">
        <v>485</v>
      </c>
      <c r="I860" s="43">
        <f>'01_PARÂMETROS'!$B$9</f>
        <v>50</v>
      </c>
      <c r="J860" s="44">
        <f t="shared" si="40"/>
        <v>0.9</v>
      </c>
      <c r="K860" s="62">
        <f>MAX('01_PARÂMETROS'!$B$11,MIN('01_PARÂMETROS'!$B$12,J860))</f>
        <v>0.9</v>
      </c>
      <c r="L860" s="63">
        <f t="shared" si="41"/>
        <v>-9.9999999999999978E-2</v>
      </c>
      <c r="M860" s="17" t="str">
        <f>IF(K860&lt;='01_PARÂMETROS'!$B$14,"Preferencial",IF(K860&lt;='01_PARÂMETROS'!$B$15,"Baixo",IF(K860&lt;='01_PARÂMETROS'!$B$16,"Médio",IF(K860&lt;='01_PARÂMETROS'!$B$17,"Alto","Elevado"))))</f>
        <v>Baixo</v>
      </c>
      <c r="N860" s="58" t="s">
        <v>486</v>
      </c>
      <c r="O860" s="61"/>
    </row>
    <row r="861" spans="1:15" ht="13.5" customHeight="1" x14ac:dyDescent="0.25">
      <c r="A861" s="24" t="s">
        <v>2068</v>
      </c>
      <c r="B861" s="38" t="s">
        <v>1665</v>
      </c>
      <c r="C861" s="25" t="s">
        <v>2069</v>
      </c>
      <c r="D861" s="39" t="s">
        <v>1969</v>
      </c>
      <c r="E861" s="65" t="s">
        <v>841</v>
      </c>
      <c r="F861" s="54" t="s">
        <v>485</v>
      </c>
      <c r="G861" s="54" t="s">
        <v>485</v>
      </c>
      <c r="H861" s="54" t="s">
        <v>485</v>
      </c>
      <c r="I861" s="43">
        <f>'01_PARÂMETROS'!$B$9</f>
        <v>50</v>
      </c>
      <c r="J861" s="44">
        <f t="shared" ref="J861:J886" si="42">0.9</f>
        <v>0.9</v>
      </c>
      <c r="K861" s="62">
        <f>MAX('01_PARÂMETROS'!$B$11,MIN('01_PARÂMETROS'!$B$12,J861))</f>
        <v>0.9</v>
      </c>
      <c r="L861" s="63">
        <f t="shared" si="41"/>
        <v>-9.9999999999999978E-2</v>
      </c>
      <c r="M861" s="17" t="str">
        <f>IF(K861&lt;='01_PARÂMETROS'!$B$14,"Preferencial",IF(K861&lt;='01_PARÂMETROS'!$B$15,"Baixo",IF(K861&lt;='01_PARÂMETROS'!$B$16,"Médio",IF(K861&lt;='01_PARÂMETROS'!$B$17,"Alto","Elevado"))))</f>
        <v>Baixo</v>
      </c>
      <c r="N861" s="58" t="s">
        <v>486</v>
      </c>
      <c r="O861" s="54"/>
    </row>
    <row r="862" spans="1:15" ht="13.5" customHeight="1" x14ac:dyDescent="0.25">
      <c r="A862" s="13" t="s">
        <v>2070</v>
      </c>
      <c r="B862" s="49" t="s">
        <v>1665</v>
      </c>
      <c r="C862" s="14" t="s">
        <v>2071</v>
      </c>
      <c r="D862" s="50" t="s">
        <v>1969</v>
      </c>
      <c r="E862" s="65" t="s">
        <v>841</v>
      </c>
      <c r="F862" s="54" t="s">
        <v>485</v>
      </c>
      <c r="G862" s="54" t="s">
        <v>485</v>
      </c>
      <c r="H862" s="54" t="s">
        <v>485</v>
      </c>
      <c r="I862" s="43">
        <f>'01_PARÂMETROS'!$B$9</f>
        <v>50</v>
      </c>
      <c r="J862" s="44">
        <f t="shared" si="42"/>
        <v>0.9</v>
      </c>
      <c r="K862" s="62">
        <f>MAX('01_PARÂMETROS'!$B$11,MIN('01_PARÂMETROS'!$B$12,J862))</f>
        <v>0.9</v>
      </c>
      <c r="L862" s="63">
        <f t="shared" si="41"/>
        <v>-9.9999999999999978E-2</v>
      </c>
      <c r="M862" s="17" t="str">
        <f>IF(K862&lt;='01_PARÂMETROS'!$B$14,"Preferencial",IF(K862&lt;='01_PARÂMETROS'!$B$15,"Baixo",IF(K862&lt;='01_PARÂMETROS'!$B$16,"Médio",IF(K862&lt;='01_PARÂMETROS'!$B$17,"Alto","Elevado"))))</f>
        <v>Baixo</v>
      </c>
      <c r="N862" s="58" t="s">
        <v>486</v>
      </c>
      <c r="O862" s="61"/>
    </row>
    <row r="863" spans="1:15" ht="13.5" customHeight="1" x14ac:dyDescent="0.25">
      <c r="A863" s="24" t="s">
        <v>2072</v>
      </c>
      <c r="B863" s="38" t="s">
        <v>1665</v>
      </c>
      <c r="C863" s="25" t="s">
        <v>2073</v>
      </c>
      <c r="D863" s="39" t="s">
        <v>1969</v>
      </c>
      <c r="E863" s="65" t="s">
        <v>841</v>
      </c>
      <c r="F863" s="54" t="s">
        <v>485</v>
      </c>
      <c r="G863" s="54" t="s">
        <v>485</v>
      </c>
      <c r="H863" s="54" t="s">
        <v>485</v>
      </c>
      <c r="I863" s="43">
        <f>'01_PARÂMETROS'!$B$9</f>
        <v>50</v>
      </c>
      <c r="J863" s="44">
        <f t="shared" si="42"/>
        <v>0.9</v>
      </c>
      <c r="K863" s="62">
        <f>MAX('01_PARÂMETROS'!$B$11,MIN('01_PARÂMETROS'!$B$12,J863))</f>
        <v>0.9</v>
      </c>
      <c r="L863" s="63">
        <f t="shared" si="41"/>
        <v>-9.9999999999999978E-2</v>
      </c>
      <c r="M863" s="17" t="str">
        <f>IF(K863&lt;='01_PARÂMETROS'!$B$14,"Preferencial",IF(K863&lt;='01_PARÂMETROS'!$B$15,"Baixo",IF(K863&lt;='01_PARÂMETROS'!$B$16,"Médio",IF(K863&lt;='01_PARÂMETROS'!$B$17,"Alto","Elevado"))))</f>
        <v>Baixo</v>
      </c>
      <c r="N863" s="58" t="s">
        <v>486</v>
      </c>
      <c r="O863" s="54"/>
    </row>
    <row r="864" spans="1:15" ht="13.5" customHeight="1" x14ac:dyDescent="0.25">
      <c r="A864" s="13" t="s">
        <v>2074</v>
      </c>
      <c r="B864" s="49" t="s">
        <v>1665</v>
      </c>
      <c r="C864" s="14" t="s">
        <v>2075</v>
      </c>
      <c r="D864" s="50" t="s">
        <v>1969</v>
      </c>
      <c r="E864" s="65" t="s">
        <v>841</v>
      </c>
      <c r="F864" s="54" t="s">
        <v>485</v>
      </c>
      <c r="G864" s="54" t="s">
        <v>485</v>
      </c>
      <c r="H864" s="54" t="s">
        <v>485</v>
      </c>
      <c r="I864" s="43">
        <f>'01_PARÂMETROS'!$B$9</f>
        <v>50</v>
      </c>
      <c r="J864" s="44">
        <f t="shared" si="42"/>
        <v>0.9</v>
      </c>
      <c r="K864" s="62">
        <f>MAX('01_PARÂMETROS'!$B$11,MIN('01_PARÂMETROS'!$B$12,J864))</f>
        <v>0.9</v>
      </c>
      <c r="L864" s="63">
        <f t="shared" si="41"/>
        <v>-9.9999999999999978E-2</v>
      </c>
      <c r="M864" s="17" t="str">
        <f>IF(K864&lt;='01_PARÂMETROS'!$B$14,"Preferencial",IF(K864&lt;='01_PARÂMETROS'!$B$15,"Baixo",IF(K864&lt;='01_PARÂMETROS'!$B$16,"Médio",IF(K864&lt;='01_PARÂMETROS'!$B$17,"Alto","Elevado"))))</f>
        <v>Baixo</v>
      </c>
      <c r="N864" s="58" t="s">
        <v>486</v>
      </c>
      <c r="O864" s="61"/>
    </row>
    <row r="865" spans="1:15" ht="13.5" customHeight="1" x14ac:dyDescent="0.25">
      <c r="A865" s="24" t="s">
        <v>2076</v>
      </c>
      <c r="B865" s="38" t="s">
        <v>1665</v>
      </c>
      <c r="C865" s="25" t="s">
        <v>2077</v>
      </c>
      <c r="D865" s="39" t="s">
        <v>1969</v>
      </c>
      <c r="E865" s="65" t="s">
        <v>841</v>
      </c>
      <c r="F865" s="54" t="s">
        <v>485</v>
      </c>
      <c r="G865" s="54" t="s">
        <v>485</v>
      </c>
      <c r="H865" s="54" t="s">
        <v>485</v>
      </c>
      <c r="I865" s="43">
        <f>'01_PARÂMETROS'!$B$9</f>
        <v>50</v>
      </c>
      <c r="J865" s="44">
        <f t="shared" si="42"/>
        <v>0.9</v>
      </c>
      <c r="K865" s="62">
        <f>MAX('01_PARÂMETROS'!$B$11,MIN('01_PARÂMETROS'!$B$12,J865))</f>
        <v>0.9</v>
      </c>
      <c r="L865" s="63">
        <f t="shared" si="41"/>
        <v>-9.9999999999999978E-2</v>
      </c>
      <c r="M865" s="17" t="str">
        <f>IF(K865&lt;='01_PARÂMETROS'!$B$14,"Preferencial",IF(K865&lt;='01_PARÂMETROS'!$B$15,"Baixo",IF(K865&lt;='01_PARÂMETROS'!$B$16,"Médio",IF(K865&lt;='01_PARÂMETROS'!$B$17,"Alto","Elevado"))))</f>
        <v>Baixo</v>
      </c>
      <c r="N865" s="58" t="s">
        <v>486</v>
      </c>
      <c r="O865" s="54"/>
    </row>
    <row r="866" spans="1:15" ht="13.5" customHeight="1" x14ac:dyDescent="0.25">
      <c r="A866" s="13" t="s">
        <v>2078</v>
      </c>
      <c r="B866" s="49" t="s">
        <v>1665</v>
      </c>
      <c r="C866" s="14" t="s">
        <v>2079</v>
      </c>
      <c r="D866" s="50" t="s">
        <v>1969</v>
      </c>
      <c r="E866" s="65" t="s">
        <v>841</v>
      </c>
      <c r="F866" s="54" t="s">
        <v>485</v>
      </c>
      <c r="G866" s="54" t="s">
        <v>485</v>
      </c>
      <c r="H866" s="54" t="s">
        <v>485</v>
      </c>
      <c r="I866" s="43">
        <f>'01_PARÂMETROS'!$B$9</f>
        <v>50</v>
      </c>
      <c r="J866" s="44">
        <f t="shared" si="42"/>
        <v>0.9</v>
      </c>
      <c r="K866" s="62">
        <f>MAX('01_PARÂMETROS'!$B$11,MIN('01_PARÂMETROS'!$B$12,J866))</f>
        <v>0.9</v>
      </c>
      <c r="L866" s="63">
        <f t="shared" si="41"/>
        <v>-9.9999999999999978E-2</v>
      </c>
      <c r="M866" s="17" t="str">
        <f>IF(K866&lt;='01_PARÂMETROS'!$B$14,"Preferencial",IF(K866&lt;='01_PARÂMETROS'!$B$15,"Baixo",IF(K866&lt;='01_PARÂMETROS'!$B$16,"Médio",IF(K866&lt;='01_PARÂMETROS'!$B$17,"Alto","Elevado"))))</f>
        <v>Baixo</v>
      </c>
      <c r="N866" s="58" t="s">
        <v>486</v>
      </c>
      <c r="O866" s="61"/>
    </row>
    <row r="867" spans="1:15" ht="13.5" customHeight="1" x14ac:dyDescent="0.25">
      <c r="A867" s="24" t="s">
        <v>2080</v>
      </c>
      <c r="B867" s="38" t="s">
        <v>1665</v>
      </c>
      <c r="C867" s="25" t="s">
        <v>2081</v>
      </c>
      <c r="D867" s="39" t="s">
        <v>1969</v>
      </c>
      <c r="E867" s="65" t="s">
        <v>841</v>
      </c>
      <c r="F867" s="54" t="s">
        <v>485</v>
      </c>
      <c r="G867" s="54" t="s">
        <v>485</v>
      </c>
      <c r="H867" s="54" t="s">
        <v>485</v>
      </c>
      <c r="I867" s="43">
        <f>'01_PARÂMETROS'!$B$9</f>
        <v>50</v>
      </c>
      <c r="J867" s="44">
        <f t="shared" si="42"/>
        <v>0.9</v>
      </c>
      <c r="K867" s="62">
        <f>MAX('01_PARÂMETROS'!$B$11,MIN('01_PARÂMETROS'!$B$12,J867))</f>
        <v>0.9</v>
      </c>
      <c r="L867" s="63">
        <f t="shared" si="41"/>
        <v>-9.9999999999999978E-2</v>
      </c>
      <c r="M867" s="17" t="str">
        <f>IF(K867&lt;='01_PARÂMETROS'!$B$14,"Preferencial",IF(K867&lt;='01_PARÂMETROS'!$B$15,"Baixo",IF(K867&lt;='01_PARÂMETROS'!$B$16,"Médio",IF(K867&lt;='01_PARÂMETROS'!$B$17,"Alto","Elevado"))))</f>
        <v>Baixo</v>
      </c>
      <c r="N867" s="58" t="s">
        <v>486</v>
      </c>
      <c r="O867" s="54"/>
    </row>
    <row r="868" spans="1:15" ht="13.5" customHeight="1" x14ac:dyDescent="0.25">
      <c r="A868" s="13" t="s">
        <v>2082</v>
      </c>
      <c r="B868" s="49" t="s">
        <v>1665</v>
      </c>
      <c r="C868" s="14" t="s">
        <v>2083</v>
      </c>
      <c r="D868" s="50" t="s">
        <v>1969</v>
      </c>
      <c r="E868" s="65" t="s">
        <v>841</v>
      </c>
      <c r="F868" s="54" t="s">
        <v>485</v>
      </c>
      <c r="G868" s="54" t="s">
        <v>485</v>
      </c>
      <c r="H868" s="54" t="s">
        <v>485</v>
      </c>
      <c r="I868" s="43">
        <f>'01_PARÂMETROS'!$B$9</f>
        <v>50</v>
      </c>
      <c r="J868" s="44">
        <f t="shared" si="42"/>
        <v>0.9</v>
      </c>
      <c r="K868" s="62">
        <f>MAX('01_PARÂMETROS'!$B$11,MIN('01_PARÂMETROS'!$B$12,J868))</f>
        <v>0.9</v>
      </c>
      <c r="L868" s="63">
        <f t="shared" si="41"/>
        <v>-9.9999999999999978E-2</v>
      </c>
      <c r="M868" s="17" t="str">
        <f>IF(K868&lt;='01_PARÂMETROS'!$B$14,"Preferencial",IF(K868&lt;='01_PARÂMETROS'!$B$15,"Baixo",IF(K868&lt;='01_PARÂMETROS'!$B$16,"Médio",IF(K868&lt;='01_PARÂMETROS'!$B$17,"Alto","Elevado"))))</f>
        <v>Baixo</v>
      </c>
      <c r="N868" s="58" t="s">
        <v>486</v>
      </c>
      <c r="O868" s="61"/>
    </row>
    <row r="869" spans="1:15" ht="13.5" customHeight="1" x14ac:dyDescent="0.25">
      <c r="A869" s="24" t="s">
        <v>2084</v>
      </c>
      <c r="B869" s="38" t="s">
        <v>1665</v>
      </c>
      <c r="C869" s="25" t="s">
        <v>2085</v>
      </c>
      <c r="D869" s="39" t="s">
        <v>1969</v>
      </c>
      <c r="E869" s="65" t="s">
        <v>841</v>
      </c>
      <c r="F869" s="54" t="s">
        <v>485</v>
      </c>
      <c r="G869" s="54" t="s">
        <v>485</v>
      </c>
      <c r="H869" s="54" t="s">
        <v>485</v>
      </c>
      <c r="I869" s="43">
        <f>'01_PARÂMETROS'!$B$9</f>
        <v>50</v>
      </c>
      <c r="J869" s="44">
        <f t="shared" si="42"/>
        <v>0.9</v>
      </c>
      <c r="K869" s="62">
        <f>MAX('01_PARÂMETROS'!$B$11,MIN('01_PARÂMETROS'!$B$12,J869))</f>
        <v>0.9</v>
      </c>
      <c r="L869" s="63">
        <f t="shared" si="41"/>
        <v>-9.9999999999999978E-2</v>
      </c>
      <c r="M869" s="17" t="str">
        <f>IF(K869&lt;='01_PARÂMETROS'!$B$14,"Preferencial",IF(K869&lt;='01_PARÂMETROS'!$B$15,"Baixo",IF(K869&lt;='01_PARÂMETROS'!$B$16,"Médio",IF(K869&lt;='01_PARÂMETROS'!$B$17,"Alto","Elevado"))))</f>
        <v>Baixo</v>
      </c>
      <c r="N869" s="58" t="s">
        <v>486</v>
      </c>
      <c r="O869" s="54"/>
    </row>
    <row r="870" spans="1:15" ht="13.5" customHeight="1" x14ac:dyDescent="0.25">
      <c r="A870" s="13" t="s">
        <v>2086</v>
      </c>
      <c r="B870" s="49" t="s">
        <v>1665</v>
      </c>
      <c r="C870" s="14" t="s">
        <v>2087</v>
      </c>
      <c r="D870" s="50" t="s">
        <v>1969</v>
      </c>
      <c r="E870" s="65" t="s">
        <v>841</v>
      </c>
      <c r="F870" s="54" t="s">
        <v>485</v>
      </c>
      <c r="G870" s="54" t="s">
        <v>485</v>
      </c>
      <c r="H870" s="54" t="s">
        <v>485</v>
      </c>
      <c r="I870" s="43">
        <f>'01_PARÂMETROS'!$B$9</f>
        <v>50</v>
      </c>
      <c r="J870" s="44">
        <f t="shared" si="42"/>
        <v>0.9</v>
      </c>
      <c r="K870" s="62">
        <f>MAX('01_PARÂMETROS'!$B$11,MIN('01_PARÂMETROS'!$B$12,J870))</f>
        <v>0.9</v>
      </c>
      <c r="L870" s="63">
        <f t="shared" si="41"/>
        <v>-9.9999999999999978E-2</v>
      </c>
      <c r="M870" s="17" t="str">
        <f>IF(K870&lt;='01_PARÂMETROS'!$B$14,"Preferencial",IF(K870&lt;='01_PARÂMETROS'!$B$15,"Baixo",IF(K870&lt;='01_PARÂMETROS'!$B$16,"Médio",IF(K870&lt;='01_PARÂMETROS'!$B$17,"Alto","Elevado"))))</f>
        <v>Baixo</v>
      </c>
      <c r="N870" s="58" t="s">
        <v>486</v>
      </c>
      <c r="O870" s="61"/>
    </row>
    <row r="871" spans="1:15" ht="13.5" customHeight="1" x14ac:dyDescent="0.25">
      <c r="A871" s="24" t="s">
        <v>2088</v>
      </c>
      <c r="B871" s="38" t="s">
        <v>1665</v>
      </c>
      <c r="C871" s="25" t="s">
        <v>2089</v>
      </c>
      <c r="D871" s="39" t="s">
        <v>1969</v>
      </c>
      <c r="E871" s="65" t="s">
        <v>841</v>
      </c>
      <c r="F871" s="54" t="s">
        <v>485</v>
      </c>
      <c r="G871" s="54" t="s">
        <v>485</v>
      </c>
      <c r="H871" s="54" t="s">
        <v>485</v>
      </c>
      <c r="I871" s="43">
        <f>'01_PARÂMETROS'!$B$9</f>
        <v>50</v>
      </c>
      <c r="J871" s="44">
        <f t="shared" si="42"/>
        <v>0.9</v>
      </c>
      <c r="K871" s="62">
        <f>MAX('01_PARÂMETROS'!$B$11,MIN('01_PARÂMETROS'!$B$12,J871))</f>
        <v>0.9</v>
      </c>
      <c r="L871" s="63">
        <f t="shared" si="41"/>
        <v>-9.9999999999999978E-2</v>
      </c>
      <c r="M871" s="17" t="str">
        <f>IF(K871&lt;='01_PARÂMETROS'!$B$14,"Preferencial",IF(K871&lt;='01_PARÂMETROS'!$B$15,"Baixo",IF(K871&lt;='01_PARÂMETROS'!$B$16,"Médio",IF(K871&lt;='01_PARÂMETROS'!$B$17,"Alto","Elevado"))))</f>
        <v>Baixo</v>
      </c>
      <c r="N871" s="58" t="s">
        <v>486</v>
      </c>
      <c r="O871" s="54"/>
    </row>
    <row r="872" spans="1:15" ht="13.5" customHeight="1" x14ac:dyDescent="0.25">
      <c r="A872" s="13" t="s">
        <v>2090</v>
      </c>
      <c r="B872" s="49" t="s">
        <v>1665</v>
      </c>
      <c r="C872" s="14" t="s">
        <v>2091</v>
      </c>
      <c r="D872" s="50" t="s">
        <v>1969</v>
      </c>
      <c r="E872" s="65" t="s">
        <v>841</v>
      </c>
      <c r="F872" s="54" t="s">
        <v>485</v>
      </c>
      <c r="G872" s="54" t="s">
        <v>485</v>
      </c>
      <c r="H872" s="54" t="s">
        <v>485</v>
      </c>
      <c r="I872" s="43">
        <f>'01_PARÂMETROS'!$B$9</f>
        <v>50</v>
      </c>
      <c r="J872" s="44">
        <f t="shared" si="42"/>
        <v>0.9</v>
      </c>
      <c r="K872" s="62">
        <f>MAX('01_PARÂMETROS'!$B$11,MIN('01_PARÂMETROS'!$B$12,J872))</f>
        <v>0.9</v>
      </c>
      <c r="L872" s="63">
        <f t="shared" si="41"/>
        <v>-9.9999999999999978E-2</v>
      </c>
      <c r="M872" s="17" t="str">
        <f>IF(K872&lt;='01_PARÂMETROS'!$B$14,"Preferencial",IF(K872&lt;='01_PARÂMETROS'!$B$15,"Baixo",IF(K872&lt;='01_PARÂMETROS'!$B$16,"Médio",IF(K872&lt;='01_PARÂMETROS'!$B$17,"Alto","Elevado"))))</f>
        <v>Baixo</v>
      </c>
      <c r="N872" s="58" t="s">
        <v>486</v>
      </c>
      <c r="O872" s="61"/>
    </row>
    <row r="873" spans="1:15" ht="13.5" customHeight="1" x14ac:dyDescent="0.25">
      <c r="A873" s="24" t="s">
        <v>2092</v>
      </c>
      <c r="B873" s="38" t="s">
        <v>1665</v>
      </c>
      <c r="C873" s="25" t="s">
        <v>2093</v>
      </c>
      <c r="D873" s="39" t="s">
        <v>1969</v>
      </c>
      <c r="E873" s="65" t="s">
        <v>841</v>
      </c>
      <c r="F873" s="54" t="s">
        <v>485</v>
      </c>
      <c r="G873" s="54" t="s">
        <v>485</v>
      </c>
      <c r="H873" s="54" t="s">
        <v>485</v>
      </c>
      <c r="I873" s="43">
        <f>'01_PARÂMETROS'!$B$9</f>
        <v>50</v>
      </c>
      <c r="J873" s="44">
        <f t="shared" si="42"/>
        <v>0.9</v>
      </c>
      <c r="K873" s="62">
        <f>MAX('01_PARÂMETROS'!$B$11,MIN('01_PARÂMETROS'!$B$12,J873))</f>
        <v>0.9</v>
      </c>
      <c r="L873" s="63">
        <f t="shared" si="41"/>
        <v>-9.9999999999999978E-2</v>
      </c>
      <c r="M873" s="17" t="str">
        <f>IF(K873&lt;='01_PARÂMETROS'!$B$14,"Preferencial",IF(K873&lt;='01_PARÂMETROS'!$B$15,"Baixo",IF(K873&lt;='01_PARÂMETROS'!$B$16,"Médio",IF(K873&lt;='01_PARÂMETROS'!$B$17,"Alto","Elevado"))))</f>
        <v>Baixo</v>
      </c>
      <c r="N873" s="58" t="s">
        <v>486</v>
      </c>
      <c r="O873" s="54"/>
    </row>
    <row r="874" spans="1:15" ht="13.5" customHeight="1" x14ac:dyDescent="0.25">
      <c r="A874" s="13" t="s">
        <v>2094</v>
      </c>
      <c r="B874" s="49" t="s">
        <v>1665</v>
      </c>
      <c r="C874" s="14" t="s">
        <v>2095</v>
      </c>
      <c r="D874" s="50" t="s">
        <v>1969</v>
      </c>
      <c r="E874" s="65" t="s">
        <v>841</v>
      </c>
      <c r="F874" s="54" t="s">
        <v>485</v>
      </c>
      <c r="G874" s="54" t="s">
        <v>485</v>
      </c>
      <c r="H874" s="54" t="s">
        <v>485</v>
      </c>
      <c r="I874" s="43">
        <f>'01_PARÂMETROS'!$B$9</f>
        <v>50</v>
      </c>
      <c r="J874" s="44">
        <f t="shared" si="42"/>
        <v>0.9</v>
      </c>
      <c r="K874" s="62">
        <f>MAX('01_PARÂMETROS'!$B$11,MIN('01_PARÂMETROS'!$B$12,J874))</f>
        <v>0.9</v>
      </c>
      <c r="L874" s="63">
        <f t="shared" si="41"/>
        <v>-9.9999999999999978E-2</v>
      </c>
      <c r="M874" s="17" t="str">
        <f>IF(K874&lt;='01_PARÂMETROS'!$B$14,"Preferencial",IF(K874&lt;='01_PARÂMETROS'!$B$15,"Baixo",IF(K874&lt;='01_PARÂMETROS'!$B$16,"Médio",IF(K874&lt;='01_PARÂMETROS'!$B$17,"Alto","Elevado"))))</f>
        <v>Baixo</v>
      </c>
      <c r="N874" s="58" t="s">
        <v>486</v>
      </c>
      <c r="O874" s="61"/>
    </row>
    <row r="875" spans="1:15" ht="13.5" customHeight="1" x14ac:dyDescent="0.25">
      <c r="A875" s="24" t="s">
        <v>2096</v>
      </c>
      <c r="B875" s="38" t="s">
        <v>1665</v>
      </c>
      <c r="C875" s="25" t="s">
        <v>2097</v>
      </c>
      <c r="D875" s="39" t="s">
        <v>1969</v>
      </c>
      <c r="E875" s="65" t="s">
        <v>841</v>
      </c>
      <c r="F875" s="54" t="s">
        <v>485</v>
      </c>
      <c r="G875" s="54" t="s">
        <v>485</v>
      </c>
      <c r="H875" s="54" t="s">
        <v>485</v>
      </c>
      <c r="I875" s="43">
        <f>'01_PARÂMETROS'!$B$9</f>
        <v>50</v>
      </c>
      <c r="J875" s="44">
        <f t="shared" si="42"/>
        <v>0.9</v>
      </c>
      <c r="K875" s="62">
        <f>MAX('01_PARÂMETROS'!$B$11,MIN('01_PARÂMETROS'!$B$12,J875))</f>
        <v>0.9</v>
      </c>
      <c r="L875" s="63">
        <f t="shared" si="41"/>
        <v>-9.9999999999999978E-2</v>
      </c>
      <c r="M875" s="17" t="str">
        <f>IF(K875&lt;='01_PARÂMETROS'!$B$14,"Preferencial",IF(K875&lt;='01_PARÂMETROS'!$B$15,"Baixo",IF(K875&lt;='01_PARÂMETROS'!$B$16,"Médio",IF(K875&lt;='01_PARÂMETROS'!$B$17,"Alto","Elevado"))))</f>
        <v>Baixo</v>
      </c>
      <c r="N875" s="58" t="s">
        <v>486</v>
      </c>
      <c r="O875" s="54"/>
    </row>
    <row r="876" spans="1:15" ht="13.5" customHeight="1" x14ac:dyDescent="0.25">
      <c r="A876" s="13" t="s">
        <v>2098</v>
      </c>
      <c r="B876" s="49" t="s">
        <v>1665</v>
      </c>
      <c r="C876" s="14" t="s">
        <v>2099</v>
      </c>
      <c r="D876" s="50" t="s">
        <v>1969</v>
      </c>
      <c r="E876" s="65" t="s">
        <v>841</v>
      </c>
      <c r="F876" s="54" t="s">
        <v>485</v>
      </c>
      <c r="G876" s="54" t="s">
        <v>485</v>
      </c>
      <c r="H876" s="54" t="s">
        <v>485</v>
      </c>
      <c r="I876" s="43">
        <f>'01_PARÂMETROS'!$B$9</f>
        <v>50</v>
      </c>
      <c r="J876" s="44">
        <f t="shared" si="42"/>
        <v>0.9</v>
      </c>
      <c r="K876" s="62">
        <f>MAX('01_PARÂMETROS'!$B$11,MIN('01_PARÂMETROS'!$B$12,J876))</f>
        <v>0.9</v>
      </c>
      <c r="L876" s="63">
        <f t="shared" si="41"/>
        <v>-9.9999999999999978E-2</v>
      </c>
      <c r="M876" s="17" t="str">
        <f>IF(K876&lt;='01_PARÂMETROS'!$B$14,"Preferencial",IF(K876&lt;='01_PARÂMETROS'!$B$15,"Baixo",IF(K876&lt;='01_PARÂMETROS'!$B$16,"Médio",IF(K876&lt;='01_PARÂMETROS'!$B$17,"Alto","Elevado"))))</f>
        <v>Baixo</v>
      </c>
      <c r="N876" s="58" t="s">
        <v>486</v>
      </c>
      <c r="O876" s="61"/>
    </row>
    <row r="877" spans="1:15" ht="13.5" customHeight="1" x14ac:dyDescent="0.25">
      <c r="A877" s="24" t="s">
        <v>2100</v>
      </c>
      <c r="B877" s="38" t="s">
        <v>1665</v>
      </c>
      <c r="C877" s="25" t="s">
        <v>2101</v>
      </c>
      <c r="D877" s="39" t="s">
        <v>1969</v>
      </c>
      <c r="E877" s="65" t="s">
        <v>841</v>
      </c>
      <c r="F877" s="54" t="s">
        <v>485</v>
      </c>
      <c r="G877" s="54" t="s">
        <v>485</v>
      </c>
      <c r="H877" s="54" t="s">
        <v>485</v>
      </c>
      <c r="I877" s="43">
        <f>'01_PARÂMETROS'!$B$9</f>
        <v>50</v>
      </c>
      <c r="J877" s="44">
        <f t="shared" si="42"/>
        <v>0.9</v>
      </c>
      <c r="K877" s="62">
        <f>MAX('01_PARÂMETROS'!$B$11,MIN('01_PARÂMETROS'!$B$12,J877))</f>
        <v>0.9</v>
      </c>
      <c r="L877" s="63">
        <f t="shared" si="41"/>
        <v>-9.9999999999999978E-2</v>
      </c>
      <c r="M877" s="17" t="str">
        <f>IF(K877&lt;='01_PARÂMETROS'!$B$14,"Preferencial",IF(K877&lt;='01_PARÂMETROS'!$B$15,"Baixo",IF(K877&lt;='01_PARÂMETROS'!$B$16,"Médio",IF(K877&lt;='01_PARÂMETROS'!$B$17,"Alto","Elevado"))))</f>
        <v>Baixo</v>
      </c>
      <c r="N877" s="58" t="s">
        <v>486</v>
      </c>
      <c r="O877" s="54"/>
    </row>
    <row r="878" spans="1:15" ht="13.5" customHeight="1" x14ac:dyDescent="0.25">
      <c r="A878" s="13" t="s">
        <v>2102</v>
      </c>
      <c r="B878" s="49" t="s">
        <v>1665</v>
      </c>
      <c r="C878" s="14" t="s">
        <v>2103</v>
      </c>
      <c r="D878" s="50" t="s">
        <v>1969</v>
      </c>
      <c r="E878" s="65" t="s">
        <v>841</v>
      </c>
      <c r="F878" s="54" t="s">
        <v>485</v>
      </c>
      <c r="G878" s="54" t="s">
        <v>485</v>
      </c>
      <c r="H878" s="54" t="s">
        <v>485</v>
      </c>
      <c r="I878" s="43">
        <f>'01_PARÂMETROS'!$B$9</f>
        <v>50</v>
      </c>
      <c r="J878" s="44">
        <f t="shared" si="42"/>
        <v>0.9</v>
      </c>
      <c r="K878" s="62">
        <f>MAX('01_PARÂMETROS'!$B$11,MIN('01_PARÂMETROS'!$B$12,J878))</f>
        <v>0.9</v>
      </c>
      <c r="L878" s="63">
        <f t="shared" si="41"/>
        <v>-9.9999999999999978E-2</v>
      </c>
      <c r="M878" s="17" t="str">
        <f>IF(K878&lt;='01_PARÂMETROS'!$B$14,"Preferencial",IF(K878&lt;='01_PARÂMETROS'!$B$15,"Baixo",IF(K878&lt;='01_PARÂMETROS'!$B$16,"Médio",IF(K878&lt;='01_PARÂMETROS'!$B$17,"Alto","Elevado"))))</f>
        <v>Baixo</v>
      </c>
      <c r="N878" s="58" t="s">
        <v>486</v>
      </c>
      <c r="O878" s="61"/>
    </row>
    <row r="879" spans="1:15" ht="13.5" customHeight="1" x14ac:dyDescent="0.25">
      <c r="A879" s="24" t="s">
        <v>2104</v>
      </c>
      <c r="B879" s="38" t="s">
        <v>1665</v>
      </c>
      <c r="C879" s="25" t="s">
        <v>2105</v>
      </c>
      <c r="D879" s="39" t="s">
        <v>1969</v>
      </c>
      <c r="E879" s="65" t="s">
        <v>841</v>
      </c>
      <c r="F879" s="54" t="s">
        <v>485</v>
      </c>
      <c r="G879" s="54" t="s">
        <v>485</v>
      </c>
      <c r="H879" s="54" t="s">
        <v>485</v>
      </c>
      <c r="I879" s="43">
        <f>'01_PARÂMETROS'!$B$9</f>
        <v>50</v>
      </c>
      <c r="J879" s="44">
        <f t="shared" si="42"/>
        <v>0.9</v>
      </c>
      <c r="K879" s="62">
        <f>MAX('01_PARÂMETROS'!$B$11,MIN('01_PARÂMETROS'!$B$12,J879))</f>
        <v>0.9</v>
      </c>
      <c r="L879" s="63">
        <f t="shared" si="41"/>
        <v>-9.9999999999999978E-2</v>
      </c>
      <c r="M879" s="17" t="str">
        <f>IF(K879&lt;='01_PARÂMETROS'!$B$14,"Preferencial",IF(K879&lt;='01_PARÂMETROS'!$B$15,"Baixo",IF(K879&lt;='01_PARÂMETROS'!$B$16,"Médio",IF(K879&lt;='01_PARÂMETROS'!$B$17,"Alto","Elevado"))))</f>
        <v>Baixo</v>
      </c>
      <c r="N879" s="58" t="s">
        <v>486</v>
      </c>
      <c r="O879" s="54"/>
    </row>
    <row r="880" spans="1:15" ht="13.5" customHeight="1" x14ac:dyDescent="0.25">
      <c r="A880" s="13" t="s">
        <v>2106</v>
      </c>
      <c r="B880" s="49" t="s">
        <v>1665</v>
      </c>
      <c r="C880" s="14" t="s">
        <v>2107</v>
      </c>
      <c r="D880" s="50" t="s">
        <v>1969</v>
      </c>
      <c r="E880" s="65" t="s">
        <v>841</v>
      </c>
      <c r="F880" s="54" t="s">
        <v>485</v>
      </c>
      <c r="G880" s="54" t="s">
        <v>485</v>
      </c>
      <c r="H880" s="54" t="s">
        <v>485</v>
      </c>
      <c r="I880" s="43">
        <f>'01_PARÂMETROS'!$B$9</f>
        <v>50</v>
      </c>
      <c r="J880" s="44">
        <f t="shared" si="42"/>
        <v>0.9</v>
      </c>
      <c r="K880" s="62">
        <f>MAX('01_PARÂMETROS'!$B$11,MIN('01_PARÂMETROS'!$B$12,J880))</f>
        <v>0.9</v>
      </c>
      <c r="L880" s="63">
        <f t="shared" si="41"/>
        <v>-9.9999999999999978E-2</v>
      </c>
      <c r="M880" s="17" t="str">
        <f>IF(K880&lt;='01_PARÂMETROS'!$B$14,"Preferencial",IF(K880&lt;='01_PARÂMETROS'!$B$15,"Baixo",IF(K880&lt;='01_PARÂMETROS'!$B$16,"Médio",IF(K880&lt;='01_PARÂMETROS'!$B$17,"Alto","Elevado"))))</f>
        <v>Baixo</v>
      </c>
      <c r="N880" s="58" t="s">
        <v>486</v>
      </c>
      <c r="O880" s="61"/>
    </row>
    <row r="881" spans="1:15" ht="13.5" customHeight="1" x14ac:dyDescent="0.25">
      <c r="A881" s="24" t="s">
        <v>2108</v>
      </c>
      <c r="B881" s="38" t="s">
        <v>1665</v>
      </c>
      <c r="C881" s="25" t="s">
        <v>2109</v>
      </c>
      <c r="D881" s="39" t="s">
        <v>1969</v>
      </c>
      <c r="E881" s="65" t="s">
        <v>841</v>
      </c>
      <c r="F881" s="54" t="s">
        <v>485</v>
      </c>
      <c r="G881" s="54" t="s">
        <v>485</v>
      </c>
      <c r="H881" s="54" t="s">
        <v>485</v>
      </c>
      <c r="I881" s="43">
        <f>'01_PARÂMETROS'!$B$9</f>
        <v>50</v>
      </c>
      <c r="J881" s="44">
        <f t="shared" si="42"/>
        <v>0.9</v>
      </c>
      <c r="K881" s="62">
        <f>MAX('01_PARÂMETROS'!$B$11,MIN('01_PARÂMETROS'!$B$12,J881))</f>
        <v>0.9</v>
      </c>
      <c r="L881" s="63">
        <f t="shared" si="41"/>
        <v>-9.9999999999999978E-2</v>
      </c>
      <c r="M881" s="17" t="str">
        <f>IF(K881&lt;='01_PARÂMETROS'!$B$14,"Preferencial",IF(K881&lt;='01_PARÂMETROS'!$B$15,"Baixo",IF(K881&lt;='01_PARÂMETROS'!$B$16,"Médio",IF(K881&lt;='01_PARÂMETROS'!$B$17,"Alto","Elevado"))))</f>
        <v>Baixo</v>
      </c>
      <c r="N881" s="58" t="s">
        <v>486</v>
      </c>
      <c r="O881" s="54"/>
    </row>
    <row r="882" spans="1:15" ht="13.5" customHeight="1" x14ac:dyDescent="0.25">
      <c r="A882" s="13" t="s">
        <v>2110</v>
      </c>
      <c r="B882" s="49" t="s">
        <v>1665</v>
      </c>
      <c r="C882" s="14" t="s">
        <v>2111</v>
      </c>
      <c r="D882" s="50" t="s">
        <v>1969</v>
      </c>
      <c r="E882" s="65" t="s">
        <v>841</v>
      </c>
      <c r="F882" s="54" t="s">
        <v>485</v>
      </c>
      <c r="G882" s="54" t="s">
        <v>485</v>
      </c>
      <c r="H882" s="54" t="s">
        <v>485</v>
      </c>
      <c r="I882" s="43">
        <f>'01_PARÂMETROS'!$B$9</f>
        <v>50</v>
      </c>
      <c r="J882" s="44">
        <f t="shared" si="42"/>
        <v>0.9</v>
      </c>
      <c r="K882" s="62">
        <f>MAX('01_PARÂMETROS'!$B$11,MIN('01_PARÂMETROS'!$B$12,J882))</f>
        <v>0.9</v>
      </c>
      <c r="L882" s="63">
        <f t="shared" si="41"/>
        <v>-9.9999999999999978E-2</v>
      </c>
      <c r="M882" s="17" t="str">
        <f>IF(K882&lt;='01_PARÂMETROS'!$B$14,"Preferencial",IF(K882&lt;='01_PARÂMETROS'!$B$15,"Baixo",IF(K882&lt;='01_PARÂMETROS'!$B$16,"Médio",IF(K882&lt;='01_PARÂMETROS'!$B$17,"Alto","Elevado"))))</f>
        <v>Baixo</v>
      </c>
      <c r="N882" s="58" t="s">
        <v>486</v>
      </c>
      <c r="O882" s="61"/>
    </row>
    <row r="883" spans="1:15" ht="13.5" customHeight="1" x14ac:dyDescent="0.25">
      <c r="A883" s="24" t="s">
        <v>2112</v>
      </c>
      <c r="B883" s="38" t="s">
        <v>1665</v>
      </c>
      <c r="C883" s="25" t="s">
        <v>2113</v>
      </c>
      <c r="D883" s="39" t="s">
        <v>1969</v>
      </c>
      <c r="E883" s="65" t="s">
        <v>841</v>
      </c>
      <c r="F883" s="54" t="s">
        <v>485</v>
      </c>
      <c r="G883" s="54" t="s">
        <v>485</v>
      </c>
      <c r="H883" s="54" t="s">
        <v>485</v>
      </c>
      <c r="I883" s="43">
        <f>'01_PARÂMETROS'!$B$9</f>
        <v>50</v>
      </c>
      <c r="J883" s="44">
        <f t="shared" si="42"/>
        <v>0.9</v>
      </c>
      <c r="K883" s="62">
        <f>MAX('01_PARÂMETROS'!$B$11,MIN('01_PARÂMETROS'!$B$12,J883))</f>
        <v>0.9</v>
      </c>
      <c r="L883" s="63">
        <f t="shared" si="41"/>
        <v>-9.9999999999999978E-2</v>
      </c>
      <c r="M883" s="17" t="str">
        <f>IF(K883&lt;='01_PARÂMETROS'!$B$14,"Preferencial",IF(K883&lt;='01_PARÂMETROS'!$B$15,"Baixo",IF(K883&lt;='01_PARÂMETROS'!$B$16,"Médio",IF(K883&lt;='01_PARÂMETROS'!$B$17,"Alto","Elevado"))))</f>
        <v>Baixo</v>
      </c>
      <c r="N883" s="58" t="s">
        <v>486</v>
      </c>
      <c r="O883" s="54"/>
    </row>
    <row r="884" spans="1:15" ht="13.5" customHeight="1" x14ac:dyDescent="0.25">
      <c r="A884" s="13" t="s">
        <v>2114</v>
      </c>
      <c r="B884" s="49" t="s">
        <v>1665</v>
      </c>
      <c r="C884" s="14" t="s">
        <v>2115</v>
      </c>
      <c r="D884" s="50" t="s">
        <v>1969</v>
      </c>
      <c r="E884" s="65" t="s">
        <v>841</v>
      </c>
      <c r="F884" s="54" t="s">
        <v>485</v>
      </c>
      <c r="G884" s="54" t="s">
        <v>485</v>
      </c>
      <c r="H884" s="54" t="s">
        <v>485</v>
      </c>
      <c r="I884" s="43">
        <f>'01_PARÂMETROS'!$B$9</f>
        <v>50</v>
      </c>
      <c r="J884" s="44">
        <f t="shared" si="42"/>
        <v>0.9</v>
      </c>
      <c r="K884" s="62">
        <f>MAX('01_PARÂMETROS'!$B$11,MIN('01_PARÂMETROS'!$B$12,J884))</f>
        <v>0.9</v>
      </c>
      <c r="L884" s="63">
        <f t="shared" si="41"/>
        <v>-9.9999999999999978E-2</v>
      </c>
      <c r="M884" s="17" t="str">
        <f>IF(K884&lt;='01_PARÂMETROS'!$B$14,"Preferencial",IF(K884&lt;='01_PARÂMETROS'!$B$15,"Baixo",IF(K884&lt;='01_PARÂMETROS'!$B$16,"Médio",IF(K884&lt;='01_PARÂMETROS'!$B$17,"Alto","Elevado"))))</f>
        <v>Baixo</v>
      </c>
      <c r="N884" s="58" t="s">
        <v>486</v>
      </c>
      <c r="O884" s="61"/>
    </row>
    <row r="885" spans="1:15" ht="13.5" customHeight="1" x14ac:dyDescent="0.25">
      <c r="A885" s="24" t="s">
        <v>2116</v>
      </c>
      <c r="B885" s="38" t="s">
        <v>1665</v>
      </c>
      <c r="C885" s="25" t="s">
        <v>2117</v>
      </c>
      <c r="D885" s="39" t="s">
        <v>1969</v>
      </c>
      <c r="E885" s="65" t="s">
        <v>841</v>
      </c>
      <c r="F885" s="54" t="s">
        <v>485</v>
      </c>
      <c r="G885" s="54" t="s">
        <v>485</v>
      </c>
      <c r="H885" s="54" t="s">
        <v>485</v>
      </c>
      <c r="I885" s="43">
        <f>'01_PARÂMETROS'!$B$9</f>
        <v>50</v>
      </c>
      <c r="J885" s="44">
        <f t="shared" si="42"/>
        <v>0.9</v>
      </c>
      <c r="K885" s="62">
        <f>MAX('01_PARÂMETROS'!$B$11,MIN('01_PARÂMETROS'!$B$12,J885))</f>
        <v>0.9</v>
      </c>
      <c r="L885" s="63">
        <f t="shared" si="41"/>
        <v>-9.9999999999999978E-2</v>
      </c>
      <c r="M885" s="17" t="str">
        <f>IF(K885&lt;='01_PARÂMETROS'!$B$14,"Preferencial",IF(K885&lt;='01_PARÂMETROS'!$B$15,"Baixo",IF(K885&lt;='01_PARÂMETROS'!$B$16,"Médio",IF(K885&lt;='01_PARÂMETROS'!$B$17,"Alto","Elevado"))))</f>
        <v>Baixo</v>
      </c>
      <c r="N885" s="58" t="s">
        <v>486</v>
      </c>
      <c r="O885" s="54"/>
    </row>
    <row r="886" spans="1:15" ht="13.5" customHeight="1" x14ac:dyDescent="0.25">
      <c r="A886" s="13" t="s">
        <v>2118</v>
      </c>
      <c r="B886" s="49" t="s">
        <v>1665</v>
      </c>
      <c r="C886" s="14" t="s">
        <v>2119</v>
      </c>
      <c r="D886" s="50" t="s">
        <v>1969</v>
      </c>
      <c r="E886" s="65" t="s">
        <v>841</v>
      </c>
      <c r="F886" s="54" t="s">
        <v>485</v>
      </c>
      <c r="G886" s="54" t="s">
        <v>485</v>
      </c>
      <c r="H886" s="54" t="s">
        <v>485</v>
      </c>
      <c r="I886" s="43">
        <f>'01_PARÂMETROS'!$B$9</f>
        <v>50</v>
      </c>
      <c r="J886" s="44">
        <f t="shared" si="42"/>
        <v>0.9</v>
      </c>
      <c r="K886" s="62">
        <f>MAX('01_PARÂMETROS'!$B$11,MIN('01_PARÂMETROS'!$B$12,J886))</f>
        <v>0.9</v>
      </c>
      <c r="L886" s="63">
        <f t="shared" si="41"/>
        <v>-9.9999999999999978E-2</v>
      </c>
      <c r="M886" s="17" t="str">
        <f>IF(K886&lt;='01_PARÂMETROS'!$B$14,"Preferencial",IF(K886&lt;='01_PARÂMETROS'!$B$15,"Baixo",IF(K886&lt;='01_PARÂMETROS'!$B$16,"Médio",IF(K886&lt;='01_PARÂMETROS'!$B$17,"Alto","Elevado"))))</f>
        <v>Baixo</v>
      </c>
      <c r="N886" s="58" t="s">
        <v>486</v>
      </c>
      <c r="O886" s="61"/>
    </row>
    <row r="887" spans="1:15" ht="13.5" customHeight="1" x14ac:dyDescent="0.25">
      <c r="A887" s="24" t="s">
        <v>2120</v>
      </c>
      <c r="B887" s="38" t="s">
        <v>2121</v>
      </c>
      <c r="C887" s="25" t="s">
        <v>2122</v>
      </c>
      <c r="D887" s="39" t="s">
        <v>2123</v>
      </c>
      <c r="E887" s="64" t="s">
        <v>566</v>
      </c>
      <c r="F887" s="54" t="s">
        <v>485</v>
      </c>
      <c r="G887" s="54" t="s">
        <v>485</v>
      </c>
      <c r="H887" s="54" t="s">
        <v>485</v>
      </c>
      <c r="I887" s="43">
        <f>'01_PARÂMETROS'!$B$9</f>
        <v>50</v>
      </c>
      <c r="J887" s="44">
        <f t="shared" ref="J887:J929" si="43">1.15</f>
        <v>1.1499999999999999</v>
      </c>
      <c r="K887" s="45">
        <f>MAX('01_PARÂMETROS'!$B$11,MIN('01_PARÂMETROS'!$B$12,J887))</f>
        <v>1.1499999999999999</v>
      </c>
      <c r="L887" s="46">
        <f t="shared" si="41"/>
        <v>0.14999999999999991</v>
      </c>
      <c r="M887" s="47" t="str">
        <f>IF(K887&lt;='01_PARÂMETROS'!$B$14,"Preferencial",IF(K887&lt;='01_PARÂMETROS'!$B$15,"Baixo",IF(K887&lt;='01_PARÂMETROS'!$B$16,"Médio",IF(K887&lt;='01_PARÂMETROS'!$B$17,"Alto","Elevado"))))</f>
        <v>Alto</v>
      </c>
      <c r="N887" s="58" t="s">
        <v>486</v>
      </c>
      <c r="O887" s="54"/>
    </row>
    <row r="888" spans="1:15" ht="13.5" customHeight="1" x14ac:dyDescent="0.25">
      <c r="A888" s="13" t="s">
        <v>2124</v>
      </c>
      <c r="B888" s="49" t="s">
        <v>2121</v>
      </c>
      <c r="C888" s="14" t="s">
        <v>2125</v>
      </c>
      <c r="D888" s="50" t="s">
        <v>2123</v>
      </c>
      <c r="E888" s="64" t="s">
        <v>566</v>
      </c>
      <c r="F888" s="54" t="s">
        <v>485</v>
      </c>
      <c r="G888" s="54" t="s">
        <v>485</v>
      </c>
      <c r="H888" s="54" t="s">
        <v>485</v>
      </c>
      <c r="I888" s="43">
        <f>'01_PARÂMETROS'!$B$9</f>
        <v>50</v>
      </c>
      <c r="J888" s="44">
        <f t="shared" si="43"/>
        <v>1.1499999999999999</v>
      </c>
      <c r="K888" s="45">
        <f>MAX('01_PARÂMETROS'!$B$11,MIN('01_PARÂMETROS'!$B$12,J888))</f>
        <v>1.1499999999999999</v>
      </c>
      <c r="L888" s="46">
        <f t="shared" si="41"/>
        <v>0.14999999999999991</v>
      </c>
      <c r="M888" s="47" t="str">
        <f>IF(K888&lt;='01_PARÂMETROS'!$B$14,"Preferencial",IF(K888&lt;='01_PARÂMETROS'!$B$15,"Baixo",IF(K888&lt;='01_PARÂMETROS'!$B$16,"Médio",IF(K888&lt;='01_PARÂMETROS'!$B$17,"Alto","Elevado"))))</f>
        <v>Alto</v>
      </c>
      <c r="N888" s="58" t="s">
        <v>486</v>
      </c>
      <c r="O888" s="61"/>
    </row>
    <row r="889" spans="1:15" ht="13.5" customHeight="1" x14ac:dyDescent="0.25">
      <c r="A889" s="24" t="s">
        <v>2126</v>
      </c>
      <c r="B889" s="38" t="s">
        <v>2121</v>
      </c>
      <c r="C889" s="25" t="s">
        <v>2127</v>
      </c>
      <c r="D889" s="39" t="s">
        <v>2123</v>
      </c>
      <c r="E889" s="64" t="s">
        <v>566</v>
      </c>
      <c r="F889" s="54" t="s">
        <v>485</v>
      </c>
      <c r="G889" s="54" t="s">
        <v>485</v>
      </c>
      <c r="H889" s="54" t="s">
        <v>485</v>
      </c>
      <c r="I889" s="43">
        <f>'01_PARÂMETROS'!$B$9</f>
        <v>50</v>
      </c>
      <c r="J889" s="44">
        <f t="shared" si="43"/>
        <v>1.1499999999999999</v>
      </c>
      <c r="K889" s="45">
        <f>MAX('01_PARÂMETROS'!$B$11,MIN('01_PARÂMETROS'!$B$12,J889))</f>
        <v>1.1499999999999999</v>
      </c>
      <c r="L889" s="46">
        <f t="shared" si="41"/>
        <v>0.14999999999999991</v>
      </c>
      <c r="M889" s="47" t="str">
        <f>IF(K889&lt;='01_PARÂMETROS'!$B$14,"Preferencial",IF(K889&lt;='01_PARÂMETROS'!$B$15,"Baixo",IF(K889&lt;='01_PARÂMETROS'!$B$16,"Médio",IF(K889&lt;='01_PARÂMETROS'!$B$17,"Alto","Elevado"))))</f>
        <v>Alto</v>
      </c>
      <c r="N889" s="58" t="s">
        <v>486</v>
      </c>
      <c r="O889" s="54"/>
    </row>
    <row r="890" spans="1:15" ht="13.5" customHeight="1" x14ac:dyDescent="0.25">
      <c r="A890" s="13" t="s">
        <v>2128</v>
      </c>
      <c r="B890" s="49" t="s">
        <v>2121</v>
      </c>
      <c r="C890" s="14" t="s">
        <v>2129</v>
      </c>
      <c r="D890" s="50" t="s">
        <v>2123</v>
      </c>
      <c r="E890" s="64" t="s">
        <v>566</v>
      </c>
      <c r="F890" s="54" t="s">
        <v>485</v>
      </c>
      <c r="G890" s="54" t="s">
        <v>485</v>
      </c>
      <c r="H890" s="54" t="s">
        <v>485</v>
      </c>
      <c r="I890" s="43">
        <f>'01_PARÂMETROS'!$B$9</f>
        <v>50</v>
      </c>
      <c r="J890" s="44">
        <f t="shared" si="43"/>
        <v>1.1499999999999999</v>
      </c>
      <c r="K890" s="45">
        <f>MAX('01_PARÂMETROS'!$B$11,MIN('01_PARÂMETROS'!$B$12,J890))</f>
        <v>1.1499999999999999</v>
      </c>
      <c r="L890" s="46">
        <f t="shared" si="41"/>
        <v>0.14999999999999991</v>
      </c>
      <c r="M890" s="47" t="str">
        <f>IF(K890&lt;='01_PARÂMETROS'!$B$14,"Preferencial",IF(K890&lt;='01_PARÂMETROS'!$B$15,"Baixo",IF(K890&lt;='01_PARÂMETROS'!$B$16,"Médio",IF(K890&lt;='01_PARÂMETROS'!$B$17,"Alto","Elevado"))))</f>
        <v>Alto</v>
      </c>
      <c r="N890" s="58" t="s">
        <v>486</v>
      </c>
      <c r="O890" s="61"/>
    </row>
    <row r="891" spans="1:15" ht="13.5" customHeight="1" x14ac:dyDescent="0.25">
      <c r="A891" s="24" t="s">
        <v>2130</v>
      </c>
      <c r="B891" s="38" t="s">
        <v>2121</v>
      </c>
      <c r="C891" s="25" t="s">
        <v>2131</v>
      </c>
      <c r="D891" s="39" t="s">
        <v>2123</v>
      </c>
      <c r="E891" s="64" t="s">
        <v>566</v>
      </c>
      <c r="F891" s="54" t="s">
        <v>485</v>
      </c>
      <c r="G891" s="54" t="s">
        <v>485</v>
      </c>
      <c r="H891" s="54" t="s">
        <v>485</v>
      </c>
      <c r="I891" s="43">
        <f>'01_PARÂMETROS'!$B$9</f>
        <v>50</v>
      </c>
      <c r="J891" s="44">
        <f t="shared" si="43"/>
        <v>1.1499999999999999</v>
      </c>
      <c r="K891" s="45">
        <f>MAX('01_PARÂMETROS'!$B$11,MIN('01_PARÂMETROS'!$B$12,J891))</f>
        <v>1.1499999999999999</v>
      </c>
      <c r="L891" s="46">
        <f t="shared" si="41"/>
        <v>0.14999999999999991</v>
      </c>
      <c r="M891" s="47" t="str">
        <f>IF(K891&lt;='01_PARÂMETROS'!$B$14,"Preferencial",IF(K891&lt;='01_PARÂMETROS'!$B$15,"Baixo",IF(K891&lt;='01_PARÂMETROS'!$B$16,"Médio",IF(K891&lt;='01_PARÂMETROS'!$B$17,"Alto","Elevado"))))</f>
        <v>Alto</v>
      </c>
      <c r="N891" s="58" t="s">
        <v>486</v>
      </c>
      <c r="O891" s="54"/>
    </row>
    <row r="892" spans="1:15" ht="13.5" customHeight="1" x14ac:dyDescent="0.25">
      <c r="A892" s="13" t="s">
        <v>2132</v>
      </c>
      <c r="B892" s="49" t="s">
        <v>2121</v>
      </c>
      <c r="C892" s="14" t="s">
        <v>2133</v>
      </c>
      <c r="D892" s="50" t="s">
        <v>2123</v>
      </c>
      <c r="E892" s="64" t="s">
        <v>566</v>
      </c>
      <c r="F892" s="54" t="s">
        <v>485</v>
      </c>
      <c r="G892" s="54" t="s">
        <v>485</v>
      </c>
      <c r="H892" s="54" t="s">
        <v>485</v>
      </c>
      <c r="I892" s="43">
        <f>'01_PARÂMETROS'!$B$9</f>
        <v>50</v>
      </c>
      <c r="J892" s="44">
        <f t="shared" si="43"/>
        <v>1.1499999999999999</v>
      </c>
      <c r="K892" s="45">
        <f>MAX('01_PARÂMETROS'!$B$11,MIN('01_PARÂMETROS'!$B$12,J892))</f>
        <v>1.1499999999999999</v>
      </c>
      <c r="L892" s="46">
        <f t="shared" si="41"/>
        <v>0.14999999999999991</v>
      </c>
      <c r="M892" s="47" t="str">
        <f>IF(K892&lt;='01_PARÂMETROS'!$B$14,"Preferencial",IF(K892&lt;='01_PARÂMETROS'!$B$15,"Baixo",IF(K892&lt;='01_PARÂMETROS'!$B$16,"Médio",IF(K892&lt;='01_PARÂMETROS'!$B$17,"Alto","Elevado"))))</f>
        <v>Alto</v>
      </c>
      <c r="N892" s="58" t="s">
        <v>486</v>
      </c>
      <c r="O892" s="61"/>
    </row>
    <row r="893" spans="1:15" ht="13.5" customHeight="1" x14ac:dyDescent="0.25">
      <c r="A893" s="24" t="s">
        <v>2134</v>
      </c>
      <c r="B893" s="38" t="s">
        <v>2121</v>
      </c>
      <c r="C893" s="25" t="s">
        <v>2135</v>
      </c>
      <c r="D893" s="39" t="s">
        <v>2123</v>
      </c>
      <c r="E893" s="64" t="s">
        <v>566</v>
      </c>
      <c r="F893" s="54" t="s">
        <v>485</v>
      </c>
      <c r="G893" s="54" t="s">
        <v>485</v>
      </c>
      <c r="H893" s="54" t="s">
        <v>485</v>
      </c>
      <c r="I893" s="43">
        <f>'01_PARÂMETROS'!$B$9</f>
        <v>50</v>
      </c>
      <c r="J893" s="44">
        <f t="shared" si="43"/>
        <v>1.1499999999999999</v>
      </c>
      <c r="K893" s="45">
        <f>MAX('01_PARÂMETROS'!$B$11,MIN('01_PARÂMETROS'!$B$12,J893))</f>
        <v>1.1499999999999999</v>
      </c>
      <c r="L893" s="46">
        <f t="shared" si="41"/>
        <v>0.14999999999999991</v>
      </c>
      <c r="M893" s="47" t="str">
        <f>IF(K893&lt;='01_PARÂMETROS'!$B$14,"Preferencial",IF(K893&lt;='01_PARÂMETROS'!$B$15,"Baixo",IF(K893&lt;='01_PARÂMETROS'!$B$16,"Médio",IF(K893&lt;='01_PARÂMETROS'!$B$17,"Alto","Elevado"))))</f>
        <v>Alto</v>
      </c>
      <c r="N893" s="58" t="s">
        <v>486</v>
      </c>
      <c r="O893" s="54"/>
    </row>
    <row r="894" spans="1:15" ht="13.5" customHeight="1" x14ac:dyDescent="0.25">
      <c r="A894" s="13" t="s">
        <v>2136</v>
      </c>
      <c r="B894" s="49" t="s">
        <v>2121</v>
      </c>
      <c r="C894" s="14" t="s">
        <v>2137</v>
      </c>
      <c r="D894" s="50" t="s">
        <v>2123</v>
      </c>
      <c r="E894" s="64" t="s">
        <v>566</v>
      </c>
      <c r="F894" s="54" t="s">
        <v>485</v>
      </c>
      <c r="G894" s="54" t="s">
        <v>485</v>
      </c>
      <c r="H894" s="54" t="s">
        <v>485</v>
      </c>
      <c r="I894" s="43">
        <f>'01_PARÂMETROS'!$B$9</f>
        <v>50</v>
      </c>
      <c r="J894" s="44">
        <f t="shared" si="43"/>
        <v>1.1499999999999999</v>
      </c>
      <c r="K894" s="45">
        <f>MAX('01_PARÂMETROS'!$B$11,MIN('01_PARÂMETROS'!$B$12,J894))</f>
        <v>1.1499999999999999</v>
      </c>
      <c r="L894" s="46">
        <f t="shared" si="41"/>
        <v>0.14999999999999991</v>
      </c>
      <c r="M894" s="47" t="str">
        <f>IF(K894&lt;='01_PARÂMETROS'!$B$14,"Preferencial",IF(K894&lt;='01_PARÂMETROS'!$B$15,"Baixo",IF(K894&lt;='01_PARÂMETROS'!$B$16,"Médio",IF(K894&lt;='01_PARÂMETROS'!$B$17,"Alto","Elevado"))))</f>
        <v>Alto</v>
      </c>
      <c r="N894" s="58" t="s">
        <v>486</v>
      </c>
      <c r="O894" s="61"/>
    </row>
    <row r="895" spans="1:15" ht="13.5" customHeight="1" x14ac:dyDescent="0.25">
      <c r="A895" s="24" t="s">
        <v>2138</v>
      </c>
      <c r="B895" s="38" t="s">
        <v>2121</v>
      </c>
      <c r="C895" s="25" t="s">
        <v>2139</v>
      </c>
      <c r="D895" s="39" t="s">
        <v>2123</v>
      </c>
      <c r="E895" s="64" t="s">
        <v>566</v>
      </c>
      <c r="F895" s="54" t="s">
        <v>485</v>
      </c>
      <c r="G895" s="54" t="s">
        <v>485</v>
      </c>
      <c r="H895" s="54" t="s">
        <v>485</v>
      </c>
      <c r="I895" s="43">
        <f>'01_PARÂMETROS'!$B$9</f>
        <v>50</v>
      </c>
      <c r="J895" s="44">
        <f t="shared" si="43"/>
        <v>1.1499999999999999</v>
      </c>
      <c r="K895" s="45">
        <f>MAX('01_PARÂMETROS'!$B$11,MIN('01_PARÂMETROS'!$B$12,J895))</f>
        <v>1.1499999999999999</v>
      </c>
      <c r="L895" s="46">
        <f t="shared" si="41"/>
        <v>0.14999999999999991</v>
      </c>
      <c r="M895" s="47" t="str">
        <f>IF(K895&lt;='01_PARÂMETROS'!$B$14,"Preferencial",IF(K895&lt;='01_PARÂMETROS'!$B$15,"Baixo",IF(K895&lt;='01_PARÂMETROS'!$B$16,"Médio",IF(K895&lt;='01_PARÂMETROS'!$B$17,"Alto","Elevado"))))</f>
        <v>Alto</v>
      </c>
      <c r="N895" s="58" t="s">
        <v>486</v>
      </c>
      <c r="O895" s="54"/>
    </row>
    <row r="896" spans="1:15" ht="13.5" customHeight="1" x14ac:dyDescent="0.25">
      <c r="A896" s="13" t="s">
        <v>2140</v>
      </c>
      <c r="B896" s="49" t="s">
        <v>2121</v>
      </c>
      <c r="C896" s="14" t="s">
        <v>2141</v>
      </c>
      <c r="D896" s="50" t="s">
        <v>2123</v>
      </c>
      <c r="E896" s="64" t="s">
        <v>566</v>
      </c>
      <c r="F896" s="54" t="s">
        <v>485</v>
      </c>
      <c r="G896" s="54" t="s">
        <v>485</v>
      </c>
      <c r="H896" s="54" t="s">
        <v>485</v>
      </c>
      <c r="I896" s="43">
        <f>'01_PARÂMETROS'!$B$9</f>
        <v>50</v>
      </c>
      <c r="J896" s="44">
        <f t="shared" si="43"/>
        <v>1.1499999999999999</v>
      </c>
      <c r="K896" s="45">
        <f>MAX('01_PARÂMETROS'!$B$11,MIN('01_PARÂMETROS'!$B$12,J896))</f>
        <v>1.1499999999999999</v>
      </c>
      <c r="L896" s="46">
        <f t="shared" si="41"/>
        <v>0.14999999999999991</v>
      </c>
      <c r="M896" s="47" t="str">
        <f>IF(K896&lt;='01_PARÂMETROS'!$B$14,"Preferencial",IF(K896&lt;='01_PARÂMETROS'!$B$15,"Baixo",IF(K896&lt;='01_PARÂMETROS'!$B$16,"Médio",IF(K896&lt;='01_PARÂMETROS'!$B$17,"Alto","Elevado"))))</f>
        <v>Alto</v>
      </c>
      <c r="N896" s="58" t="s">
        <v>486</v>
      </c>
      <c r="O896" s="61"/>
    </row>
    <row r="897" spans="1:15" ht="13.5" customHeight="1" x14ac:dyDescent="0.25">
      <c r="A897" s="24" t="s">
        <v>2142</v>
      </c>
      <c r="B897" s="38" t="s">
        <v>2121</v>
      </c>
      <c r="C897" s="25" t="s">
        <v>2143</v>
      </c>
      <c r="D897" s="39" t="s">
        <v>2123</v>
      </c>
      <c r="E897" s="64" t="s">
        <v>566</v>
      </c>
      <c r="F897" s="54" t="s">
        <v>485</v>
      </c>
      <c r="G897" s="54" t="s">
        <v>485</v>
      </c>
      <c r="H897" s="54" t="s">
        <v>485</v>
      </c>
      <c r="I897" s="43">
        <f>'01_PARÂMETROS'!$B$9</f>
        <v>50</v>
      </c>
      <c r="J897" s="44">
        <f t="shared" si="43"/>
        <v>1.1499999999999999</v>
      </c>
      <c r="K897" s="45">
        <f>MAX('01_PARÂMETROS'!$B$11,MIN('01_PARÂMETROS'!$B$12,J897))</f>
        <v>1.1499999999999999</v>
      </c>
      <c r="L897" s="46">
        <f t="shared" si="41"/>
        <v>0.14999999999999991</v>
      </c>
      <c r="M897" s="47" t="str">
        <f>IF(K897&lt;='01_PARÂMETROS'!$B$14,"Preferencial",IF(K897&lt;='01_PARÂMETROS'!$B$15,"Baixo",IF(K897&lt;='01_PARÂMETROS'!$B$16,"Médio",IF(K897&lt;='01_PARÂMETROS'!$B$17,"Alto","Elevado"))))</f>
        <v>Alto</v>
      </c>
      <c r="N897" s="58" t="s">
        <v>486</v>
      </c>
      <c r="O897" s="54"/>
    </row>
    <row r="898" spans="1:15" ht="13.5" customHeight="1" x14ac:dyDescent="0.25">
      <c r="A898" s="13" t="s">
        <v>2144</v>
      </c>
      <c r="B898" s="49" t="s">
        <v>2121</v>
      </c>
      <c r="C898" s="14" t="s">
        <v>2145</v>
      </c>
      <c r="D898" s="50" t="s">
        <v>2123</v>
      </c>
      <c r="E898" s="64" t="s">
        <v>566</v>
      </c>
      <c r="F898" s="54" t="s">
        <v>485</v>
      </c>
      <c r="G898" s="54" t="s">
        <v>485</v>
      </c>
      <c r="H898" s="54" t="s">
        <v>485</v>
      </c>
      <c r="I898" s="43">
        <f>'01_PARÂMETROS'!$B$9</f>
        <v>50</v>
      </c>
      <c r="J898" s="44">
        <f t="shared" si="43"/>
        <v>1.1499999999999999</v>
      </c>
      <c r="K898" s="45">
        <f>MAX('01_PARÂMETROS'!$B$11,MIN('01_PARÂMETROS'!$B$12,J898))</f>
        <v>1.1499999999999999</v>
      </c>
      <c r="L898" s="46">
        <f t="shared" si="41"/>
        <v>0.14999999999999991</v>
      </c>
      <c r="M898" s="47" t="str">
        <f>IF(K898&lt;='01_PARÂMETROS'!$B$14,"Preferencial",IF(K898&lt;='01_PARÂMETROS'!$B$15,"Baixo",IF(K898&lt;='01_PARÂMETROS'!$B$16,"Médio",IF(K898&lt;='01_PARÂMETROS'!$B$17,"Alto","Elevado"))))</f>
        <v>Alto</v>
      </c>
      <c r="N898" s="58" t="s">
        <v>486</v>
      </c>
      <c r="O898" s="61"/>
    </row>
    <row r="899" spans="1:15" ht="13.5" customHeight="1" x14ac:dyDescent="0.25">
      <c r="A899" s="24" t="s">
        <v>2146</v>
      </c>
      <c r="B899" s="38" t="s">
        <v>2121</v>
      </c>
      <c r="C899" s="25" t="s">
        <v>2147</v>
      </c>
      <c r="D899" s="39" t="s">
        <v>2123</v>
      </c>
      <c r="E899" s="64" t="s">
        <v>566</v>
      </c>
      <c r="F899" s="54" t="s">
        <v>485</v>
      </c>
      <c r="G899" s="54" t="s">
        <v>485</v>
      </c>
      <c r="H899" s="54" t="s">
        <v>485</v>
      </c>
      <c r="I899" s="43">
        <f>'01_PARÂMETROS'!$B$9</f>
        <v>50</v>
      </c>
      <c r="J899" s="44">
        <f t="shared" si="43"/>
        <v>1.1499999999999999</v>
      </c>
      <c r="K899" s="45">
        <f>MAX('01_PARÂMETROS'!$B$11,MIN('01_PARÂMETROS'!$B$12,J899))</f>
        <v>1.1499999999999999</v>
      </c>
      <c r="L899" s="46">
        <f t="shared" si="41"/>
        <v>0.14999999999999991</v>
      </c>
      <c r="M899" s="47" t="str">
        <f>IF(K899&lt;='01_PARÂMETROS'!$B$14,"Preferencial",IF(K899&lt;='01_PARÂMETROS'!$B$15,"Baixo",IF(K899&lt;='01_PARÂMETROS'!$B$16,"Médio",IF(K899&lt;='01_PARÂMETROS'!$B$17,"Alto","Elevado"))))</f>
        <v>Alto</v>
      </c>
      <c r="N899" s="58" t="s">
        <v>486</v>
      </c>
      <c r="O899" s="54"/>
    </row>
    <row r="900" spans="1:15" ht="13.5" customHeight="1" x14ac:dyDescent="0.25">
      <c r="A900" s="13" t="s">
        <v>2148</v>
      </c>
      <c r="B900" s="49" t="s">
        <v>2121</v>
      </c>
      <c r="C900" s="14" t="s">
        <v>2149</v>
      </c>
      <c r="D900" s="50" t="s">
        <v>2123</v>
      </c>
      <c r="E900" s="64" t="s">
        <v>566</v>
      </c>
      <c r="F900" s="54" t="s">
        <v>485</v>
      </c>
      <c r="G900" s="54" t="s">
        <v>485</v>
      </c>
      <c r="H900" s="54" t="s">
        <v>485</v>
      </c>
      <c r="I900" s="43">
        <f>'01_PARÂMETROS'!$B$9</f>
        <v>50</v>
      </c>
      <c r="J900" s="44">
        <f t="shared" si="43"/>
        <v>1.1499999999999999</v>
      </c>
      <c r="K900" s="45">
        <f>MAX('01_PARÂMETROS'!$B$11,MIN('01_PARÂMETROS'!$B$12,J900))</f>
        <v>1.1499999999999999</v>
      </c>
      <c r="L900" s="46">
        <f t="shared" si="41"/>
        <v>0.14999999999999991</v>
      </c>
      <c r="M900" s="47" t="str">
        <f>IF(K900&lt;='01_PARÂMETROS'!$B$14,"Preferencial",IF(K900&lt;='01_PARÂMETROS'!$B$15,"Baixo",IF(K900&lt;='01_PARÂMETROS'!$B$16,"Médio",IF(K900&lt;='01_PARÂMETROS'!$B$17,"Alto","Elevado"))))</f>
        <v>Alto</v>
      </c>
      <c r="N900" s="58" t="s">
        <v>486</v>
      </c>
      <c r="O900" s="61"/>
    </row>
    <row r="901" spans="1:15" ht="13.5" customHeight="1" x14ac:dyDescent="0.25">
      <c r="A901" s="24" t="s">
        <v>2150</v>
      </c>
      <c r="B901" s="38" t="s">
        <v>2121</v>
      </c>
      <c r="C901" s="25" t="s">
        <v>2151</v>
      </c>
      <c r="D901" s="39" t="s">
        <v>2123</v>
      </c>
      <c r="E901" s="64" t="s">
        <v>566</v>
      </c>
      <c r="F901" s="54" t="s">
        <v>485</v>
      </c>
      <c r="G901" s="54" t="s">
        <v>485</v>
      </c>
      <c r="H901" s="54" t="s">
        <v>485</v>
      </c>
      <c r="I901" s="43">
        <f>'01_PARÂMETROS'!$B$9</f>
        <v>50</v>
      </c>
      <c r="J901" s="44">
        <f t="shared" si="43"/>
        <v>1.1499999999999999</v>
      </c>
      <c r="K901" s="45">
        <f>MAX('01_PARÂMETROS'!$B$11,MIN('01_PARÂMETROS'!$B$12,J901))</f>
        <v>1.1499999999999999</v>
      </c>
      <c r="L901" s="46">
        <f t="shared" ref="L901:L964" si="44">(K901-1)</f>
        <v>0.14999999999999991</v>
      </c>
      <c r="M901" s="47" t="str">
        <f>IF(K901&lt;='01_PARÂMETROS'!$B$14,"Preferencial",IF(K901&lt;='01_PARÂMETROS'!$B$15,"Baixo",IF(K901&lt;='01_PARÂMETROS'!$B$16,"Médio",IF(K901&lt;='01_PARÂMETROS'!$B$17,"Alto","Elevado"))))</f>
        <v>Alto</v>
      </c>
      <c r="N901" s="58" t="s">
        <v>486</v>
      </c>
      <c r="O901" s="54"/>
    </row>
    <row r="902" spans="1:15" ht="13.5" customHeight="1" x14ac:dyDescent="0.25">
      <c r="A902" s="13" t="s">
        <v>2152</v>
      </c>
      <c r="B902" s="49" t="s">
        <v>2121</v>
      </c>
      <c r="C902" s="14" t="s">
        <v>2153</v>
      </c>
      <c r="D902" s="50" t="s">
        <v>2123</v>
      </c>
      <c r="E902" s="64" t="s">
        <v>566</v>
      </c>
      <c r="F902" s="54" t="s">
        <v>485</v>
      </c>
      <c r="G902" s="54" t="s">
        <v>485</v>
      </c>
      <c r="H902" s="54" t="s">
        <v>485</v>
      </c>
      <c r="I902" s="43">
        <f>'01_PARÂMETROS'!$B$9</f>
        <v>50</v>
      </c>
      <c r="J902" s="44">
        <f t="shared" si="43"/>
        <v>1.1499999999999999</v>
      </c>
      <c r="K902" s="45">
        <f>MAX('01_PARÂMETROS'!$B$11,MIN('01_PARÂMETROS'!$B$12,J902))</f>
        <v>1.1499999999999999</v>
      </c>
      <c r="L902" s="46">
        <f t="shared" si="44"/>
        <v>0.14999999999999991</v>
      </c>
      <c r="M902" s="47" t="str">
        <f>IF(K902&lt;='01_PARÂMETROS'!$B$14,"Preferencial",IF(K902&lt;='01_PARÂMETROS'!$B$15,"Baixo",IF(K902&lt;='01_PARÂMETROS'!$B$16,"Médio",IF(K902&lt;='01_PARÂMETROS'!$B$17,"Alto","Elevado"))))</f>
        <v>Alto</v>
      </c>
      <c r="N902" s="58" t="s">
        <v>486</v>
      </c>
      <c r="O902" s="61"/>
    </row>
    <row r="903" spans="1:15" ht="13.5" customHeight="1" x14ac:dyDescent="0.25">
      <c r="A903" s="24" t="s">
        <v>2154</v>
      </c>
      <c r="B903" s="38" t="s">
        <v>2121</v>
      </c>
      <c r="C903" s="25" t="s">
        <v>2155</v>
      </c>
      <c r="D903" s="39" t="s">
        <v>2123</v>
      </c>
      <c r="E903" s="64" t="s">
        <v>566</v>
      </c>
      <c r="F903" s="54" t="s">
        <v>485</v>
      </c>
      <c r="G903" s="54" t="s">
        <v>485</v>
      </c>
      <c r="H903" s="54" t="s">
        <v>485</v>
      </c>
      <c r="I903" s="43">
        <f>'01_PARÂMETROS'!$B$9</f>
        <v>50</v>
      </c>
      <c r="J903" s="44">
        <f t="shared" si="43"/>
        <v>1.1499999999999999</v>
      </c>
      <c r="K903" s="45">
        <f>MAX('01_PARÂMETROS'!$B$11,MIN('01_PARÂMETROS'!$B$12,J903))</f>
        <v>1.1499999999999999</v>
      </c>
      <c r="L903" s="46">
        <f t="shared" si="44"/>
        <v>0.14999999999999991</v>
      </c>
      <c r="M903" s="47" t="str">
        <f>IF(K903&lt;='01_PARÂMETROS'!$B$14,"Preferencial",IF(K903&lt;='01_PARÂMETROS'!$B$15,"Baixo",IF(K903&lt;='01_PARÂMETROS'!$B$16,"Médio",IF(K903&lt;='01_PARÂMETROS'!$B$17,"Alto","Elevado"))))</f>
        <v>Alto</v>
      </c>
      <c r="N903" s="58" t="s">
        <v>486</v>
      </c>
      <c r="O903" s="54"/>
    </row>
    <row r="904" spans="1:15" ht="13.5" customHeight="1" x14ac:dyDescent="0.25">
      <c r="A904" s="13" t="s">
        <v>2156</v>
      </c>
      <c r="B904" s="49" t="s">
        <v>2121</v>
      </c>
      <c r="C904" s="14" t="s">
        <v>2157</v>
      </c>
      <c r="D904" s="50" t="s">
        <v>2123</v>
      </c>
      <c r="E904" s="64" t="s">
        <v>566</v>
      </c>
      <c r="F904" s="54" t="s">
        <v>485</v>
      </c>
      <c r="G904" s="54" t="s">
        <v>485</v>
      </c>
      <c r="H904" s="54" t="s">
        <v>485</v>
      </c>
      <c r="I904" s="43">
        <f>'01_PARÂMETROS'!$B$9</f>
        <v>50</v>
      </c>
      <c r="J904" s="44">
        <f t="shared" si="43"/>
        <v>1.1499999999999999</v>
      </c>
      <c r="K904" s="45">
        <f>MAX('01_PARÂMETROS'!$B$11,MIN('01_PARÂMETROS'!$B$12,J904))</f>
        <v>1.1499999999999999</v>
      </c>
      <c r="L904" s="46">
        <f t="shared" si="44"/>
        <v>0.14999999999999991</v>
      </c>
      <c r="M904" s="47" t="str">
        <f>IF(K904&lt;='01_PARÂMETROS'!$B$14,"Preferencial",IF(K904&lt;='01_PARÂMETROS'!$B$15,"Baixo",IF(K904&lt;='01_PARÂMETROS'!$B$16,"Médio",IF(K904&lt;='01_PARÂMETROS'!$B$17,"Alto","Elevado"))))</f>
        <v>Alto</v>
      </c>
      <c r="N904" s="58" t="s">
        <v>486</v>
      </c>
      <c r="O904" s="61"/>
    </row>
    <row r="905" spans="1:15" ht="13.5" customHeight="1" x14ac:dyDescent="0.25">
      <c r="A905" s="24" t="s">
        <v>2158</v>
      </c>
      <c r="B905" s="38" t="s">
        <v>2121</v>
      </c>
      <c r="C905" s="25" t="s">
        <v>2159</v>
      </c>
      <c r="D905" s="39" t="s">
        <v>2123</v>
      </c>
      <c r="E905" s="64" t="s">
        <v>566</v>
      </c>
      <c r="F905" s="54" t="s">
        <v>485</v>
      </c>
      <c r="G905" s="54" t="s">
        <v>485</v>
      </c>
      <c r="H905" s="54" t="s">
        <v>485</v>
      </c>
      <c r="I905" s="43">
        <f>'01_PARÂMETROS'!$B$9</f>
        <v>50</v>
      </c>
      <c r="J905" s="44">
        <f t="shared" si="43"/>
        <v>1.1499999999999999</v>
      </c>
      <c r="K905" s="45">
        <f>MAX('01_PARÂMETROS'!$B$11,MIN('01_PARÂMETROS'!$B$12,J905))</f>
        <v>1.1499999999999999</v>
      </c>
      <c r="L905" s="46">
        <f t="shared" si="44"/>
        <v>0.14999999999999991</v>
      </c>
      <c r="M905" s="47" t="str">
        <f>IF(K905&lt;='01_PARÂMETROS'!$B$14,"Preferencial",IF(K905&lt;='01_PARÂMETROS'!$B$15,"Baixo",IF(K905&lt;='01_PARÂMETROS'!$B$16,"Médio",IF(K905&lt;='01_PARÂMETROS'!$B$17,"Alto","Elevado"))))</f>
        <v>Alto</v>
      </c>
      <c r="N905" s="58" t="s">
        <v>486</v>
      </c>
      <c r="O905" s="54"/>
    </row>
    <row r="906" spans="1:15" ht="13.5" customHeight="1" x14ac:dyDescent="0.25">
      <c r="A906" s="13" t="s">
        <v>2160</v>
      </c>
      <c r="B906" s="49" t="s">
        <v>2121</v>
      </c>
      <c r="C906" s="14" t="s">
        <v>2161</v>
      </c>
      <c r="D906" s="50" t="s">
        <v>2123</v>
      </c>
      <c r="E906" s="64" t="s">
        <v>566</v>
      </c>
      <c r="F906" s="54" t="s">
        <v>485</v>
      </c>
      <c r="G906" s="54" t="s">
        <v>485</v>
      </c>
      <c r="H906" s="54" t="s">
        <v>485</v>
      </c>
      <c r="I906" s="43">
        <f>'01_PARÂMETROS'!$B$9</f>
        <v>50</v>
      </c>
      <c r="J906" s="44">
        <f t="shared" si="43"/>
        <v>1.1499999999999999</v>
      </c>
      <c r="K906" s="45">
        <f>MAX('01_PARÂMETROS'!$B$11,MIN('01_PARÂMETROS'!$B$12,J906))</f>
        <v>1.1499999999999999</v>
      </c>
      <c r="L906" s="46">
        <f t="shared" si="44"/>
        <v>0.14999999999999991</v>
      </c>
      <c r="M906" s="47" t="str">
        <f>IF(K906&lt;='01_PARÂMETROS'!$B$14,"Preferencial",IF(K906&lt;='01_PARÂMETROS'!$B$15,"Baixo",IF(K906&lt;='01_PARÂMETROS'!$B$16,"Médio",IF(K906&lt;='01_PARÂMETROS'!$B$17,"Alto","Elevado"))))</f>
        <v>Alto</v>
      </c>
      <c r="N906" s="58" t="s">
        <v>486</v>
      </c>
      <c r="O906" s="61"/>
    </row>
    <row r="907" spans="1:15" ht="13.5" customHeight="1" x14ac:dyDescent="0.25">
      <c r="A907" s="24" t="s">
        <v>2162</v>
      </c>
      <c r="B907" s="38" t="s">
        <v>2121</v>
      </c>
      <c r="C907" s="25" t="s">
        <v>2163</v>
      </c>
      <c r="D907" s="39" t="s">
        <v>2123</v>
      </c>
      <c r="E907" s="64" t="s">
        <v>566</v>
      </c>
      <c r="F907" s="54" t="s">
        <v>485</v>
      </c>
      <c r="G907" s="54" t="s">
        <v>485</v>
      </c>
      <c r="H907" s="54" t="s">
        <v>485</v>
      </c>
      <c r="I907" s="43">
        <f>'01_PARÂMETROS'!$B$9</f>
        <v>50</v>
      </c>
      <c r="J907" s="44">
        <f t="shared" si="43"/>
        <v>1.1499999999999999</v>
      </c>
      <c r="K907" s="45">
        <f>MAX('01_PARÂMETROS'!$B$11,MIN('01_PARÂMETROS'!$B$12,J907))</f>
        <v>1.1499999999999999</v>
      </c>
      <c r="L907" s="46">
        <f t="shared" si="44"/>
        <v>0.14999999999999991</v>
      </c>
      <c r="M907" s="47" t="str">
        <f>IF(K907&lt;='01_PARÂMETROS'!$B$14,"Preferencial",IF(K907&lt;='01_PARÂMETROS'!$B$15,"Baixo",IF(K907&lt;='01_PARÂMETROS'!$B$16,"Médio",IF(K907&lt;='01_PARÂMETROS'!$B$17,"Alto","Elevado"))))</f>
        <v>Alto</v>
      </c>
      <c r="N907" s="58" t="s">
        <v>486</v>
      </c>
      <c r="O907" s="54"/>
    </row>
    <row r="908" spans="1:15" ht="13.5" customHeight="1" x14ac:dyDescent="0.25">
      <c r="A908" s="13" t="s">
        <v>2164</v>
      </c>
      <c r="B908" s="49" t="s">
        <v>2121</v>
      </c>
      <c r="C908" s="14" t="s">
        <v>2165</v>
      </c>
      <c r="D908" s="50" t="s">
        <v>2123</v>
      </c>
      <c r="E908" s="64" t="s">
        <v>566</v>
      </c>
      <c r="F908" s="54" t="s">
        <v>485</v>
      </c>
      <c r="G908" s="54" t="s">
        <v>485</v>
      </c>
      <c r="H908" s="54" t="s">
        <v>485</v>
      </c>
      <c r="I908" s="43">
        <f>'01_PARÂMETROS'!$B$9</f>
        <v>50</v>
      </c>
      <c r="J908" s="44">
        <f t="shared" si="43"/>
        <v>1.1499999999999999</v>
      </c>
      <c r="K908" s="45">
        <f>MAX('01_PARÂMETROS'!$B$11,MIN('01_PARÂMETROS'!$B$12,J908))</f>
        <v>1.1499999999999999</v>
      </c>
      <c r="L908" s="46">
        <f t="shared" si="44"/>
        <v>0.14999999999999991</v>
      </c>
      <c r="M908" s="47" t="str">
        <f>IF(K908&lt;='01_PARÂMETROS'!$B$14,"Preferencial",IF(K908&lt;='01_PARÂMETROS'!$B$15,"Baixo",IF(K908&lt;='01_PARÂMETROS'!$B$16,"Médio",IF(K908&lt;='01_PARÂMETROS'!$B$17,"Alto","Elevado"))))</f>
        <v>Alto</v>
      </c>
      <c r="N908" s="58" t="s">
        <v>486</v>
      </c>
      <c r="O908" s="61"/>
    </row>
    <row r="909" spans="1:15" ht="13.5" customHeight="1" x14ac:dyDescent="0.25">
      <c r="A909" s="24" t="s">
        <v>2166</v>
      </c>
      <c r="B909" s="38" t="s">
        <v>2121</v>
      </c>
      <c r="C909" s="25" t="s">
        <v>2167</v>
      </c>
      <c r="D909" s="39" t="s">
        <v>2123</v>
      </c>
      <c r="E909" s="64" t="s">
        <v>566</v>
      </c>
      <c r="F909" s="54" t="s">
        <v>485</v>
      </c>
      <c r="G909" s="54" t="s">
        <v>485</v>
      </c>
      <c r="H909" s="54" t="s">
        <v>485</v>
      </c>
      <c r="I909" s="43">
        <f>'01_PARÂMETROS'!$B$9</f>
        <v>50</v>
      </c>
      <c r="J909" s="44">
        <f t="shared" si="43"/>
        <v>1.1499999999999999</v>
      </c>
      <c r="K909" s="45">
        <f>MAX('01_PARÂMETROS'!$B$11,MIN('01_PARÂMETROS'!$B$12,J909))</f>
        <v>1.1499999999999999</v>
      </c>
      <c r="L909" s="46">
        <f t="shared" si="44"/>
        <v>0.14999999999999991</v>
      </c>
      <c r="M909" s="47" t="str">
        <f>IF(K909&lt;='01_PARÂMETROS'!$B$14,"Preferencial",IF(K909&lt;='01_PARÂMETROS'!$B$15,"Baixo",IF(K909&lt;='01_PARÂMETROS'!$B$16,"Médio",IF(K909&lt;='01_PARÂMETROS'!$B$17,"Alto","Elevado"))))</f>
        <v>Alto</v>
      </c>
      <c r="N909" s="58" t="s">
        <v>486</v>
      </c>
      <c r="O909" s="54"/>
    </row>
    <row r="910" spans="1:15" ht="13.5" customHeight="1" x14ac:dyDescent="0.25">
      <c r="A910" s="13" t="s">
        <v>2168</v>
      </c>
      <c r="B910" s="49" t="s">
        <v>2121</v>
      </c>
      <c r="C910" s="14" t="s">
        <v>2169</v>
      </c>
      <c r="D910" s="50" t="s">
        <v>2170</v>
      </c>
      <c r="E910" s="64" t="s">
        <v>566</v>
      </c>
      <c r="F910" s="54" t="s">
        <v>485</v>
      </c>
      <c r="G910" s="54" t="s">
        <v>485</v>
      </c>
      <c r="H910" s="54" t="s">
        <v>485</v>
      </c>
      <c r="I910" s="43">
        <f>'01_PARÂMETROS'!$B$9</f>
        <v>50</v>
      </c>
      <c r="J910" s="44">
        <f t="shared" si="43"/>
        <v>1.1499999999999999</v>
      </c>
      <c r="K910" s="45">
        <f>MAX('01_PARÂMETROS'!$B$11,MIN('01_PARÂMETROS'!$B$12,J910))</f>
        <v>1.1499999999999999</v>
      </c>
      <c r="L910" s="46">
        <f t="shared" si="44"/>
        <v>0.14999999999999991</v>
      </c>
      <c r="M910" s="47" t="str">
        <f>IF(K910&lt;='01_PARÂMETROS'!$B$14,"Preferencial",IF(K910&lt;='01_PARÂMETROS'!$B$15,"Baixo",IF(K910&lt;='01_PARÂMETROS'!$B$16,"Médio",IF(K910&lt;='01_PARÂMETROS'!$B$17,"Alto","Elevado"))))</f>
        <v>Alto</v>
      </c>
      <c r="N910" s="58" t="s">
        <v>486</v>
      </c>
      <c r="O910" s="61"/>
    </row>
    <row r="911" spans="1:15" ht="13.5" customHeight="1" x14ac:dyDescent="0.25">
      <c r="A911" s="24" t="s">
        <v>2171</v>
      </c>
      <c r="B911" s="38" t="s">
        <v>2121</v>
      </c>
      <c r="C911" s="25" t="s">
        <v>2172</v>
      </c>
      <c r="D911" s="39" t="s">
        <v>2170</v>
      </c>
      <c r="E911" s="64" t="s">
        <v>566</v>
      </c>
      <c r="F911" s="54" t="s">
        <v>485</v>
      </c>
      <c r="G911" s="54" t="s">
        <v>485</v>
      </c>
      <c r="H911" s="54" t="s">
        <v>485</v>
      </c>
      <c r="I911" s="43">
        <f>'01_PARÂMETROS'!$B$9</f>
        <v>50</v>
      </c>
      <c r="J911" s="44">
        <f t="shared" si="43"/>
        <v>1.1499999999999999</v>
      </c>
      <c r="K911" s="45">
        <f>MAX('01_PARÂMETROS'!$B$11,MIN('01_PARÂMETROS'!$B$12,J911))</f>
        <v>1.1499999999999999</v>
      </c>
      <c r="L911" s="46">
        <f t="shared" si="44"/>
        <v>0.14999999999999991</v>
      </c>
      <c r="M911" s="47" t="str">
        <f>IF(K911&lt;='01_PARÂMETROS'!$B$14,"Preferencial",IF(K911&lt;='01_PARÂMETROS'!$B$15,"Baixo",IF(K911&lt;='01_PARÂMETROS'!$B$16,"Médio",IF(K911&lt;='01_PARÂMETROS'!$B$17,"Alto","Elevado"))))</f>
        <v>Alto</v>
      </c>
      <c r="N911" s="58" t="s">
        <v>486</v>
      </c>
      <c r="O911" s="54"/>
    </row>
    <row r="912" spans="1:15" ht="13.5" customHeight="1" x14ac:dyDescent="0.25">
      <c r="A912" s="13" t="s">
        <v>2173</v>
      </c>
      <c r="B912" s="49" t="s">
        <v>2121</v>
      </c>
      <c r="C912" s="14" t="s">
        <v>2174</v>
      </c>
      <c r="D912" s="50" t="s">
        <v>2170</v>
      </c>
      <c r="E912" s="64" t="s">
        <v>566</v>
      </c>
      <c r="F912" s="54" t="s">
        <v>485</v>
      </c>
      <c r="G912" s="54" t="s">
        <v>485</v>
      </c>
      <c r="H912" s="54" t="s">
        <v>485</v>
      </c>
      <c r="I912" s="43">
        <f>'01_PARÂMETROS'!$B$9</f>
        <v>50</v>
      </c>
      <c r="J912" s="44">
        <f t="shared" si="43"/>
        <v>1.1499999999999999</v>
      </c>
      <c r="K912" s="45">
        <f>MAX('01_PARÂMETROS'!$B$11,MIN('01_PARÂMETROS'!$B$12,J912))</f>
        <v>1.1499999999999999</v>
      </c>
      <c r="L912" s="46">
        <f t="shared" si="44"/>
        <v>0.14999999999999991</v>
      </c>
      <c r="M912" s="47" t="str">
        <f>IF(K912&lt;='01_PARÂMETROS'!$B$14,"Preferencial",IF(K912&lt;='01_PARÂMETROS'!$B$15,"Baixo",IF(K912&lt;='01_PARÂMETROS'!$B$16,"Médio",IF(K912&lt;='01_PARÂMETROS'!$B$17,"Alto","Elevado"))))</f>
        <v>Alto</v>
      </c>
      <c r="N912" s="58" t="s">
        <v>486</v>
      </c>
      <c r="O912" s="61"/>
    </row>
    <row r="913" spans="1:15" ht="13.5" customHeight="1" x14ac:dyDescent="0.25">
      <c r="A913" s="24" t="s">
        <v>2175</v>
      </c>
      <c r="B913" s="38" t="s">
        <v>2121</v>
      </c>
      <c r="C913" s="25" t="s">
        <v>2176</v>
      </c>
      <c r="D913" s="39" t="s">
        <v>2170</v>
      </c>
      <c r="E913" s="64" t="s">
        <v>566</v>
      </c>
      <c r="F913" s="54" t="s">
        <v>485</v>
      </c>
      <c r="G913" s="54" t="s">
        <v>485</v>
      </c>
      <c r="H913" s="54" t="s">
        <v>485</v>
      </c>
      <c r="I913" s="43">
        <f>'01_PARÂMETROS'!$B$9</f>
        <v>50</v>
      </c>
      <c r="J913" s="44">
        <f t="shared" si="43"/>
        <v>1.1499999999999999</v>
      </c>
      <c r="K913" s="45">
        <f>MAX('01_PARÂMETROS'!$B$11,MIN('01_PARÂMETROS'!$B$12,J913))</f>
        <v>1.1499999999999999</v>
      </c>
      <c r="L913" s="46">
        <f t="shared" si="44"/>
        <v>0.14999999999999991</v>
      </c>
      <c r="M913" s="47" t="str">
        <f>IF(K913&lt;='01_PARÂMETROS'!$B$14,"Preferencial",IF(K913&lt;='01_PARÂMETROS'!$B$15,"Baixo",IF(K913&lt;='01_PARÂMETROS'!$B$16,"Médio",IF(K913&lt;='01_PARÂMETROS'!$B$17,"Alto","Elevado"))))</f>
        <v>Alto</v>
      </c>
      <c r="N913" s="58" t="s">
        <v>486</v>
      </c>
      <c r="O913" s="54"/>
    </row>
    <row r="914" spans="1:15" ht="13.5" customHeight="1" x14ac:dyDescent="0.25">
      <c r="A914" s="13" t="s">
        <v>2177</v>
      </c>
      <c r="B914" s="49" t="s">
        <v>2121</v>
      </c>
      <c r="C914" s="14" t="s">
        <v>2178</v>
      </c>
      <c r="D914" s="50" t="s">
        <v>2170</v>
      </c>
      <c r="E914" s="64" t="s">
        <v>566</v>
      </c>
      <c r="F914" s="54" t="s">
        <v>485</v>
      </c>
      <c r="G914" s="54" t="s">
        <v>485</v>
      </c>
      <c r="H914" s="54" t="s">
        <v>485</v>
      </c>
      <c r="I914" s="43">
        <f>'01_PARÂMETROS'!$B$9</f>
        <v>50</v>
      </c>
      <c r="J914" s="44">
        <f t="shared" si="43"/>
        <v>1.1499999999999999</v>
      </c>
      <c r="K914" s="45">
        <f>MAX('01_PARÂMETROS'!$B$11,MIN('01_PARÂMETROS'!$B$12,J914))</f>
        <v>1.1499999999999999</v>
      </c>
      <c r="L914" s="46">
        <f t="shared" si="44"/>
        <v>0.14999999999999991</v>
      </c>
      <c r="M914" s="47" t="str">
        <f>IF(K914&lt;='01_PARÂMETROS'!$B$14,"Preferencial",IF(K914&lt;='01_PARÂMETROS'!$B$15,"Baixo",IF(K914&lt;='01_PARÂMETROS'!$B$16,"Médio",IF(K914&lt;='01_PARÂMETROS'!$B$17,"Alto","Elevado"))))</f>
        <v>Alto</v>
      </c>
      <c r="N914" s="58" t="s">
        <v>486</v>
      </c>
      <c r="O914" s="61"/>
    </row>
    <row r="915" spans="1:15" ht="13.5" customHeight="1" x14ac:dyDescent="0.25">
      <c r="A915" s="24" t="s">
        <v>2179</v>
      </c>
      <c r="B915" s="38" t="s">
        <v>2121</v>
      </c>
      <c r="C915" s="25" t="s">
        <v>2180</v>
      </c>
      <c r="D915" s="39" t="s">
        <v>2170</v>
      </c>
      <c r="E915" s="64" t="s">
        <v>566</v>
      </c>
      <c r="F915" s="54" t="s">
        <v>485</v>
      </c>
      <c r="G915" s="54" t="s">
        <v>485</v>
      </c>
      <c r="H915" s="54" t="s">
        <v>485</v>
      </c>
      <c r="I915" s="43">
        <f>'01_PARÂMETROS'!$B$9</f>
        <v>50</v>
      </c>
      <c r="J915" s="44">
        <f t="shared" si="43"/>
        <v>1.1499999999999999</v>
      </c>
      <c r="K915" s="45">
        <f>MAX('01_PARÂMETROS'!$B$11,MIN('01_PARÂMETROS'!$B$12,J915))</f>
        <v>1.1499999999999999</v>
      </c>
      <c r="L915" s="46">
        <f t="shared" si="44"/>
        <v>0.14999999999999991</v>
      </c>
      <c r="M915" s="47" t="str">
        <f>IF(K915&lt;='01_PARÂMETROS'!$B$14,"Preferencial",IF(K915&lt;='01_PARÂMETROS'!$B$15,"Baixo",IF(K915&lt;='01_PARÂMETROS'!$B$16,"Médio",IF(K915&lt;='01_PARÂMETROS'!$B$17,"Alto","Elevado"))))</f>
        <v>Alto</v>
      </c>
      <c r="N915" s="58" t="s">
        <v>486</v>
      </c>
      <c r="O915" s="54"/>
    </row>
    <row r="916" spans="1:15" ht="13.5" customHeight="1" x14ac:dyDescent="0.25">
      <c r="A916" s="13" t="s">
        <v>2181</v>
      </c>
      <c r="B916" s="49" t="s">
        <v>2121</v>
      </c>
      <c r="C916" s="14" t="s">
        <v>2182</v>
      </c>
      <c r="D916" s="50" t="s">
        <v>2170</v>
      </c>
      <c r="E916" s="64" t="s">
        <v>566</v>
      </c>
      <c r="F916" s="54" t="s">
        <v>485</v>
      </c>
      <c r="G916" s="54" t="s">
        <v>485</v>
      </c>
      <c r="H916" s="54" t="s">
        <v>485</v>
      </c>
      <c r="I916" s="43">
        <f>'01_PARÂMETROS'!$B$9</f>
        <v>50</v>
      </c>
      <c r="J916" s="44">
        <f t="shared" si="43"/>
        <v>1.1499999999999999</v>
      </c>
      <c r="K916" s="45">
        <f>MAX('01_PARÂMETROS'!$B$11,MIN('01_PARÂMETROS'!$B$12,J916))</f>
        <v>1.1499999999999999</v>
      </c>
      <c r="L916" s="46">
        <f t="shared" si="44"/>
        <v>0.14999999999999991</v>
      </c>
      <c r="M916" s="47" t="str">
        <f>IF(K916&lt;='01_PARÂMETROS'!$B$14,"Preferencial",IF(K916&lt;='01_PARÂMETROS'!$B$15,"Baixo",IF(K916&lt;='01_PARÂMETROS'!$B$16,"Médio",IF(K916&lt;='01_PARÂMETROS'!$B$17,"Alto","Elevado"))))</f>
        <v>Alto</v>
      </c>
      <c r="N916" s="58" t="s">
        <v>486</v>
      </c>
      <c r="O916" s="61"/>
    </row>
    <row r="917" spans="1:15" ht="13.5" customHeight="1" x14ac:dyDescent="0.25">
      <c r="A917" s="24" t="s">
        <v>2183</v>
      </c>
      <c r="B917" s="38" t="s">
        <v>2121</v>
      </c>
      <c r="C917" s="25" t="s">
        <v>2184</v>
      </c>
      <c r="D917" s="39" t="s">
        <v>2170</v>
      </c>
      <c r="E917" s="64" t="s">
        <v>566</v>
      </c>
      <c r="F917" s="54" t="s">
        <v>485</v>
      </c>
      <c r="G917" s="54" t="s">
        <v>485</v>
      </c>
      <c r="H917" s="54" t="s">
        <v>485</v>
      </c>
      <c r="I917" s="43">
        <f>'01_PARÂMETROS'!$B$9</f>
        <v>50</v>
      </c>
      <c r="J917" s="44">
        <f t="shared" si="43"/>
        <v>1.1499999999999999</v>
      </c>
      <c r="K917" s="45">
        <f>MAX('01_PARÂMETROS'!$B$11,MIN('01_PARÂMETROS'!$B$12,J917))</f>
        <v>1.1499999999999999</v>
      </c>
      <c r="L917" s="46">
        <f t="shared" si="44"/>
        <v>0.14999999999999991</v>
      </c>
      <c r="M917" s="47" t="str">
        <f>IF(K917&lt;='01_PARÂMETROS'!$B$14,"Preferencial",IF(K917&lt;='01_PARÂMETROS'!$B$15,"Baixo",IF(K917&lt;='01_PARÂMETROS'!$B$16,"Médio",IF(K917&lt;='01_PARÂMETROS'!$B$17,"Alto","Elevado"))))</f>
        <v>Alto</v>
      </c>
      <c r="N917" s="58" t="s">
        <v>486</v>
      </c>
      <c r="O917" s="54"/>
    </row>
    <row r="918" spans="1:15" ht="13.5" customHeight="1" x14ac:dyDescent="0.25">
      <c r="A918" s="13" t="s">
        <v>2185</v>
      </c>
      <c r="B918" s="49" t="s">
        <v>2121</v>
      </c>
      <c r="C918" s="14" t="s">
        <v>2186</v>
      </c>
      <c r="D918" s="50" t="s">
        <v>2170</v>
      </c>
      <c r="E918" s="64" t="s">
        <v>566</v>
      </c>
      <c r="F918" s="54" t="s">
        <v>485</v>
      </c>
      <c r="G918" s="54" t="s">
        <v>485</v>
      </c>
      <c r="H918" s="54" t="s">
        <v>485</v>
      </c>
      <c r="I918" s="43">
        <f>'01_PARÂMETROS'!$B$9</f>
        <v>50</v>
      </c>
      <c r="J918" s="44">
        <f t="shared" si="43"/>
        <v>1.1499999999999999</v>
      </c>
      <c r="K918" s="45">
        <f>MAX('01_PARÂMETROS'!$B$11,MIN('01_PARÂMETROS'!$B$12,J918))</f>
        <v>1.1499999999999999</v>
      </c>
      <c r="L918" s="46">
        <f t="shared" si="44"/>
        <v>0.14999999999999991</v>
      </c>
      <c r="M918" s="47" t="str">
        <f>IF(K918&lt;='01_PARÂMETROS'!$B$14,"Preferencial",IF(K918&lt;='01_PARÂMETROS'!$B$15,"Baixo",IF(K918&lt;='01_PARÂMETROS'!$B$16,"Médio",IF(K918&lt;='01_PARÂMETROS'!$B$17,"Alto","Elevado"))))</f>
        <v>Alto</v>
      </c>
      <c r="N918" s="58" t="s">
        <v>486</v>
      </c>
      <c r="O918" s="61"/>
    </row>
    <row r="919" spans="1:15" ht="13.5" customHeight="1" x14ac:dyDescent="0.25">
      <c r="A919" s="24" t="s">
        <v>2187</v>
      </c>
      <c r="B919" s="38" t="s">
        <v>2121</v>
      </c>
      <c r="C919" s="25" t="s">
        <v>2188</v>
      </c>
      <c r="D919" s="39" t="s">
        <v>2170</v>
      </c>
      <c r="E919" s="64" t="s">
        <v>566</v>
      </c>
      <c r="F919" s="54" t="s">
        <v>485</v>
      </c>
      <c r="G919" s="54" t="s">
        <v>485</v>
      </c>
      <c r="H919" s="54" t="s">
        <v>485</v>
      </c>
      <c r="I919" s="43">
        <f>'01_PARÂMETROS'!$B$9</f>
        <v>50</v>
      </c>
      <c r="J919" s="44">
        <f t="shared" si="43"/>
        <v>1.1499999999999999</v>
      </c>
      <c r="K919" s="45">
        <f>MAX('01_PARÂMETROS'!$B$11,MIN('01_PARÂMETROS'!$B$12,J919))</f>
        <v>1.1499999999999999</v>
      </c>
      <c r="L919" s="46">
        <f t="shared" si="44"/>
        <v>0.14999999999999991</v>
      </c>
      <c r="M919" s="47" t="str">
        <f>IF(K919&lt;='01_PARÂMETROS'!$B$14,"Preferencial",IF(K919&lt;='01_PARÂMETROS'!$B$15,"Baixo",IF(K919&lt;='01_PARÂMETROS'!$B$16,"Médio",IF(K919&lt;='01_PARÂMETROS'!$B$17,"Alto","Elevado"))))</f>
        <v>Alto</v>
      </c>
      <c r="N919" s="58" t="s">
        <v>486</v>
      </c>
      <c r="O919" s="54"/>
    </row>
    <row r="920" spans="1:15" ht="13.5" customHeight="1" x14ac:dyDescent="0.25">
      <c r="A920" s="13" t="s">
        <v>2189</v>
      </c>
      <c r="B920" s="49" t="s">
        <v>2121</v>
      </c>
      <c r="C920" s="14" t="s">
        <v>2190</v>
      </c>
      <c r="D920" s="50" t="s">
        <v>2170</v>
      </c>
      <c r="E920" s="64" t="s">
        <v>566</v>
      </c>
      <c r="F920" s="54" t="s">
        <v>485</v>
      </c>
      <c r="G920" s="54" t="s">
        <v>485</v>
      </c>
      <c r="H920" s="54" t="s">
        <v>485</v>
      </c>
      <c r="I920" s="43">
        <f>'01_PARÂMETROS'!$B$9</f>
        <v>50</v>
      </c>
      <c r="J920" s="44">
        <f t="shared" si="43"/>
        <v>1.1499999999999999</v>
      </c>
      <c r="K920" s="45">
        <f>MAX('01_PARÂMETROS'!$B$11,MIN('01_PARÂMETROS'!$B$12,J920))</f>
        <v>1.1499999999999999</v>
      </c>
      <c r="L920" s="46">
        <f t="shared" si="44"/>
        <v>0.14999999999999991</v>
      </c>
      <c r="M920" s="47" t="str">
        <f>IF(K920&lt;='01_PARÂMETROS'!$B$14,"Preferencial",IF(K920&lt;='01_PARÂMETROS'!$B$15,"Baixo",IF(K920&lt;='01_PARÂMETROS'!$B$16,"Médio",IF(K920&lt;='01_PARÂMETROS'!$B$17,"Alto","Elevado"))))</f>
        <v>Alto</v>
      </c>
      <c r="N920" s="58" t="s">
        <v>486</v>
      </c>
      <c r="O920" s="61"/>
    </row>
    <row r="921" spans="1:15" ht="13.5" customHeight="1" x14ac:dyDescent="0.25">
      <c r="A921" s="24" t="s">
        <v>2191</v>
      </c>
      <c r="B921" s="38" t="s">
        <v>2121</v>
      </c>
      <c r="C921" s="25" t="s">
        <v>2192</v>
      </c>
      <c r="D921" s="39" t="s">
        <v>2170</v>
      </c>
      <c r="E921" s="64" t="s">
        <v>566</v>
      </c>
      <c r="F921" s="54" t="s">
        <v>485</v>
      </c>
      <c r="G921" s="54" t="s">
        <v>485</v>
      </c>
      <c r="H921" s="54" t="s">
        <v>485</v>
      </c>
      <c r="I921" s="43">
        <f>'01_PARÂMETROS'!$B$9</f>
        <v>50</v>
      </c>
      <c r="J921" s="44">
        <f t="shared" si="43"/>
        <v>1.1499999999999999</v>
      </c>
      <c r="K921" s="45">
        <f>MAX('01_PARÂMETROS'!$B$11,MIN('01_PARÂMETROS'!$B$12,J921))</f>
        <v>1.1499999999999999</v>
      </c>
      <c r="L921" s="46">
        <f t="shared" si="44"/>
        <v>0.14999999999999991</v>
      </c>
      <c r="M921" s="47" t="str">
        <f>IF(K921&lt;='01_PARÂMETROS'!$B$14,"Preferencial",IF(K921&lt;='01_PARÂMETROS'!$B$15,"Baixo",IF(K921&lt;='01_PARÂMETROS'!$B$16,"Médio",IF(K921&lt;='01_PARÂMETROS'!$B$17,"Alto","Elevado"))))</f>
        <v>Alto</v>
      </c>
      <c r="N921" s="58" t="s">
        <v>486</v>
      </c>
      <c r="O921" s="54"/>
    </row>
    <row r="922" spans="1:15" ht="13.5" customHeight="1" x14ac:dyDescent="0.25">
      <c r="A922" s="13" t="s">
        <v>2193</v>
      </c>
      <c r="B922" s="49" t="s">
        <v>2121</v>
      </c>
      <c r="C922" s="14" t="s">
        <v>2194</v>
      </c>
      <c r="D922" s="50" t="s">
        <v>2170</v>
      </c>
      <c r="E922" s="64" t="s">
        <v>566</v>
      </c>
      <c r="F922" s="54" t="s">
        <v>485</v>
      </c>
      <c r="G922" s="54" t="s">
        <v>485</v>
      </c>
      <c r="H922" s="54" t="s">
        <v>485</v>
      </c>
      <c r="I922" s="43">
        <f>'01_PARÂMETROS'!$B$9</f>
        <v>50</v>
      </c>
      <c r="J922" s="44">
        <f t="shared" si="43"/>
        <v>1.1499999999999999</v>
      </c>
      <c r="K922" s="45">
        <f>MAX('01_PARÂMETROS'!$B$11,MIN('01_PARÂMETROS'!$B$12,J922))</f>
        <v>1.1499999999999999</v>
      </c>
      <c r="L922" s="46">
        <f t="shared" si="44"/>
        <v>0.14999999999999991</v>
      </c>
      <c r="M922" s="47" t="str">
        <f>IF(K922&lt;='01_PARÂMETROS'!$B$14,"Preferencial",IF(K922&lt;='01_PARÂMETROS'!$B$15,"Baixo",IF(K922&lt;='01_PARÂMETROS'!$B$16,"Médio",IF(K922&lt;='01_PARÂMETROS'!$B$17,"Alto","Elevado"))))</f>
        <v>Alto</v>
      </c>
      <c r="N922" s="58" t="s">
        <v>486</v>
      </c>
      <c r="O922" s="61"/>
    </row>
    <row r="923" spans="1:15" ht="13.5" customHeight="1" x14ac:dyDescent="0.25">
      <c r="A923" s="24" t="s">
        <v>2195</v>
      </c>
      <c r="B923" s="38" t="s">
        <v>2121</v>
      </c>
      <c r="C923" s="25" t="s">
        <v>2196</v>
      </c>
      <c r="D923" s="39" t="s">
        <v>2170</v>
      </c>
      <c r="E923" s="64" t="s">
        <v>566</v>
      </c>
      <c r="F923" s="54" t="s">
        <v>485</v>
      </c>
      <c r="G923" s="54" t="s">
        <v>485</v>
      </c>
      <c r="H923" s="54" t="s">
        <v>485</v>
      </c>
      <c r="I923" s="43">
        <f>'01_PARÂMETROS'!$B$9</f>
        <v>50</v>
      </c>
      <c r="J923" s="44">
        <f t="shared" si="43"/>
        <v>1.1499999999999999</v>
      </c>
      <c r="K923" s="45">
        <f>MAX('01_PARÂMETROS'!$B$11,MIN('01_PARÂMETROS'!$B$12,J923))</f>
        <v>1.1499999999999999</v>
      </c>
      <c r="L923" s="46">
        <f t="shared" si="44"/>
        <v>0.14999999999999991</v>
      </c>
      <c r="M923" s="47" t="str">
        <f>IF(K923&lt;='01_PARÂMETROS'!$B$14,"Preferencial",IF(K923&lt;='01_PARÂMETROS'!$B$15,"Baixo",IF(K923&lt;='01_PARÂMETROS'!$B$16,"Médio",IF(K923&lt;='01_PARÂMETROS'!$B$17,"Alto","Elevado"))))</f>
        <v>Alto</v>
      </c>
      <c r="N923" s="58" t="s">
        <v>486</v>
      </c>
      <c r="O923" s="54"/>
    </row>
    <row r="924" spans="1:15" ht="13.5" customHeight="1" x14ac:dyDescent="0.25">
      <c r="A924" s="13" t="s">
        <v>2197</v>
      </c>
      <c r="B924" s="49" t="s">
        <v>2121</v>
      </c>
      <c r="C924" s="14" t="s">
        <v>2198</v>
      </c>
      <c r="D924" s="50" t="s">
        <v>2170</v>
      </c>
      <c r="E924" s="64" t="s">
        <v>566</v>
      </c>
      <c r="F924" s="54" t="s">
        <v>485</v>
      </c>
      <c r="G924" s="54" t="s">
        <v>485</v>
      </c>
      <c r="H924" s="54" t="s">
        <v>485</v>
      </c>
      <c r="I924" s="43">
        <f>'01_PARÂMETROS'!$B$9</f>
        <v>50</v>
      </c>
      <c r="J924" s="44">
        <f t="shared" si="43"/>
        <v>1.1499999999999999</v>
      </c>
      <c r="K924" s="45">
        <f>MAX('01_PARÂMETROS'!$B$11,MIN('01_PARÂMETROS'!$B$12,J924))</f>
        <v>1.1499999999999999</v>
      </c>
      <c r="L924" s="46">
        <f t="shared" si="44"/>
        <v>0.14999999999999991</v>
      </c>
      <c r="M924" s="47" t="str">
        <f>IF(K924&lt;='01_PARÂMETROS'!$B$14,"Preferencial",IF(K924&lt;='01_PARÂMETROS'!$B$15,"Baixo",IF(K924&lt;='01_PARÂMETROS'!$B$16,"Médio",IF(K924&lt;='01_PARÂMETROS'!$B$17,"Alto","Elevado"))))</f>
        <v>Alto</v>
      </c>
      <c r="N924" s="58" t="s">
        <v>486</v>
      </c>
      <c r="O924" s="61"/>
    </row>
    <row r="925" spans="1:15" ht="13.5" customHeight="1" x14ac:dyDescent="0.25">
      <c r="A925" s="24" t="s">
        <v>2199</v>
      </c>
      <c r="B925" s="38" t="s">
        <v>2121</v>
      </c>
      <c r="C925" s="25" t="s">
        <v>2200</v>
      </c>
      <c r="D925" s="39" t="s">
        <v>2201</v>
      </c>
      <c r="E925" s="64" t="s">
        <v>566</v>
      </c>
      <c r="F925" s="54" t="s">
        <v>485</v>
      </c>
      <c r="G925" s="54" t="s">
        <v>485</v>
      </c>
      <c r="H925" s="54" t="s">
        <v>485</v>
      </c>
      <c r="I925" s="43">
        <f>'01_PARÂMETROS'!$B$9</f>
        <v>50</v>
      </c>
      <c r="J925" s="44">
        <f t="shared" si="43"/>
        <v>1.1499999999999999</v>
      </c>
      <c r="K925" s="45">
        <f>MAX('01_PARÂMETROS'!$B$11,MIN('01_PARÂMETROS'!$B$12,J925))</f>
        <v>1.1499999999999999</v>
      </c>
      <c r="L925" s="46">
        <f t="shared" si="44"/>
        <v>0.14999999999999991</v>
      </c>
      <c r="M925" s="47" t="str">
        <f>IF(K925&lt;='01_PARÂMETROS'!$B$14,"Preferencial",IF(K925&lt;='01_PARÂMETROS'!$B$15,"Baixo",IF(K925&lt;='01_PARÂMETROS'!$B$16,"Médio",IF(K925&lt;='01_PARÂMETROS'!$B$17,"Alto","Elevado"))))</f>
        <v>Alto</v>
      </c>
      <c r="N925" s="58" t="s">
        <v>486</v>
      </c>
      <c r="O925" s="54"/>
    </row>
    <row r="926" spans="1:15" ht="13.5" customHeight="1" x14ac:dyDescent="0.25">
      <c r="A926" s="13" t="s">
        <v>2202</v>
      </c>
      <c r="B926" s="49" t="s">
        <v>2121</v>
      </c>
      <c r="C926" s="14" t="s">
        <v>2203</v>
      </c>
      <c r="D926" s="50" t="s">
        <v>2201</v>
      </c>
      <c r="E926" s="64" t="s">
        <v>566</v>
      </c>
      <c r="F926" s="54" t="s">
        <v>485</v>
      </c>
      <c r="G926" s="54" t="s">
        <v>485</v>
      </c>
      <c r="H926" s="54" t="s">
        <v>485</v>
      </c>
      <c r="I926" s="43">
        <f>'01_PARÂMETROS'!$B$9</f>
        <v>50</v>
      </c>
      <c r="J926" s="44">
        <f t="shared" si="43"/>
        <v>1.1499999999999999</v>
      </c>
      <c r="K926" s="45">
        <f>MAX('01_PARÂMETROS'!$B$11,MIN('01_PARÂMETROS'!$B$12,J926))</f>
        <v>1.1499999999999999</v>
      </c>
      <c r="L926" s="46">
        <f t="shared" si="44"/>
        <v>0.14999999999999991</v>
      </c>
      <c r="M926" s="47" t="str">
        <f>IF(K926&lt;='01_PARÂMETROS'!$B$14,"Preferencial",IF(K926&lt;='01_PARÂMETROS'!$B$15,"Baixo",IF(K926&lt;='01_PARÂMETROS'!$B$16,"Médio",IF(K926&lt;='01_PARÂMETROS'!$B$17,"Alto","Elevado"))))</f>
        <v>Alto</v>
      </c>
      <c r="N926" s="58" t="s">
        <v>486</v>
      </c>
      <c r="O926" s="61"/>
    </row>
    <row r="927" spans="1:15" ht="13.5" customHeight="1" x14ac:dyDescent="0.25">
      <c r="A927" s="24" t="s">
        <v>2204</v>
      </c>
      <c r="B927" s="38" t="s">
        <v>2121</v>
      </c>
      <c r="C927" s="25" t="s">
        <v>2205</v>
      </c>
      <c r="D927" s="39" t="s">
        <v>2201</v>
      </c>
      <c r="E927" s="64" t="s">
        <v>566</v>
      </c>
      <c r="F927" s="54" t="s">
        <v>485</v>
      </c>
      <c r="G927" s="54" t="s">
        <v>485</v>
      </c>
      <c r="H927" s="54" t="s">
        <v>485</v>
      </c>
      <c r="I927" s="43">
        <f>'01_PARÂMETROS'!$B$9</f>
        <v>50</v>
      </c>
      <c r="J927" s="44">
        <f t="shared" si="43"/>
        <v>1.1499999999999999</v>
      </c>
      <c r="K927" s="45">
        <f>MAX('01_PARÂMETROS'!$B$11,MIN('01_PARÂMETROS'!$B$12,J927))</f>
        <v>1.1499999999999999</v>
      </c>
      <c r="L927" s="46">
        <f t="shared" si="44"/>
        <v>0.14999999999999991</v>
      </c>
      <c r="M927" s="47" t="str">
        <f>IF(K927&lt;='01_PARÂMETROS'!$B$14,"Preferencial",IF(K927&lt;='01_PARÂMETROS'!$B$15,"Baixo",IF(K927&lt;='01_PARÂMETROS'!$B$16,"Médio",IF(K927&lt;='01_PARÂMETROS'!$B$17,"Alto","Elevado"))))</f>
        <v>Alto</v>
      </c>
      <c r="N927" s="58" t="s">
        <v>486</v>
      </c>
      <c r="O927" s="54"/>
    </row>
    <row r="928" spans="1:15" ht="13.5" customHeight="1" x14ac:dyDescent="0.25">
      <c r="A928" s="13" t="s">
        <v>2206</v>
      </c>
      <c r="B928" s="49" t="s">
        <v>2121</v>
      </c>
      <c r="C928" s="14" t="s">
        <v>2207</v>
      </c>
      <c r="D928" s="50" t="s">
        <v>2201</v>
      </c>
      <c r="E928" s="64" t="s">
        <v>566</v>
      </c>
      <c r="F928" s="54" t="s">
        <v>485</v>
      </c>
      <c r="G928" s="54" t="s">
        <v>485</v>
      </c>
      <c r="H928" s="54" t="s">
        <v>485</v>
      </c>
      <c r="I928" s="43">
        <f>'01_PARÂMETROS'!$B$9</f>
        <v>50</v>
      </c>
      <c r="J928" s="44">
        <f t="shared" si="43"/>
        <v>1.1499999999999999</v>
      </c>
      <c r="K928" s="45">
        <f>MAX('01_PARÂMETROS'!$B$11,MIN('01_PARÂMETROS'!$B$12,J928))</f>
        <v>1.1499999999999999</v>
      </c>
      <c r="L928" s="46">
        <f t="shared" si="44"/>
        <v>0.14999999999999991</v>
      </c>
      <c r="M928" s="47" t="str">
        <f>IF(K928&lt;='01_PARÂMETROS'!$B$14,"Preferencial",IF(K928&lt;='01_PARÂMETROS'!$B$15,"Baixo",IF(K928&lt;='01_PARÂMETROS'!$B$16,"Médio",IF(K928&lt;='01_PARÂMETROS'!$B$17,"Alto","Elevado"))))</f>
        <v>Alto</v>
      </c>
      <c r="N928" s="58" t="s">
        <v>486</v>
      </c>
      <c r="O928" s="61"/>
    </row>
    <row r="929" spans="1:15" ht="13.5" customHeight="1" x14ac:dyDescent="0.25">
      <c r="A929" s="24" t="s">
        <v>2208</v>
      </c>
      <c r="B929" s="38" t="s">
        <v>2121</v>
      </c>
      <c r="C929" s="25" t="s">
        <v>2209</v>
      </c>
      <c r="D929" s="39" t="s">
        <v>2201</v>
      </c>
      <c r="E929" s="64" t="s">
        <v>566</v>
      </c>
      <c r="F929" s="54" t="s">
        <v>485</v>
      </c>
      <c r="G929" s="54" t="s">
        <v>485</v>
      </c>
      <c r="H929" s="54" t="s">
        <v>485</v>
      </c>
      <c r="I929" s="43">
        <f>'01_PARÂMETROS'!$B$9</f>
        <v>50</v>
      </c>
      <c r="J929" s="44">
        <f t="shared" si="43"/>
        <v>1.1499999999999999</v>
      </c>
      <c r="K929" s="45">
        <f>MAX('01_PARÂMETROS'!$B$11,MIN('01_PARÂMETROS'!$B$12,J929))</f>
        <v>1.1499999999999999</v>
      </c>
      <c r="L929" s="46">
        <f t="shared" si="44"/>
        <v>0.14999999999999991</v>
      </c>
      <c r="M929" s="47" t="str">
        <f>IF(K929&lt;='01_PARÂMETROS'!$B$14,"Preferencial",IF(K929&lt;='01_PARÂMETROS'!$B$15,"Baixo",IF(K929&lt;='01_PARÂMETROS'!$B$16,"Médio",IF(K929&lt;='01_PARÂMETROS'!$B$17,"Alto","Elevado"))))</f>
        <v>Alto</v>
      </c>
      <c r="N929" s="58" t="s">
        <v>486</v>
      </c>
      <c r="O929" s="54"/>
    </row>
    <row r="930" spans="1:15" ht="13.5" customHeight="1" x14ac:dyDescent="0.25">
      <c r="A930" s="13" t="s">
        <v>2210</v>
      </c>
      <c r="B930" s="49" t="s">
        <v>2121</v>
      </c>
      <c r="C930" s="14" t="s">
        <v>2211</v>
      </c>
      <c r="D930" s="50" t="s">
        <v>2212</v>
      </c>
      <c r="E930" s="40" t="s">
        <v>477</v>
      </c>
      <c r="F930" s="54" t="s">
        <v>485</v>
      </c>
      <c r="G930" s="54" t="s">
        <v>485</v>
      </c>
      <c r="H930" s="54" t="s">
        <v>485</v>
      </c>
      <c r="I930" s="43">
        <f>'01_PARÂMETROS'!$B$9</f>
        <v>50</v>
      </c>
      <c r="J930" s="44">
        <f>1</f>
        <v>1</v>
      </c>
      <c r="K930" s="55">
        <f>MAX('01_PARÂMETROS'!$B$11,MIN('01_PARÂMETROS'!$B$12,J930))</f>
        <v>1</v>
      </c>
      <c r="L930" s="56">
        <f t="shared" si="44"/>
        <v>0</v>
      </c>
      <c r="M930" s="57" t="str">
        <f>IF(K930&lt;='01_PARÂMETROS'!$B$14,"Preferencial",IF(K930&lt;='01_PARÂMETROS'!$B$15,"Baixo",IF(K930&lt;='01_PARÂMETROS'!$B$16,"Médio",IF(K930&lt;='01_PARÂMETROS'!$B$17,"Alto","Elevado"))))</f>
        <v>Médio</v>
      </c>
      <c r="N930" s="58" t="s">
        <v>486</v>
      </c>
      <c r="O930" s="61"/>
    </row>
    <row r="931" spans="1:15" ht="13.5" customHeight="1" x14ac:dyDescent="0.25">
      <c r="A931" s="24" t="s">
        <v>2213</v>
      </c>
      <c r="B931" s="38" t="s">
        <v>2121</v>
      </c>
      <c r="C931" s="25" t="s">
        <v>2214</v>
      </c>
      <c r="D931" s="39" t="s">
        <v>2212</v>
      </c>
      <c r="E931" s="40" t="s">
        <v>477</v>
      </c>
      <c r="F931" s="54" t="s">
        <v>485</v>
      </c>
      <c r="G931" s="54" t="s">
        <v>485</v>
      </c>
      <c r="H931" s="54" t="s">
        <v>485</v>
      </c>
      <c r="I931" s="43">
        <f>'01_PARÂMETROS'!$B$9</f>
        <v>50</v>
      </c>
      <c r="J931" s="44">
        <f>1</f>
        <v>1</v>
      </c>
      <c r="K931" s="55">
        <f>MAX('01_PARÂMETROS'!$B$11,MIN('01_PARÂMETROS'!$B$12,J931))</f>
        <v>1</v>
      </c>
      <c r="L931" s="56">
        <f t="shared" si="44"/>
        <v>0</v>
      </c>
      <c r="M931" s="57" t="str">
        <f>IF(K931&lt;='01_PARÂMETROS'!$B$14,"Preferencial",IF(K931&lt;='01_PARÂMETROS'!$B$15,"Baixo",IF(K931&lt;='01_PARÂMETROS'!$B$16,"Médio",IF(K931&lt;='01_PARÂMETROS'!$B$17,"Alto","Elevado"))))</f>
        <v>Médio</v>
      </c>
      <c r="N931" s="58" t="s">
        <v>486</v>
      </c>
      <c r="O931" s="54"/>
    </row>
    <row r="932" spans="1:15" ht="13.5" customHeight="1" x14ac:dyDescent="0.25">
      <c r="A932" s="13" t="s">
        <v>2215</v>
      </c>
      <c r="B932" s="49" t="s">
        <v>2121</v>
      </c>
      <c r="C932" s="14" t="s">
        <v>2216</v>
      </c>
      <c r="D932" s="50" t="s">
        <v>2212</v>
      </c>
      <c r="E932" s="40" t="s">
        <v>477</v>
      </c>
      <c r="F932" s="54" t="s">
        <v>485</v>
      </c>
      <c r="G932" s="54" t="s">
        <v>485</v>
      </c>
      <c r="H932" s="54" t="s">
        <v>485</v>
      </c>
      <c r="I932" s="43">
        <f>'01_PARÂMETROS'!$B$9</f>
        <v>50</v>
      </c>
      <c r="J932" s="44">
        <f>1</f>
        <v>1</v>
      </c>
      <c r="K932" s="55">
        <f>MAX('01_PARÂMETROS'!$B$11,MIN('01_PARÂMETROS'!$B$12,J932))</f>
        <v>1</v>
      </c>
      <c r="L932" s="56">
        <f t="shared" si="44"/>
        <v>0</v>
      </c>
      <c r="M932" s="57" t="str">
        <f>IF(K932&lt;='01_PARÂMETROS'!$B$14,"Preferencial",IF(K932&lt;='01_PARÂMETROS'!$B$15,"Baixo",IF(K932&lt;='01_PARÂMETROS'!$B$16,"Médio",IF(K932&lt;='01_PARÂMETROS'!$B$17,"Alto","Elevado"))))</f>
        <v>Médio</v>
      </c>
      <c r="N932" s="58" t="s">
        <v>486</v>
      </c>
      <c r="O932" s="61"/>
    </row>
    <row r="933" spans="1:15" ht="13.5" customHeight="1" x14ac:dyDescent="0.25">
      <c r="A933" s="24" t="s">
        <v>2217</v>
      </c>
      <c r="B933" s="38" t="s">
        <v>2121</v>
      </c>
      <c r="C933" s="25" t="s">
        <v>2218</v>
      </c>
      <c r="D933" s="39" t="s">
        <v>2212</v>
      </c>
      <c r="E933" s="40" t="s">
        <v>477</v>
      </c>
      <c r="F933" s="54" t="s">
        <v>485</v>
      </c>
      <c r="G933" s="54" t="s">
        <v>485</v>
      </c>
      <c r="H933" s="54" t="s">
        <v>485</v>
      </c>
      <c r="I933" s="43">
        <f>'01_PARÂMETROS'!$B$9</f>
        <v>50</v>
      </c>
      <c r="J933" s="44">
        <f>1</f>
        <v>1</v>
      </c>
      <c r="K933" s="55">
        <f>MAX('01_PARÂMETROS'!$B$11,MIN('01_PARÂMETROS'!$B$12,J933))</f>
        <v>1</v>
      </c>
      <c r="L933" s="56">
        <f t="shared" si="44"/>
        <v>0</v>
      </c>
      <c r="M933" s="57" t="str">
        <f>IF(K933&lt;='01_PARÂMETROS'!$B$14,"Preferencial",IF(K933&lt;='01_PARÂMETROS'!$B$15,"Baixo",IF(K933&lt;='01_PARÂMETROS'!$B$16,"Médio",IF(K933&lt;='01_PARÂMETROS'!$B$17,"Alto","Elevado"))))</f>
        <v>Médio</v>
      </c>
      <c r="N933" s="58" t="s">
        <v>486</v>
      </c>
      <c r="O933" s="54"/>
    </row>
    <row r="934" spans="1:15" ht="13.5" customHeight="1" x14ac:dyDescent="0.25">
      <c r="A934" s="13" t="s">
        <v>2219</v>
      </c>
      <c r="B934" s="49" t="s">
        <v>2121</v>
      </c>
      <c r="C934" s="14" t="s">
        <v>2220</v>
      </c>
      <c r="D934" s="50" t="s">
        <v>2212</v>
      </c>
      <c r="E934" s="40" t="s">
        <v>477</v>
      </c>
      <c r="F934" s="54" t="s">
        <v>485</v>
      </c>
      <c r="G934" s="54" t="s">
        <v>485</v>
      </c>
      <c r="H934" s="54" t="s">
        <v>485</v>
      </c>
      <c r="I934" s="43">
        <f>'01_PARÂMETROS'!$B$9</f>
        <v>50</v>
      </c>
      <c r="J934" s="44">
        <f>1</f>
        <v>1</v>
      </c>
      <c r="K934" s="55">
        <f>MAX('01_PARÂMETROS'!$B$11,MIN('01_PARÂMETROS'!$B$12,J934))</f>
        <v>1</v>
      </c>
      <c r="L934" s="56">
        <f t="shared" si="44"/>
        <v>0</v>
      </c>
      <c r="M934" s="57" t="str">
        <f>IF(K934&lt;='01_PARÂMETROS'!$B$14,"Preferencial",IF(K934&lt;='01_PARÂMETROS'!$B$15,"Baixo",IF(K934&lt;='01_PARÂMETROS'!$B$16,"Médio",IF(K934&lt;='01_PARÂMETROS'!$B$17,"Alto","Elevado"))))</f>
        <v>Médio</v>
      </c>
      <c r="N934" s="58" t="s">
        <v>486</v>
      </c>
      <c r="O934" s="61"/>
    </row>
    <row r="935" spans="1:15" ht="13.5" customHeight="1" x14ac:dyDescent="0.25">
      <c r="A935" s="24" t="s">
        <v>2221</v>
      </c>
      <c r="B935" s="38" t="s">
        <v>2121</v>
      </c>
      <c r="C935" s="25" t="s">
        <v>2222</v>
      </c>
      <c r="D935" s="39" t="s">
        <v>2212</v>
      </c>
      <c r="E935" s="40" t="s">
        <v>477</v>
      </c>
      <c r="F935" s="54" t="s">
        <v>485</v>
      </c>
      <c r="G935" s="54" t="s">
        <v>485</v>
      </c>
      <c r="H935" s="54" t="s">
        <v>485</v>
      </c>
      <c r="I935" s="43">
        <f>'01_PARÂMETROS'!$B$9</f>
        <v>50</v>
      </c>
      <c r="J935" s="44">
        <f>1</f>
        <v>1</v>
      </c>
      <c r="K935" s="55">
        <f>MAX('01_PARÂMETROS'!$B$11,MIN('01_PARÂMETROS'!$B$12,J935))</f>
        <v>1</v>
      </c>
      <c r="L935" s="56">
        <f t="shared" si="44"/>
        <v>0</v>
      </c>
      <c r="M935" s="57" t="str">
        <f>IF(K935&lt;='01_PARÂMETROS'!$B$14,"Preferencial",IF(K935&lt;='01_PARÂMETROS'!$B$15,"Baixo",IF(K935&lt;='01_PARÂMETROS'!$B$16,"Médio",IF(K935&lt;='01_PARÂMETROS'!$B$17,"Alto","Elevado"))))</f>
        <v>Médio</v>
      </c>
      <c r="N935" s="58" t="s">
        <v>486</v>
      </c>
      <c r="O935" s="54"/>
    </row>
    <row r="936" spans="1:15" ht="13.5" customHeight="1" x14ac:dyDescent="0.25">
      <c r="A936" s="13" t="s">
        <v>2223</v>
      </c>
      <c r="B936" s="49" t="s">
        <v>2121</v>
      </c>
      <c r="C936" s="14" t="s">
        <v>2224</v>
      </c>
      <c r="D936" s="50" t="s">
        <v>2212</v>
      </c>
      <c r="E936" s="40" t="s">
        <v>477</v>
      </c>
      <c r="F936" s="54" t="s">
        <v>485</v>
      </c>
      <c r="G936" s="54" t="s">
        <v>485</v>
      </c>
      <c r="H936" s="54" t="s">
        <v>485</v>
      </c>
      <c r="I936" s="43">
        <f>'01_PARÂMETROS'!$B$9</f>
        <v>50</v>
      </c>
      <c r="J936" s="44">
        <f>1</f>
        <v>1</v>
      </c>
      <c r="K936" s="55">
        <f>MAX('01_PARÂMETROS'!$B$11,MIN('01_PARÂMETROS'!$B$12,J936))</f>
        <v>1</v>
      </c>
      <c r="L936" s="56">
        <f t="shared" si="44"/>
        <v>0</v>
      </c>
      <c r="M936" s="57" t="str">
        <f>IF(K936&lt;='01_PARÂMETROS'!$B$14,"Preferencial",IF(K936&lt;='01_PARÂMETROS'!$B$15,"Baixo",IF(K936&lt;='01_PARÂMETROS'!$B$16,"Médio",IF(K936&lt;='01_PARÂMETROS'!$B$17,"Alto","Elevado"))))</f>
        <v>Médio</v>
      </c>
      <c r="N936" s="58" t="s">
        <v>486</v>
      </c>
      <c r="O936" s="61"/>
    </row>
    <row r="937" spans="1:15" ht="13.5" customHeight="1" x14ac:dyDescent="0.25">
      <c r="A937" s="24" t="s">
        <v>2225</v>
      </c>
      <c r="B937" s="38" t="s">
        <v>2121</v>
      </c>
      <c r="C937" s="25" t="s">
        <v>2226</v>
      </c>
      <c r="D937" s="39" t="s">
        <v>2212</v>
      </c>
      <c r="E937" s="40" t="s">
        <v>477</v>
      </c>
      <c r="F937" s="54" t="s">
        <v>485</v>
      </c>
      <c r="G937" s="54" t="s">
        <v>485</v>
      </c>
      <c r="H937" s="54" t="s">
        <v>485</v>
      </c>
      <c r="I937" s="43">
        <f>'01_PARÂMETROS'!$B$9</f>
        <v>50</v>
      </c>
      <c r="J937" s="44">
        <f>1</f>
        <v>1</v>
      </c>
      <c r="K937" s="55">
        <f>MAX('01_PARÂMETROS'!$B$11,MIN('01_PARÂMETROS'!$B$12,J937))</f>
        <v>1</v>
      </c>
      <c r="L937" s="56">
        <f t="shared" si="44"/>
        <v>0</v>
      </c>
      <c r="M937" s="57" t="str">
        <f>IF(K937&lt;='01_PARÂMETROS'!$B$14,"Preferencial",IF(K937&lt;='01_PARÂMETROS'!$B$15,"Baixo",IF(K937&lt;='01_PARÂMETROS'!$B$16,"Médio",IF(K937&lt;='01_PARÂMETROS'!$B$17,"Alto","Elevado"))))</f>
        <v>Médio</v>
      </c>
      <c r="N937" s="58" t="s">
        <v>486</v>
      </c>
      <c r="O937" s="54"/>
    </row>
    <row r="938" spans="1:15" ht="13.5" customHeight="1" x14ac:dyDescent="0.25">
      <c r="A938" s="13" t="s">
        <v>2227</v>
      </c>
      <c r="B938" s="49" t="s">
        <v>2121</v>
      </c>
      <c r="C938" s="14" t="s">
        <v>2228</v>
      </c>
      <c r="D938" s="50" t="s">
        <v>2212</v>
      </c>
      <c r="E938" s="40" t="s">
        <v>477</v>
      </c>
      <c r="F938" s="54" t="s">
        <v>485</v>
      </c>
      <c r="G938" s="54" t="s">
        <v>485</v>
      </c>
      <c r="H938" s="54" t="s">
        <v>485</v>
      </c>
      <c r="I938" s="43">
        <f>'01_PARÂMETROS'!$B$9</f>
        <v>50</v>
      </c>
      <c r="J938" s="44">
        <f>1</f>
        <v>1</v>
      </c>
      <c r="K938" s="55">
        <f>MAX('01_PARÂMETROS'!$B$11,MIN('01_PARÂMETROS'!$B$12,J938))</f>
        <v>1</v>
      </c>
      <c r="L938" s="56">
        <f t="shared" si="44"/>
        <v>0</v>
      </c>
      <c r="M938" s="57" t="str">
        <f>IF(K938&lt;='01_PARÂMETROS'!$B$14,"Preferencial",IF(K938&lt;='01_PARÂMETROS'!$B$15,"Baixo",IF(K938&lt;='01_PARÂMETROS'!$B$16,"Médio",IF(K938&lt;='01_PARÂMETROS'!$B$17,"Alto","Elevado"))))</f>
        <v>Médio</v>
      </c>
      <c r="N938" s="58" t="s">
        <v>486</v>
      </c>
      <c r="O938" s="61"/>
    </row>
    <row r="939" spans="1:15" ht="13.5" customHeight="1" x14ac:dyDescent="0.25">
      <c r="A939" s="24" t="s">
        <v>2229</v>
      </c>
      <c r="B939" s="38" t="s">
        <v>2121</v>
      </c>
      <c r="C939" s="25" t="s">
        <v>2230</v>
      </c>
      <c r="D939" s="39" t="s">
        <v>2212</v>
      </c>
      <c r="E939" s="40" t="s">
        <v>477</v>
      </c>
      <c r="F939" s="54" t="s">
        <v>485</v>
      </c>
      <c r="G939" s="54" t="s">
        <v>485</v>
      </c>
      <c r="H939" s="54" t="s">
        <v>485</v>
      </c>
      <c r="I939" s="43">
        <f>'01_PARÂMETROS'!$B$9</f>
        <v>50</v>
      </c>
      <c r="J939" s="44">
        <f>1</f>
        <v>1</v>
      </c>
      <c r="K939" s="55">
        <f>MAX('01_PARÂMETROS'!$B$11,MIN('01_PARÂMETROS'!$B$12,J939))</f>
        <v>1</v>
      </c>
      <c r="L939" s="56">
        <f t="shared" si="44"/>
        <v>0</v>
      </c>
      <c r="M939" s="57" t="str">
        <f>IF(K939&lt;='01_PARÂMETROS'!$B$14,"Preferencial",IF(K939&lt;='01_PARÂMETROS'!$B$15,"Baixo",IF(K939&lt;='01_PARÂMETROS'!$B$16,"Médio",IF(K939&lt;='01_PARÂMETROS'!$B$17,"Alto","Elevado"))))</f>
        <v>Médio</v>
      </c>
      <c r="N939" s="58" t="s">
        <v>486</v>
      </c>
      <c r="O939" s="54"/>
    </row>
    <row r="940" spans="1:15" ht="13.5" customHeight="1" x14ac:dyDescent="0.25">
      <c r="A940" s="13" t="s">
        <v>2231</v>
      </c>
      <c r="B940" s="49" t="s">
        <v>2121</v>
      </c>
      <c r="C940" s="14" t="s">
        <v>2232</v>
      </c>
      <c r="D940" s="50" t="s">
        <v>2212</v>
      </c>
      <c r="E940" s="40" t="s">
        <v>477</v>
      </c>
      <c r="F940" s="54" t="s">
        <v>485</v>
      </c>
      <c r="G940" s="54" t="s">
        <v>485</v>
      </c>
      <c r="H940" s="54" t="s">
        <v>485</v>
      </c>
      <c r="I940" s="43">
        <f>'01_PARÂMETROS'!$B$9</f>
        <v>50</v>
      </c>
      <c r="J940" s="44">
        <f>1</f>
        <v>1</v>
      </c>
      <c r="K940" s="55">
        <f>MAX('01_PARÂMETROS'!$B$11,MIN('01_PARÂMETROS'!$B$12,J940))</f>
        <v>1</v>
      </c>
      <c r="L940" s="56">
        <f t="shared" si="44"/>
        <v>0</v>
      </c>
      <c r="M940" s="57" t="str">
        <f>IF(K940&lt;='01_PARÂMETROS'!$B$14,"Preferencial",IF(K940&lt;='01_PARÂMETROS'!$B$15,"Baixo",IF(K940&lt;='01_PARÂMETROS'!$B$16,"Médio",IF(K940&lt;='01_PARÂMETROS'!$B$17,"Alto","Elevado"))))</f>
        <v>Médio</v>
      </c>
      <c r="N940" s="58" t="s">
        <v>486</v>
      </c>
      <c r="O940" s="61"/>
    </row>
    <row r="941" spans="1:15" ht="13.5" customHeight="1" x14ac:dyDescent="0.25">
      <c r="A941" s="24" t="s">
        <v>2233</v>
      </c>
      <c r="B941" s="38" t="s">
        <v>2121</v>
      </c>
      <c r="C941" s="25" t="s">
        <v>2234</v>
      </c>
      <c r="D941" s="39" t="s">
        <v>2212</v>
      </c>
      <c r="E941" s="40" t="s">
        <v>477</v>
      </c>
      <c r="F941" s="54" t="s">
        <v>485</v>
      </c>
      <c r="G941" s="54" t="s">
        <v>485</v>
      </c>
      <c r="H941" s="54" t="s">
        <v>485</v>
      </c>
      <c r="I941" s="43">
        <f>'01_PARÂMETROS'!$B$9</f>
        <v>50</v>
      </c>
      <c r="J941" s="44">
        <f>1</f>
        <v>1</v>
      </c>
      <c r="K941" s="55">
        <f>MAX('01_PARÂMETROS'!$B$11,MIN('01_PARÂMETROS'!$B$12,J941))</f>
        <v>1</v>
      </c>
      <c r="L941" s="56">
        <f t="shared" si="44"/>
        <v>0</v>
      </c>
      <c r="M941" s="57" t="str">
        <f>IF(K941&lt;='01_PARÂMETROS'!$B$14,"Preferencial",IF(K941&lt;='01_PARÂMETROS'!$B$15,"Baixo",IF(K941&lt;='01_PARÂMETROS'!$B$16,"Médio",IF(K941&lt;='01_PARÂMETROS'!$B$17,"Alto","Elevado"))))</f>
        <v>Médio</v>
      </c>
      <c r="N941" s="58" t="s">
        <v>486</v>
      </c>
      <c r="O941" s="54"/>
    </row>
    <row r="942" spans="1:15" ht="13.5" customHeight="1" x14ac:dyDescent="0.25">
      <c r="A942" s="13" t="s">
        <v>2235</v>
      </c>
      <c r="B942" s="49" t="s">
        <v>2121</v>
      </c>
      <c r="C942" s="14" t="s">
        <v>2236</v>
      </c>
      <c r="D942" s="50" t="s">
        <v>2212</v>
      </c>
      <c r="E942" s="40" t="s">
        <v>477</v>
      </c>
      <c r="F942" s="54" t="s">
        <v>485</v>
      </c>
      <c r="G942" s="54" t="s">
        <v>485</v>
      </c>
      <c r="H942" s="54" t="s">
        <v>485</v>
      </c>
      <c r="I942" s="43">
        <f>'01_PARÂMETROS'!$B$9</f>
        <v>50</v>
      </c>
      <c r="J942" s="44">
        <f>1</f>
        <v>1</v>
      </c>
      <c r="K942" s="55">
        <f>MAX('01_PARÂMETROS'!$B$11,MIN('01_PARÂMETROS'!$B$12,J942))</f>
        <v>1</v>
      </c>
      <c r="L942" s="56">
        <f t="shared" si="44"/>
        <v>0</v>
      </c>
      <c r="M942" s="57" t="str">
        <f>IF(K942&lt;='01_PARÂMETROS'!$B$14,"Preferencial",IF(K942&lt;='01_PARÂMETROS'!$B$15,"Baixo",IF(K942&lt;='01_PARÂMETROS'!$B$16,"Médio",IF(K942&lt;='01_PARÂMETROS'!$B$17,"Alto","Elevado"))))</f>
        <v>Médio</v>
      </c>
      <c r="N942" s="58" t="s">
        <v>486</v>
      </c>
      <c r="O942" s="61"/>
    </row>
    <row r="943" spans="1:15" ht="13.5" customHeight="1" x14ac:dyDescent="0.25">
      <c r="A943" s="24" t="s">
        <v>2237</v>
      </c>
      <c r="B943" s="38" t="s">
        <v>2121</v>
      </c>
      <c r="C943" s="25" t="s">
        <v>2238</v>
      </c>
      <c r="D943" s="39" t="s">
        <v>2212</v>
      </c>
      <c r="E943" s="40" t="s">
        <v>477</v>
      </c>
      <c r="F943" s="54" t="s">
        <v>485</v>
      </c>
      <c r="G943" s="54" t="s">
        <v>485</v>
      </c>
      <c r="H943" s="54" t="s">
        <v>485</v>
      </c>
      <c r="I943" s="43">
        <f>'01_PARÂMETROS'!$B$9</f>
        <v>50</v>
      </c>
      <c r="J943" s="44">
        <f>1</f>
        <v>1</v>
      </c>
      <c r="K943" s="55">
        <f>MAX('01_PARÂMETROS'!$B$11,MIN('01_PARÂMETROS'!$B$12,J943))</f>
        <v>1</v>
      </c>
      <c r="L943" s="56">
        <f t="shared" si="44"/>
        <v>0</v>
      </c>
      <c r="M943" s="57" t="str">
        <f>IF(K943&lt;='01_PARÂMETROS'!$B$14,"Preferencial",IF(K943&lt;='01_PARÂMETROS'!$B$15,"Baixo",IF(K943&lt;='01_PARÂMETROS'!$B$16,"Médio",IF(K943&lt;='01_PARÂMETROS'!$B$17,"Alto","Elevado"))))</f>
        <v>Médio</v>
      </c>
      <c r="N943" s="58" t="s">
        <v>486</v>
      </c>
      <c r="O943" s="54"/>
    </row>
    <row r="944" spans="1:15" ht="13.5" customHeight="1" x14ac:dyDescent="0.25">
      <c r="A944" s="13" t="s">
        <v>2239</v>
      </c>
      <c r="B944" s="49" t="s">
        <v>2121</v>
      </c>
      <c r="C944" s="14" t="s">
        <v>2240</v>
      </c>
      <c r="D944" s="50" t="s">
        <v>2212</v>
      </c>
      <c r="E944" s="40" t="s">
        <v>477</v>
      </c>
      <c r="F944" s="54" t="s">
        <v>485</v>
      </c>
      <c r="G944" s="54" t="s">
        <v>485</v>
      </c>
      <c r="H944" s="54" t="s">
        <v>485</v>
      </c>
      <c r="I944" s="43">
        <f>'01_PARÂMETROS'!$B$9</f>
        <v>50</v>
      </c>
      <c r="J944" s="44">
        <f>1</f>
        <v>1</v>
      </c>
      <c r="K944" s="55">
        <f>MAX('01_PARÂMETROS'!$B$11,MIN('01_PARÂMETROS'!$B$12,J944))</f>
        <v>1</v>
      </c>
      <c r="L944" s="56">
        <f t="shared" si="44"/>
        <v>0</v>
      </c>
      <c r="M944" s="57" t="str">
        <f>IF(K944&lt;='01_PARÂMETROS'!$B$14,"Preferencial",IF(K944&lt;='01_PARÂMETROS'!$B$15,"Baixo",IF(K944&lt;='01_PARÂMETROS'!$B$16,"Médio",IF(K944&lt;='01_PARÂMETROS'!$B$17,"Alto","Elevado"))))</f>
        <v>Médio</v>
      </c>
      <c r="N944" s="58" t="s">
        <v>486</v>
      </c>
      <c r="O944" s="61"/>
    </row>
    <row r="945" spans="1:15" ht="13.5" customHeight="1" x14ac:dyDescent="0.25">
      <c r="A945" s="24" t="s">
        <v>2241</v>
      </c>
      <c r="B945" s="38" t="s">
        <v>2121</v>
      </c>
      <c r="C945" s="25" t="s">
        <v>2242</v>
      </c>
      <c r="D945" s="39" t="s">
        <v>2212</v>
      </c>
      <c r="E945" s="40" t="s">
        <v>477</v>
      </c>
      <c r="F945" s="54" t="s">
        <v>485</v>
      </c>
      <c r="G945" s="54" t="s">
        <v>485</v>
      </c>
      <c r="H945" s="54" t="s">
        <v>485</v>
      </c>
      <c r="I945" s="43">
        <f>'01_PARÂMETROS'!$B$9</f>
        <v>50</v>
      </c>
      <c r="J945" s="44">
        <f>1</f>
        <v>1</v>
      </c>
      <c r="K945" s="55">
        <f>MAX('01_PARÂMETROS'!$B$11,MIN('01_PARÂMETROS'!$B$12,J945))</f>
        <v>1</v>
      </c>
      <c r="L945" s="56">
        <f t="shared" si="44"/>
        <v>0</v>
      </c>
      <c r="M945" s="57" t="str">
        <f>IF(K945&lt;='01_PARÂMETROS'!$B$14,"Preferencial",IF(K945&lt;='01_PARÂMETROS'!$B$15,"Baixo",IF(K945&lt;='01_PARÂMETROS'!$B$16,"Médio",IF(K945&lt;='01_PARÂMETROS'!$B$17,"Alto","Elevado"))))</f>
        <v>Médio</v>
      </c>
      <c r="N945" s="58" t="s">
        <v>486</v>
      </c>
      <c r="O945" s="54"/>
    </row>
    <row r="946" spans="1:15" ht="13.5" customHeight="1" x14ac:dyDescent="0.25">
      <c r="A946" s="13" t="s">
        <v>2243</v>
      </c>
      <c r="B946" s="49" t="s">
        <v>2121</v>
      </c>
      <c r="C946" s="14" t="s">
        <v>2244</v>
      </c>
      <c r="D946" s="50" t="s">
        <v>2212</v>
      </c>
      <c r="E946" s="40" t="s">
        <v>477</v>
      </c>
      <c r="F946" s="54" t="s">
        <v>485</v>
      </c>
      <c r="G946" s="54" t="s">
        <v>485</v>
      </c>
      <c r="H946" s="54" t="s">
        <v>485</v>
      </c>
      <c r="I946" s="43">
        <f>'01_PARÂMETROS'!$B$9</f>
        <v>50</v>
      </c>
      <c r="J946" s="44">
        <f>1</f>
        <v>1</v>
      </c>
      <c r="K946" s="55">
        <f>MAX('01_PARÂMETROS'!$B$11,MIN('01_PARÂMETROS'!$B$12,J946))</f>
        <v>1</v>
      </c>
      <c r="L946" s="56">
        <f t="shared" si="44"/>
        <v>0</v>
      </c>
      <c r="M946" s="57" t="str">
        <f>IF(K946&lt;='01_PARÂMETROS'!$B$14,"Preferencial",IF(K946&lt;='01_PARÂMETROS'!$B$15,"Baixo",IF(K946&lt;='01_PARÂMETROS'!$B$16,"Médio",IF(K946&lt;='01_PARÂMETROS'!$B$17,"Alto","Elevado"))))</f>
        <v>Médio</v>
      </c>
      <c r="N946" s="58" t="s">
        <v>486</v>
      </c>
      <c r="O946" s="61"/>
    </row>
    <row r="947" spans="1:15" ht="13.5" customHeight="1" x14ac:dyDescent="0.25">
      <c r="A947" s="24" t="s">
        <v>2245</v>
      </c>
      <c r="B947" s="38" t="s">
        <v>2121</v>
      </c>
      <c r="C947" s="25" t="s">
        <v>2246</v>
      </c>
      <c r="D947" s="39" t="s">
        <v>2212</v>
      </c>
      <c r="E947" s="40" t="s">
        <v>477</v>
      </c>
      <c r="F947" s="54" t="s">
        <v>485</v>
      </c>
      <c r="G947" s="54" t="s">
        <v>485</v>
      </c>
      <c r="H947" s="54" t="s">
        <v>485</v>
      </c>
      <c r="I947" s="43">
        <f>'01_PARÂMETROS'!$B$9</f>
        <v>50</v>
      </c>
      <c r="J947" s="44">
        <f>1</f>
        <v>1</v>
      </c>
      <c r="K947" s="55">
        <f>MAX('01_PARÂMETROS'!$B$11,MIN('01_PARÂMETROS'!$B$12,J947))</f>
        <v>1</v>
      </c>
      <c r="L947" s="56">
        <f t="shared" si="44"/>
        <v>0</v>
      </c>
      <c r="M947" s="57" t="str">
        <f>IF(K947&lt;='01_PARÂMETROS'!$B$14,"Preferencial",IF(K947&lt;='01_PARÂMETROS'!$B$15,"Baixo",IF(K947&lt;='01_PARÂMETROS'!$B$16,"Médio",IF(K947&lt;='01_PARÂMETROS'!$B$17,"Alto","Elevado"))))</f>
        <v>Médio</v>
      </c>
      <c r="N947" s="58" t="s">
        <v>486</v>
      </c>
      <c r="O947" s="54"/>
    </row>
    <row r="948" spans="1:15" ht="13.5" customHeight="1" x14ac:dyDescent="0.25">
      <c r="A948" s="13" t="s">
        <v>2247</v>
      </c>
      <c r="B948" s="49" t="s">
        <v>2121</v>
      </c>
      <c r="C948" s="14" t="s">
        <v>2248</v>
      </c>
      <c r="D948" s="50" t="s">
        <v>2212</v>
      </c>
      <c r="E948" s="40" t="s">
        <v>477</v>
      </c>
      <c r="F948" s="54" t="s">
        <v>485</v>
      </c>
      <c r="G948" s="54" t="s">
        <v>485</v>
      </c>
      <c r="H948" s="54" t="s">
        <v>485</v>
      </c>
      <c r="I948" s="43">
        <f>'01_PARÂMETROS'!$B$9</f>
        <v>50</v>
      </c>
      <c r="J948" s="44">
        <f>1</f>
        <v>1</v>
      </c>
      <c r="K948" s="55">
        <f>MAX('01_PARÂMETROS'!$B$11,MIN('01_PARÂMETROS'!$B$12,J948))</f>
        <v>1</v>
      </c>
      <c r="L948" s="56">
        <f t="shared" si="44"/>
        <v>0</v>
      </c>
      <c r="M948" s="57" t="str">
        <f>IF(K948&lt;='01_PARÂMETROS'!$B$14,"Preferencial",IF(K948&lt;='01_PARÂMETROS'!$B$15,"Baixo",IF(K948&lt;='01_PARÂMETROS'!$B$16,"Médio",IF(K948&lt;='01_PARÂMETROS'!$B$17,"Alto","Elevado"))))</f>
        <v>Médio</v>
      </c>
      <c r="N948" s="58" t="s">
        <v>486</v>
      </c>
      <c r="O948" s="61"/>
    </row>
    <row r="949" spans="1:15" ht="13.5" customHeight="1" x14ac:dyDescent="0.25">
      <c r="A949" s="24" t="s">
        <v>2249</v>
      </c>
      <c r="B949" s="38" t="s">
        <v>2121</v>
      </c>
      <c r="C949" s="25" t="s">
        <v>2250</v>
      </c>
      <c r="D949" s="39" t="s">
        <v>2212</v>
      </c>
      <c r="E949" s="40" t="s">
        <v>477</v>
      </c>
      <c r="F949" s="54" t="s">
        <v>485</v>
      </c>
      <c r="G949" s="54" t="s">
        <v>485</v>
      </c>
      <c r="H949" s="54" t="s">
        <v>485</v>
      </c>
      <c r="I949" s="43">
        <f>'01_PARÂMETROS'!$B$9</f>
        <v>50</v>
      </c>
      <c r="J949" s="44">
        <f>1</f>
        <v>1</v>
      </c>
      <c r="K949" s="55">
        <f>MAX('01_PARÂMETROS'!$B$11,MIN('01_PARÂMETROS'!$B$12,J949))</f>
        <v>1</v>
      </c>
      <c r="L949" s="56">
        <f t="shared" si="44"/>
        <v>0</v>
      </c>
      <c r="M949" s="57" t="str">
        <f>IF(K949&lt;='01_PARÂMETROS'!$B$14,"Preferencial",IF(K949&lt;='01_PARÂMETROS'!$B$15,"Baixo",IF(K949&lt;='01_PARÂMETROS'!$B$16,"Médio",IF(K949&lt;='01_PARÂMETROS'!$B$17,"Alto","Elevado"))))</f>
        <v>Médio</v>
      </c>
      <c r="N949" s="58" t="s">
        <v>486</v>
      </c>
      <c r="O949" s="54"/>
    </row>
    <row r="950" spans="1:15" ht="13.5" customHeight="1" x14ac:dyDescent="0.25">
      <c r="A950" s="13" t="s">
        <v>2251</v>
      </c>
      <c r="B950" s="49" t="s">
        <v>2121</v>
      </c>
      <c r="C950" s="14" t="s">
        <v>2252</v>
      </c>
      <c r="D950" s="50" t="s">
        <v>2212</v>
      </c>
      <c r="E950" s="40" t="s">
        <v>477</v>
      </c>
      <c r="F950" s="54" t="s">
        <v>485</v>
      </c>
      <c r="G950" s="54" t="s">
        <v>485</v>
      </c>
      <c r="H950" s="54" t="s">
        <v>485</v>
      </c>
      <c r="I950" s="43">
        <f>'01_PARÂMETROS'!$B$9</f>
        <v>50</v>
      </c>
      <c r="J950" s="44">
        <f>1</f>
        <v>1</v>
      </c>
      <c r="K950" s="55">
        <f>MAX('01_PARÂMETROS'!$B$11,MIN('01_PARÂMETROS'!$B$12,J950))</f>
        <v>1</v>
      </c>
      <c r="L950" s="56">
        <f t="shared" si="44"/>
        <v>0</v>
      </c>
      <c r="M950" s="57" t="str">
        <f>IF(K950&lt;='01_PARÂMETROS'!$B$14,"Preferencial",IF(K950&lt;='01_PARÂMETROS'!$B$15,"Baixo",IF(K950&lt;='01_PARÂMETROS'!$B$16,"Médio",IF(K950&lt;='01_PARÂMETROS'!$B$17,"Alto","Elevado"))))</f>
        <v>Médio</v>
      </c>
      <c r="N950" s="58" t="s">
        <v>486</v>
      </c>
      <c r="O950" s="61"/>
    </row>
    <row r="951" spans="1:15" ht="13.5" customHeight="1" x14ac:dyDescent="0.25">
      <c r="A951" s="24" t="s">
        <v>2253</v>
      </c>
      <c r="B951" s="38" t="s">
        <v>2121</v>
      </c>
      <c r="C951" s="25" t="s">
        <v>2254</v>
      </c>
      <c r="D951" s="39" t="s">
        <v>2212</v>
      </c>
      <c r="E951" s="40" t="s">
        <v>477</v>
      </c>
      <c r="F951" s="54" t="s">
        <v>485</v>
      </c>
      <c r="G951" s="54" t="s">
        <v>485</v>
      </c>
      <c r="H951" s="54" t="s">
        <v>485</v>
      </c>
      <c r="I951" s="43">
        <f>'01_PARÂMETROS'!$B$9</f>
        <v>50</v>
      </c>
      <c r="J951" s="44">
        <f>1</f>
        <v>1</v>
      </c>
      <c r="K951" s="55">
        <f>MAX('01_PARÂMETROS'!$B$11,MIN('01_PARÂMETROS'!$B$12,J951))</f>
        <v>1</v>
      </c>
      <c r="L951" s="56">
        <f t="shared" si="44"/>
        <v>0</v>
      </c>
      <c r="M951" s="57" t="str">
        <f>IF(K951&lt;='01_PARÂMETROS'!$B$14,"Preferencial",IF(K951&lt;='01_PARÂMETROS'!$B$15,"Baixo",IF(K951&lt;='01_PARÂMETROS'!$B$16,"Médio",IF(K951&lt;='01_PARÂMETROS'!$B$17,"Alto","Elevado"))))</f>
        <v>Médio</v>
      </c>
      <c r="N951" s="58" t="s">
        <v>486</v>
      </c>
      <c r="O951" s="54"/>
    </row>
    <row r="952" spans="1:15" ht="13.5" customHeight="1" x14ac:dyDescent="0.25">
      <c r="A952" s="13" t="s">
        <v>2255</v>
      </c>
      <c r="B952" s="49" t="s">
        <v>2121</v>
      </c>
      <c r="C952" s="14" t="s">
        <v>2256</v>
      </c>
      <c r="D952" s="50" t="s">
        <v>2212</v>
      </c>
      <c r="E952" s="40" t="s">
        <v>477</v>
      </c>
      <c r="F952" s="54" t="s">
        <v>485</v>
      </c>
      <c r="G952" s="54" t="s">
        <v>485</v>
      </c>
      <c r="H952" s="54" t="s">
        <v>485</v>
      </c>
      <c r="I952" s="43">
        <f>'01_PARÂMETROS'!$B$9</f>
        <v>50</v>
      </c>
      <c r="J952" s="44">
        <f>1</f>
        <v>1</v>
      </c>
      <c r="K952" s="55">
        <f>MAX('01_PARÂMETROS'!$B$11,MIN('01_PARÂMETROS'!$B$12,J952))</f>
        <v>1</v>
      </c>
      <c r="L952" s="56">
        <f t="shared" si="44"/>
        <v>0</v>
      </c>
      <c r="M952" s="57" t="str">
        <f>IF(K952&lt;='01_PARÂMETROS'!$B$14,"Preferencial",IF(K952&lt;='01_PARÂMETROS'!$B$15,"Baixo",IF(K952&lt;='01_PARÂMETROS'!$B$16,"Médio",IF(K952&lt;='01_PARÂMETROS'!$B$17,"Alto","Elevado"))))</f>
        <v>Médio</v>
      </c>
      <c r="N952" s="58" t="s">
        <v>486</v>
      </c>
      <c r="O952" s="61"/>
    </row>
    <row r="953" spans="1:15" ht="13.5" customHeight="1" x14ac:dyDescent="0.25">
      <c r="A953" s="24" t="s">
        <v>2257</v>
      </c>
      <c r="B953" s="38" t="s">
        <v>2121</v>
      </c>
      <c r="C953" s="25" t="s">
        <v>2258</v>
      </c>
      <c r="D953" s="39" t="s">
        <v>2259</v>
      </c>
      <c r="E953" s="40" t="s">
        <v>477</v>
      </c>
      <c r="F953" s="54" t="s">
        <v>485</v>
      </c>
      <c r="G953" s="54" t="s">
        <v>485</v>
      </c>
      <c r="H953" s="54" t="s">
        <v>485</v>
      </c>
      <c r="I953" s="43">
        <f>'01_PARÂMETROS'!$B$9</f>
        <v>50</v>
      </c>
      <c r="J953" s="44">
        <f>1</f>
        <v>1</v>
      </c>
      <c r="K953" s="55">
        <f>MAX('01_PARÂMETROS'!$B$11,MIN('01_PARÂMETROS'!$B$12,J953))</f>
        <v>1</v>
      </c>
      <c r="L953" s="56">
        <f t="shared" si="44"/>
        <v>0</v>
      </c>
      <c r="M953" s="57" t="str">
        <f>IF(K953&lt;='01_PARÂMETROS'!$B$14,"Preferencial",IF(K953&lt;='01_PARÂMETROS'!$B$15,"Baixo",IF(K953&lt;='01_PARÂMETROS'!$B$16,"Médio",IF(K953&lt;='01_PARÂMETROS'!$B$17,"Alto","Elevado"))))</f>
        <v>Médio</v>
      </c>
      <c r="N953" s="58" t="s">
        <v>486</v>
      </c>
      <c r="O953" s="54"/>
    </row>
    <row r="954" spans="1:15" ht="13.5" customHeight="1" x14ac:dyDescent="0.25">
      <c r="A954" s="13" t="s">
        <v>2260</v>
      </c>
      <c r="B954" s="49" t="s">
        <v>2121</v>
      </c>
      <c r="C954" s="14" t="s">
        <v>2261</v>
      </c>
      <c r="D954" s="50" t="s">
        <v>2259</v>
      </c>
      <c r="E954" s="40" t="s">
        <v>477</v>
      </c>
      <c r="F954" s="54" t="s">
        <v>485</v>
      </c>
      <c r="G954" s="54" t="s">
        <v>485</v>
      </c>
      <c r="H954" s="54" t="s">
        <v>485</v>
      </c>
      <c r="I954" s="43">
        <f>'01_PARÂMETROS'!$B$9</f>
        <v>50</v>
      </c>
      <c r="J954" s="44">
        <f>1</f>
        <v>1</v>
      </c>
      <c r="K954" s="55">
        <f>MAX('01_PARÂMETROS'!$B$11,MIN('01_PARÂMETROS'!$B$12,J954))</f>
        <v>1</v>
      </c>
      <c r="L954" s="56">
        <f t="shared" si="44"/>
        <v>0</v>
      </c>
      <c r="M954" s="57" t="str">
        <f>IF(K954&lt;='01_PARÂMETROS'!$B$14,"Preferencial",IF(K954&lt;='01_PARÂMETROS'!$B$15,"Baixo",IF(K954&lt;='01_PARÂMETROS'!$B$16,"Médio",IF(K954&lt;='01_PARÂMETROS'!$B$17,"Alto","Elevado"))))</f>
        <v>Médio</v>
      </c>
      <c r="N954" s="58" t="s">
        <v>486</v>
      </c>
      <c r="O954" s="61"/>
    </row>
    <row r="955" spans="1:15" ht="13.5" customHeight="1" x14ac:dyDescent="0.25">
      <c r="A955" s="24" t="s">
        <v>2262</v>
      </c>
      <c r="B955" s="38" t="s">
        <v>2121</v>
      </c>
      <c r="C955" s="25" t="s">
        <v>2263</v>
      </c>
      <c r="D955" s="39" t="s">
        <v>2259</v>
      </c>
      <c r="E955" s="40" t="s">
        <v>477</v>
      </c>
      <c r="F955" s="54" t="s">
        <v>485</v>
      </c>
      <c r="G955" s="54" t="s">
        <v>485</v>
      </c>
      <c r="H955" s="54" t="s">
        <v>485</v>
      </c>
      <c r="I955" s="43">
        <f>'01_PARÂMETROS'!$B$9</f>
        <v>50</v>
      </c>
      <c r="J955" s="44">
        <f>1</f>
        <v>1</v>
      </c>
      <c r="K955" s="55">
        <f>MAX('01_PARÂMETROS'!$B$11,MIN('01_PARÂMETROS'!$B$12,J955))</f>
        <v>1</v>
      </c>
      <c r="L955" s="56">
        <f t="shared" si="44"/>
        <v>0</v>
      </c>
      <c r="M955" s="57" t="str">
        <f>IF(K955&lt;='01_PARÂMETROS'!$B$14,"Preferencial",IF(K955&lt;='01_PARÂMETROS'!$B$15,"Baixo",IF(K955&lt;='01_PARÂMETROS'!$B$16,"Médio",IF(K955&lt;='01_PARÂMETROS'!$B$17,"Alto","Elevado"))))</f>
        <v>Médio</v>
      </c>
      <c r="N955" s="58" t="s">
        <v>486</v>
      </c>
      <c r="O955" s="54"/>
    </row>
    <row r="956" spans="1:15" ht="13.5" customHeight="1" x14ac:dyDescent="0.25">
      <c r="A956" s="13" t="s">
        <v>2264</v>
      </c>
      <c r="B956" s="49" t="s">
        <v>2121</v>
      </c>
      <c r="C956" s="14" t="s">
        <v>2265</v>
      </c>
      <c r="D956" s="50" t="s">
        <v>2259</v>
      </c>
      <c r="E956" s="40" t="s">
        <v>477</v>
      </c>
      <c r="F956" s="54" t="s">
        <v>485</v>
      </c>
      <c r="G956" s="54" t="s">
        <v>485</v>
      </c>
      <c r="H956" s="54" t="s">
        <v>485</v>
      </c>
      <c r="I956" s="43">
        <f>'01_PARÂMETROS'!$B$9</f>
        <v>50</v>
      </c>
      <c r="J956" s="44">
        <f>1</f>
        <v>1</v>
      </c>
      <c r="K956" s="55">
        <f>MAX('01_PARÂMETROS'!$B$11,MIN('01_PARÂMETROS'!$B$12,J956))</f>
        <v>1</v>
      </c>
      <c r="L956" s="56">
        <f t="shared" si="44"/>
        <v>0</v>
      </c>
      <c r="M956" s="57" t="str">
        <f>IF(K956&lt;='01_PARÂMETROS'!$B$14,"Preferencial",IF(K956&lt;='01_PARÂMETROS'!$B$15,"Baixo",IF(K956&lt;='01_PARÂMETROS'!$B$16,"Médio",IF(K956&lt;='01_PARÂMETROS'!$B$17,"Alto","Elevado"))))</f>
        <v>Médio</v>
      </c>
      <c r="N956" s="58" t="s">
        <v>486</v>
      </c>
      <c r="O956" s="61"/>
    </row>
    <row r="957" spans="1:15" ht="13.5" customHeight="1" x14ac:dyDescent="0.25">
      <c r="A957" s="24" t="s">
        <v>2266</v>
      </c>
      <c r="B957" s="38" t="s">
        <v>2267</v>
      </c>
      <c r="C957" s="25" t="s">
        <v>2268</v>
      </c>
      <c r="D957" s="39" t="s">
        <v>2269</v>
      </c>
      <c r="E957" s="65" t="s">
        <v>841</v>
      </c>
      <c r="F957" s="54" t="s">
        <v>485</v>
      </c>
      <c r="G957" s="54" t="s">
        <v>485</v>
      </c>
      <c r="H957" s="54" t="s">
        <v>485</v>
      </c>
      <c r="I957" s="43">
        <f>'01_PARÂMETROS'!$B$9</f>
        <v>50</v>
      </c>
      <c r="J957" s="44">
        <f t="shared" ref="J957:J963" si="45">0.9</f>
        <v>0.9</v>
      </c>
      <c r="K957" s="62">
        <f>MAX('01_PARÂMETROS'!$B$11,MIN('01_PARÂMETROS'!$B$12,J957))</f>
        <v>0.9</v>
      </c>
      <c r="L957" s="63">
        <f t="shared" si="44"/>
        <v>-9.9999999999999978E-2</v>
      </c>
      <c r="M957" s="17" t="str">
        <f>IF(K957&lt;='01_PARÂMETROS'!$B$14,"Preferencial",IF(K957&lt;='01_PARÂMETROS'!$B$15,"Baixo",IF(K957&lt;='01_PARÂMETROS'!$B$16,"Médio",IF(K957&lt;='01_PARÂMETROS'!$B$17,"Alto","Elevado"))))</f>
        <v>Baixo</v>
      </c>
      <c r="N957" s="58" t="s">
        <v>486</v>
      </c>
      <c r="O957" s="54"/>
    </row>
    <row r="958" spans="1:15" ht="13.5" customHeight="1" x14ac:dyDescent="0.25">
      <c r="A958" s="13" t="s">
        <v>2270</v>
      </c>
      <c r="B958" s="49" t="s">
        <v>2267</v>
      </c>
      <c r="C958" s="14" t="s">
        <v>2271</v>
      </c>
      <c r="D958" s="50" t="s">
        <v>2269</v>
      </c>
      <c r="E958" s="65" t="s">
        <v>841</v>
      </c>
      <c r="F958" s="54" t="s">
        <v>485</v>
      </c>
      <c r="G958" s="54" t="s">
        <v>485</v>
      </c>
      <c r="H958" s="54" t="s">
        <v>485</v>
      </c>
      <c r="I958" s="43">
        <f>'01_PARÂMETROS'!$B$9</f>
        <v>50</v>
      </c>
      <c r="J958" s="44">
        <f t="shared" si="45"/>
        <v>0.9</v>
      </c>
      <c r="K958" s="62">
        <f>MAX('01_PARÂMETROS'!$B$11,MIN('01_PARÂMETROS'!$B$12,J958))</f>
        <v>0.9</v>
      </c>
      <c r="L958" s="63">
        <f t="shared" si="44"/>
        <v>-9.9999999999999978E-2</v>
      </c>
      <c r="M958" s="17" t="str">
        <f>IF(K958&lt;='01_PARÂMETROS'!$B$14,"Preferencial",IF(K958&lt;='01_PARÂMETROS'!$B$15,"Baixo",IF(K958&lt;='01_PARÂMETROS'!$B$16,"Médio",IF(K958&lt;='01_PARÂMETROS'!$B$17,"Alto","Elevado"))))</f>
        <v>Baixo</v>
      </c>
      <c r="N958" s="58" t="s">
        <v>486</v>
      </c>
      <c r="O958" s="61"/>
    </row>
    <row r="959" spans="1:15" ht="13.5" customHeight="1" x14ac:dyDescent="0.25">
      <c r="A959" s="24" t="s">
        <v>2272</v>
      </c>
      <c r="B959" s="38" t="s">
        <v>2267</v>
      </c>
      <c r="C959" s="25" t="s">
        <v>2273</v>
      </c>
      <c r="D959" s="39" t="s">
        <v>2269</v>
      </c>
      <c r="E959" s="65" t="s">
        <v>841</v>
      </c>
      <c r="F959" s="54" t="s">
        <v>485</v>
      </c>
      <c r="G959" s="54" t="s">
        <v>485</v>
      </c>
      <c r="H959" s="54" t="s">
        <v>485</v>
      </c>
      <c r="I959" s="43">
        <f>'01_PARÂMETROS'!$B$9</f>
        <v>50</v>
      </c>
      <c r="J959" s="44">
        <f t="shared" si="45"/>
        <v>0.9</v>
      </c>
      <c r="K959" s="62">
        <f>MAX('01_PARÂMETROS'!$B$11,MIN('01_PARÂMETROS'!$B$12,J959))</f>
        <v>0.9</v>
      </c>
      <c r="L959" s="63">
        <f t="shared" si="44"/>
        <v>-9.9999999999999978E-2</v>
      </c>
      <c r="M959" s="17" t="str">
        <f>IF(K959&lt;='01_PARÂMETROS'!$B$14,"Preferencial",IF(K959&lt;='01_PARÂMETROS'!$B$15,"Baixo",IF(K959&lt;='01_PARÂMETROS'!$B$16,"Médio",IF(K959&lt;='01_PARÂMETROS'!$B$17,"Alto","Elevado"))))</f>
        <v>Baixo</v>
      </c>
      <c r="N959" s="58" t="s">
        <v>486</v>
      </c>
      <c r="O959" s="54"/>
    </row>
    <row r="960" spans="1:15" ht="13.5" customHeight="1" x14ac:dyDescent="0.25">
      <c r="A960" s="13" t="s">
        <v>2274</v>
      </c>
      <c r="B960" s="49" t="s">
        <v>2267</v>
      </c>
      <c r="C960" s="14" t="s">
        <v>2275</v>
      </c>
      <c r="D960" s="50" t="s">
        <v>2269</v>
      </c>
      <c r="E960" s="65" t="s">
        <v>841</v>
      </c>
      <c r="F960" s="54" t="s">
        <v>485</v>
      </c>
      <c r="G960" s="54" t="s">
        <v>485</v>
      </c>
      <c r="H960" s="54" t="s">
        <v>485</v>
      </c>
      <c r="I960" s="43">
        <f>'01_PARÂMETROS'!$B$9</f>
        <v>50</v>
      </c>
      <c r="J960" s="44">
        <f t="shared" si="45"/>
        <v>0.9</v>
      </c>
      <c r="K960" s="62">
        <f>MAX('01_PARÂMETROS'!$B$11,MIN('01_PARÂMETROS'!$B$12,J960))</f>
        <v>0.9</v>
      </c>
      <c r="L960" s="63">
        <f t="shared" si="44"/>
        <v>-9.9999999999999978E-2</v>
      </c>
      <c r="M960" s="17" t="str">
        <f>IF(K960&lt;='01_PARÂMETROS'!$B$14,"Preferencial",IF(K960&lt;='01_PARÂMETROS'!$B$15,"Baixo",IF(K960&lt;='01_PARÂMETROS'!$B$16,"Médio",IF(K960&lt;='01_PARÂMETROS'!$B$17,"Alto","Elevado"))))</f>
        <v>Baixo</v>
      </c>
      <c r="N960" s="58" t="s">
        <v>486</v>
      </c>
      <c r="O960" s="61"/>
    </row>
    <row r="961" spans="1:15" ht="13.5" customHeight="1" x14ac:dyDescent="0.25">
      <c r="A961" s="24" t="s">
        <v>2276</v>
      </c>
      <c r="B961" s="38" t="s">
        <v>2267</v>
      </c>
      <c r="C961" s="25" t="s">
        <v>2277</v>
      </c>
      <c r="D961" s="39" t="s">
        <v>2269</v>
      </c>
      <c r="E961" s="65" t="s">
        <v>841</v>
      </c>
      <c r="F961" s="54" t="s">
        <v>485</v>
      </c>
      <c r="G961" s="54" t="s">
        <v>485</v>
      </c>
      <c r="H961" s="54" t="s">
        <v>485</v>
      </c>
      <c r="I961" s="43">
        <f>'01_PARÂMETROS'!$B$9</f>
        <v>50</v>
      </c>
      <c r="J961" s="44">
        <f t="shared" si="45"/>
        <v>0.9</v>
      </c>
      <c r="K961" s="62">
        <f>MAX('01_PARÂMETROS'!$B$11,MIN('01_PARÂMETROS'!$B$12,J961))</f>
        <v>0.9</v>
      </c>
      <c r="L961" s="63">
        <f t="shared" si="44"/>
        <v>-9.9999999999999978E-2</v>
      </c>
      <c r="M961" s="17" t="str">
        <f>IF(K961&lt;='01_PARÂMETROS'!$B$14,"Preferencial",IF(K961&lt;='01_PARÂMETROS'!$B$15,"Baixo",IF(K961&lt;='01_PARÂMETROS'!$B$16,"Médio",IF(K961&lt;='01_PARÂMETROS'!$B$17,"Alto","Elevado"))))</f>
        <v>Baixo</v>
      </c>
      <c r="N961" s="58" t="s">
        <v>486</v>
      </c>
      <c r="O961" s="54"/>
    </row>
    <row r="962" spans="1:15" ht="13.5" customHeight="1" x14ac:dyDescent="0.25">
      <c r="A962" s="13" t="s">
        <v>2278</v>
      </c>
      <c r="B962" s="49" t="s">
        <v>2267</v>
      </c>
      <c r="C962" s="14" t="s">
        <v>2279</v>
      </c>
      <c r="D962" s="50" t="s">
        <v>2269</v>
      </c>
      <c r="E962" s="65" t="s">
        <v>841</v>
      </c>
      <c r="F962" s="54" t="s">
        <v>485</v>
      </c>
      <c r="G962" s="54" t="s">
        <v>485</v>
      </c>
      <c r="H962" s="54" t="s">
        <v>485</v>
      </c>
      <c r="I962" s="43">
        <f>'01_PARÂMETROS'!$B$9</f>
        <v>50</v>
      </c>
      <c r="J962" s="44">
        <f t="shared" si="45"/>
        <v>0.9</v>
      </c>
      <c r="K962" s="62">
        <f>MAX('01_PARÂMETROS'!$B$11,MIN('01_PARÂMETROS'!$B$12,J962))</f>
        <v>0.9</v>
      </c>
      <c r="L962" s="63">
        <f t="shared" si="44"/>
        <v>-9.9999999999999978E-2</v>
      </c>
      <c r="M962" s="17" t="str">
        <f>IF(K962&lt;='01_PARÂMETROS'!$B$14,"Preferencial",IF(K962&lt;='01_PARÂMETROS'!$B$15,"Baixo",IF(K962&lt;='01_PARÂMETROS'!$B$16,"Médio",IF(K962&lt;='01_PARÂMETROS'!$B$17,"Alto","Elevado"))))</f>
        <v>Baixo</v>
      </c>
      <c r="N962" s="58" t="s">
        <v>486</v>
      </c>
      <c r="O962" s="61"/>
    </row>
    <row r="963" spans="1:15" ht="13.5" customHeight="1" x14ac:dyDescent="0.25">
      <c r="A963" s="24" t="s">
        <v>2280</v>
      </c>
      <c r="B963" s="38" t="s">
        <v>2267</v>
      </c>
      <c r="C963" s="25" t="s">
        <v>2281</v>
      </c>
      <c r="D963" s="39" t="s">
        <v>2269</v>
      </c>
      <c r="E963" s="65" t="s">
        <v>841</v>
      </c>
      <c r="F963" s="54" t="s">
        <v>485</v>
      </c>
      <c r="G963" s="54" t="s">
        <v>485</v>
      </c>
      <c r="H963" s="54" t="s">
        <v>485</v>
      </c>
      <c r="I963" s="43">
        <f>'01_PARÂMETROS'!$B$9</f>
        <v>50</v>
      </c>
      <c r="J963" s="44">
        <f t="shared" si="45"/>
        <v>0.9</v>
      </c>
      <c r="K963" s="62">
        <f>MAX('01_PARÂMETROS'!$B$11,MIN('01_PARÂMETROS'!$B$12,J963))</f>
        <v>0.9</v>
      </c>
      <c r="L963" s="63">
        <f t="shared" si="44"/>
        <v>-9.9999999999999978E-2</v>
      </c>
      <c r="M963" s="17" t="str">
        <f>IF(K963&lt;='01_PARÂMETROS'!$B$14,"Preferencial",IF(K963&lt;='01_PARÂMETROS'!$B$15,"Baixo",IF(K963&lt;='01_PARÂMETROS'!$B$16,"Médio",IF(K963&lt;='01_PARÂMETROS'!$B$17,"Alto","Elevado"))))</f>
        <v>Baixo</v>
      </c>
      <c r="N963" s="58" t="s">
        <v>486</v>
      </c>
      <c r="O963" s="54"/>
    </row>
    <row r="964" spans="1:15" ht="13.5" customHeight="1" x14ac:dyDescent="0.25">
      <c r="A964" s="13" t="s">
        <v>2282</v>
      </c>
      <c r="B964" s="49" t="s">
        <v>2267</v>
      </c>
      <c r="C964" s="14" t="s">
        <v>2283</v>
      </c>
      <c r="D964" s="50" t="s">
        <v>2284</v>
      </c>
      <c r="E964" s="40" t="s">
        <v>477</v>
      </c>
      <c r="F964" s="54" t="s">
        <v>485</v>
      </c>
      <c r="G964" s="54" t="s">
        <v>485</v>
      </c>
      <c r="H964" s="54" t="s">
        <v>485</v>
      </c>
      <c r="I964" s="43">
        <f>'01_PARÂMETROS'!$B$9</f>
        <v>50</v>
      </c>
      <c r="J964" s="44">
        <f>1</f>
        <v>1</v>
      </c>
      <c r="K964" s="55">
        <f>MAX('01_PARÂMETROS'!$B$11,MIN('01_PARÂMETROS'!$B$12,J964))</f>
        <v>1</v>
      </c>
      <c r="L964" s="56">
        <f t="shared" si="44"/>
        <v>0</v>
      </c>
      <c r="M964" s="57" t="str">
        <f>IF(K964&lt;='01_PARÂMETROS'!$B$14,"Preferencial",IF(K964&lt;='01_PARÂMETROS'!$B$15,"Baixo",IF(K964&lt;='01_PARÂMETROS'!$B$16,"Médio",IF(K964&lt;='01_PARÂMETROS'!$B$17,"Alto","Elevado"))))</f>
        <v>Médio</v>
      </c>
      <c r="N964" s="58" t="s">
        <v>486</v>
      </c>
      <c r="O964" s="61"/>
    </row>
    <row r="965" spans="1:15" ht="13.5" customHeight="1" x14ac:dyDescent="0.25">
      <c r="A965" s="24" t="s">
        <v>2285</v>
      </c>
      <c r="B965" s="38" t="s">
        <v>2267</v>
      </c>
      <c r="C965" s="25" t="s">
        <v>2286</v>
      </c>
      <c r="D965" s="39" t="s">
        <v>2284</v>
      </c>
      <c r="E965" s="40" t="s">
        <v>477</v>
      </c>
      <c r="F965" s="54" t="s">
        <v>485</v>
      </c>
      <c r="G965" s="54" t="s">
        <v>485</v>
      </c>
      <c r="H965" s="54" t="s">
        <v>485</v>
      </c>
      <c r="I965" s="43">
        <f>'01_PARÂMETROS'!$B$9</f>
        <v>50</v>
      </c>
      <c r="J965" s="44">
        <f>1</f>
        <v>1</v>
      </c>
      <c r="K965" s="55">
        <f>MAX('01_PARÂMETROS'!$B$11,MIN('01_PARÂMETROS'!$B$12,J965))</f>
        <v>1</v>
      </c>
      <c r="L965" s="56">
        <f t="shared" ref="L965:L1028" si="46">(K965-1)</f>
        <v>0</v>
      </c>
      <c r="M965" s="57" t="str">
        <f>IF(K965&lt;='01_PARÂMETROS'!$B$14,"Preferencial",IF(K965&lt;='01_PARÂMETROS'!$B$15,"Baixo",IF(K965&lt;='01_PARÂMETROS'!$B$16,"Médio",IF(K965&lt;='01_PARÂMETROS'!$B$17,"Alto","Elevado"))))</f>
        <v>Médio</v>
      </c>
      <c r="N965" s="58" t="s">
        <v>486</v>
      </c>
      <c r="O965" s="54"/>
    </row>
    <row r="966" spans="1:15" ht="13.5" customHeight="1" x14ac:dyDescent="0.25">
      <c r="A966" s="13" t="s">
        <v>2287</v>
      </c>
      <c r="B966" s="49" t="s">
        <v>2267</v>
      </c>
      <c r="C966" s="14" t="s">
        <v>2288</v>
      </c>
      <c r="D966" s="50" t="s">
        <v>2284</v>
      </c>
      <c r="E966" s="40" t="s">
        <v>477</v>
      </c>
      <c r="F966" s="54" t="s">
        <v>485</v>
      </c>
      <c r="G966" s="54" t="s">
        <v>485</v>
      </c>
      <c r="H966" s="54" t="s">
        <v>485</v>
      </c>
      <c r="I966" s="43">
        <f>'01_PARÂMETROS'!$B$9</f>
        <v>50</v>
      </c>
      <c r="J966" s="44">
        <f>1</f>
        <v>1</v>
      </c>
      <c r="K966" s="55">
        <f>MAX('01_PARÂMETROS'!$B$11,MIN('01_PARÂMETROS'!$B$12,J966))</f>
        <v>1</v>
      </c>
      <c r="L966" s="56">
        <f t="shared" si="46"/>
        <v>0</v>
      </c>
      <c r="M966" s="57" t="str">
        <f>IF(K966&lt;='01_PARÂMETROS'!$B$14,"Preferencial",IF(K966&lt;='01_PARÂMETROS'!$B$15,"Baixo",IF(K966&lt;='01_PARÂMETROS'!$B$16,"Médio",IF(K966&lt;='01_PARÂMETROS'!$B$17,"Alto","Elevado"))))</f>
        <v>Médio</v>
      </c>
      <c r="N966" s="58" t="s">
        <v>486</v>
      </c>
      <c r="O966" s="61"/>
    </row>
    <row r="967" spans="1:15" ht="13.5" customHeight="1" x14ac:dyDescent="0.25">
      <c r="A967" s="24" t="s">
        <v>2289</v>
      </c>
      <c r="B967" s="38" t="s">
        <v>2267</v>
      </c>
      <c r="C967" s="25" t="s">
        <v>2290</v>
      </c>
      <c r="D967" s="39" t="s">
        <v>2284</v>
      </c>
      <c r="E967" s="40" t="s">
        <v>477</v>
      </c>
      <c r="F967" s="54" t="s">
        <v>485</v>
      </c>
      <c r="G967" s="54" t="s">
        <v>485</v>
      </c>
      <c r="H967" s="54" t="s">
        <v>485</v>
      </c>
      <c r="I967" s="43">
        <f>'01_PARÂMETROS'!$B$9</f>
        <v>50</v>
      </c>
      <c r="J967" s="44">
        <f>1</f>
        <v>1</v>
      </c>
      <c r="K967" s="55">
        <f>MAX('01_PARÂMETROS'!$B$11,MIN('01_PARÂMETROS'!$B$12,J967))</f>
        <v>1</v>
      </c>
      <c r="L967" s="56">
        <f t="shared" si="46"/>
        <v>0</v>
      </c>
      <c r="M967" s="57" t="str">
        <f>IF(K967&lt;='01_PARÂMETROS'!$B$14,"Preferencial",IF(K967&lt;='01_PARÂMETROS'!$B$15,"Baixo",IF(K967&lt;='01_PARÂMETROS'!$B$16,"Médio",IF(K967&lt;='01_PARÂMETROS'!$B$17,"Alto","Elevado"))))</f>
        <v>Médio</v>
      </c>
      <c r="N967" s="58" t="s">
        <v>486</v>
      </c>
      <c r="O967" s="54"/>
    </row>
    <row r="968" spans="1:15" ht="13.5" customHeight="1" x14ac:dyDescent="0.25">
      <c r="A968" s="13" t="s">
        <v>2291</v>
      </c>
      <c r="B968" s="49" t="s">
        <v>2267</v>
      </c>
      <c r="C968" s="14" t="s">
        <v>2292</v>
      </c>
      <c r="D968" s="50" t="s">
        <v>2284</v>
      </c>
      <c r="E968" s="40" t="s">
        <v>477</v>
      </c>
      <c r="F968" s="54" t="s">
        <v>485</v>
      </c>
      <c r="G968" s="54" t="s">
        <v>485</v>
      </c>
      <c r="H968" s="54" t="s">
        <v>485</v>
      </c>
      <c r="I968" s="43">
        <f>'01_PARÂMETROS'!$B$9</f>
        <v>50</v>
      </c>
      <c r="J968" s="44">
        <f>1</f>
        <v>1</v>
      </c>
      <c r="K968" s="55">
        <f>MAX('01_PARÂMETROS'!$B$11,MIN('01_PARÂMETROS'!$B$12,J968))</f>
        <v>1</v>
      </c>
      <c r="L968" s="56">
        <f t="shared" si="46"/>
        <v>0</v>
      </c>
      <c r="M968" s="57" t="str">
        <f>IF(K968&lt;='01_PARÂMETROS'!$B$14,"Preferencial",IF(K968&lt;='01_PARÂMETROS'!$B$15,"Baixo",IF(K968&lt;='01_PARÂMETROS'!$B$16,"Médio",IF(K968&lt;='01_PARÂMETROS'!$B$17,"Alto","Elevado"))))</f>
        <v>Médio</v>
      </c>
      <c r="N968" s="58" t="s">
        <v>486</v>
      </c>
      <c r="O968" s="61"/>
    </row>
    <row r="969" spans="1:15" ht="13.5" customHeight="1" x14ac:dyDescent="0.25">
      <c r="A969" s="24" t="s">
        <v>2293</v>
      </c>
      <c r="B969" s="38" t="s">
        <v>2267</v>
      </c>
      <c r="C969" s="25" t="s">
        <v>2294</v>
      </c>
      <c r="D969" s="39" t="s">
        <v>2284</v>
      </c>
      <c r="E969" s="40" t="s">
        <v>477</v>
      </c>
      <c r="F969" s="54" t="s">
        <v>485</v>
      </c>
      <c r="G969" s="54" t="s">
        <v>485</v>
      </c>
      <c r="H969" s="54" t="s">
        <v>485</v>
      </c>
      <c r="I969" s="43">
        <f>'01_PARÂMETROS'!$B$9</f>
        <v>50</v>
      </c>
      <c r="J969" s="44">
        <f>1</f>
        <v>1</v>
      </c>
      <c r="K969" s="55">
        <f>MAX('01_PARÂMETROS'!$B$11,MIN('01_PARÂMETROS'!$B$12,J969))</f>
        <v>1</v>
      </c>
      <c r="L969" s="56">
        <f t="shared" si="46"/>
        <v>0</v>
      </c>
      <c r="M969" s="57" t="str">
        <f>IF(K969&lt;='01_PARÂMETROS'!$B$14,"Preferencial",IF(K969&lt;='01_PARÂMETROS'!$B$15,"Baixo",IF(K969&lt;='01_PARÂMETROS'!$B$16,"Médio",IF(K969&lt;='01_PARÂMETROS'!$B$17,"Alto","Elevado"))))</f>
        <v>Médio</v>
      </c>
      <c r="N969" s="58" t="s">
        <v>486</v>
      </c>
      <c r="O969" s="54"/>
    </row>
    <row r="970" spans="1:15" ht="13.5" customHeight="1" x14ac:dyDescent="0.25">
      <c r="A970" s="13" t="s">
        <v>2295</v>
      </c>
      <c r="B970" s="49" t="s">
        <v>2267</v>
      </c>
      <c r="C970" s="14" t="s">
        <v>2296</v>
      </c>
      <c r="D970" s="50" t="s">
        <v>2284</v>
      </c>
      <c r="E970" s="40" t="s">
        <v>477</v>
      </c>
      <c r="F970" s="54" t="s">
        <v>485</v>
      </c>
      <c r="G970" s="54" t="s">
        <v>485</v>
      </c>
      <c r="H970" s="54" t="s">
        <v>485</v>
      </c>
      <c r="I970" s="43">
        <f>'01_PARÂMETROS'!$B$9</f>
        <v>50</v>
      </c>
      <c r="J970" s="44">
        <f>1</f>
        <v>1</v>
      </c>
      <c r="K970" s="55">
        <f>MAX('01_PARÂMETROS'!$B$11,MIN('01_PARÂMETROS'!$B$12,J970))</f>
        <v>1</v>
      </c>
      <c r="L970" s="56">
        <f t="shared" si="46"/>
        <v>0</v>
      </c>
      <c r="M970" s="57" t="str">
        <f>IF(K970&lt;='01_PARÂMETROS'!$B$14,"Preferencial",IF(K970&lt;='01_PARÂMETROS'!$B$15,"Baixo",IF(K970&lt;='01_PARÂMETROS'!$B$16,"Médio",IF(K970&lt;='01_PARÂMETROS'!$B$17,"Alto","Elevado"))))</f>
        <v>Médio</v>
      </c>
      <c r="N970" s="58" t="s">
        <v>486</v>
      </c>
      <c r="O970" s="61"/>
    </row>
    <row r="971" spans="1:15" ht="13.5" customHeight="1" x14ac:dyDescent="0.25">
      <c r="A971" s="24" t="s">
        <v>2297</v>
      </c>
      <c r="B971" s="38" t="s">
        <v>2267</v>
      </c>
      <c r="C971" s="25" t="s">
        <v>2298</v>
      </c>
      <c r="D971" s="39" t="s">
        <v>2284</v>
      </c>
      <c r="E971" s="40" t="s">
        <v>477</v>
      </c>
      <c r="F971" s="54" t="s">
        <v>485</v>
      </c>
      <c r="G971" s="54" t="s">
        <v>485</v>
      </c>
      <c r="H971" s="54" t="s">
        <v>485</v>
      </c>
      <c r="I971" s="43">
        <f>'01_PARÂMETROS'!$B$9</f>
        <v>50</v>
      </c>
      <c r="J971" s="44">
        <f>1</f>
        <v>1</v>
      </c>
      <c r="K971" s="55">
        <f>MAX('01_PARÂMETROS'!$B$11,MIN('01_PARÂMETROS'!$B$12,J971))</f>
        <v>1</v>
      </c>
      <c r="L971" s="56">
        <f t="shared" si="46"/>
        <v>0</v>
      </c>
      <c r="M971" s="57" t="str">
        <f>IF(K971&lt;='01_PARÂMETROS'!$B$14,"Preferencial",IF(K971&lt;='01_PARÂMETROS'!$B$15,"Baixo",IF(K971&lt;='01_PARÂMETROS'!$B$16,"Médio",IF(K971&lt;='01_PARÂMETROS'!$B$17,"Alto","Elevado"))))</f>
        <v>Médio</v>
      </c>
      <c r="N971" s="58" t="s">
        <v>486</v>
      </c>
      <c r="O971" s="54"/>
    </row>
    <row r="972" spans="1:15" ht="13.5" customHeight="1" x14ac:dyDescent="0.25">
      <c r="A972" s="13" t="s">
        <v>2299</v>
      </c>
      <c r="B972" s="49" t="s">
        <v>2267</v>
      </c>
      <c r="C972" s="14" t="s">
        <v>2300</v>
      </c>
      <c r="D972" s="50" t="s">
        <v>2284</v>
      </c>
      <c r="E972" s="40" t="s">
        <v>477</v>
      </c>
      <c r="F972" s="54" t="s">
        <v>485</v>
      </c>
      <c r="G972" s="54" t="s">
        <v>485</v>
      </c>
      <c r="H972" s="54" t="s">
        <v>485</v>
      </c>
      <c r="I972" s="43">
        <f>'01_PARÂMETROS'!$B$9</f>
        <v>50</v>
      </c>
      <c r="J972" s="44">
        <f>1</f>
        <v>1</v>
      </c>
      <c r="K972" s="55">
        <f>MAX('01_PARÂMETROS'!$B$11,MIN('01_PARÂMETROS'!$B$12,J972))</f>
        <v>1</v>
      </c>
      <c r="L972" s="56">
        <f t="shared" si="46"/>
        <v>0</v>
      </c>
      <c r="M972" s="57" t="str">
        <f>IF(K972&lt;='01_PARÂMETROS'!$B$14,"Preferencial",IF(K972&lt;='01_PARÂMETROS'!$B$15,"Baixo",IF(K972&lt;='01_PARÂMETROS'!$B$16,"Médio",IF(K972&lt;='01_PARÂMETROS'!$B$17,"Alto","Elevado"))))</f>
        <v>Médio</v>
      </c>
      <c r="N972" s="58" t="s">
        <v>486</v>
      </c>
      <c r="O972" s="61"/>
    </row>
    <row r="973" spans="1:15" ht="13.5" customHeight="1" x14ac:dyDescent="0.25">
      <c r="A973" s="24" t="s">
        <v>2301</v>
      </c>
      <c r="B973" s="38" t="s">
        <v>2302</v>
      </c>
      <c r="C973" s="25" t="s">
        <v>2303</v>
      </c>
      <c r="D973" s="39" t="s">
        <v>2304</v>
      </c>
      <c r="E973" s="65" t="s">
        <v>841</v>
      </c>
      <c r="F973" s="54" t="s">
        <v>485</v>
      </c>
      <c r="G973" s="54" t="s">
        <v>485</v>
      </c>
      <c r="H973" s="54" t="s">
        <v>485</v>
      </c>
      <c r="I973" s="43">
        <f>'01_PARÂMETROS'!$B$9</f>
        <v>50</v>
      </c>
      <c r="J973" s="44">
        <f t="shared" ref="J973:J995" si="47">0.9</f>
        <v>0.9</v>
      </c>
      <c r="K973" s="62">
        <f>MAX('01_PARÂMETROS'!$B$11,MIN('01_PARÂMETROS'!$B$12,J973))</f>
        <v>0.9</v>
      </c>
      <c r="L973" s="63">
        <f t="shared" si="46"/>
        <v>-9.9999999999999978E-2</v>
      </c>
      <c r="M973" s="17" t="str">
        <f>IF(K973&lt;='01_PARÂMETROS'!$B$14,"Preferencial",IF(K973&lt;='01_PARÂMETROS'!$B$15,"Baixo",IF(K973&lt;='01_PARÂMETROS'!$B$16,"Médio",IF(K973&lt;='01_PARÂMETROS'!$B$17,"Alto","Elevado"))))</f>
        <v>Baixo</v>
      </c>
      <c r="N973" s="58" t="s">
        <v>486</v>
      </c>
      <c r="O973" s="54"/>
    </row>
    <row r="974" spans="1:15" ht="13.5" customHeight="1" x14ac:dyDescent="0.25">
      <c r="A974" s="13" t="s">
        <v>2305</v>
      </c>
      <c r="B974" s="49" t="s">
        <v>2302</v>
      </c>
      <c r="C974" s="14" t="s">
        <v>2306</v>
      </c>
      <c r="D974" s="50" t="s">
        <v>2304</v>
      </c>
      <c r="E974" s="65" t="s">
        <v>841</v>
      </c>
      <c r="F974" s="54" t="s">
        <v>485</v>
      </c>
      <c r="G974" s="54" t="s">
        <v>485</v>
      </c>
      <c r="H974" s="54" t="s">
        <v>485</v>
      </c>
      <c r="I974" s="43">
        <f>'01_PARÂMETROS'!$B$9</f>
        <v>50</v>
      </c>
      <c r="J974" s="44">
        <f t="shared" si="47"/>
        <v>0.9</v>
      </c>
      <c r="K974" s="62">
        <f>MAX('01_PARÂMETROS'!$B$11,MIN('01_PARÂMETROS'!$B$12,J974))</f>
        <v>0.9</v>
      </c>
      <c r="L974" s="63">
        <f t="shared" si="46"/>
        <v>-9.9999999999999978E-2</v>
      </c>
      <c r="M974" s="17" t="str">
        <f>IF(K974&lt;='01_PARÂMETROS'!$B$14,"Preferencial",IF(K974&lt;='01_PARÂMETROS'!$B$15,"Baixo",IF(K974&lt;='01_PARÂMETROS'!$B$16,"Médio",IF(K974&lt;='01_PARÂMETROS'!$B$17,"Alto","Elevado"))))</f>
        <v>Baixo</v>
      </c>
      <c r="N974" s="58" t="s">
        <v>486</v>
      </c>
      <c r="O974" s="61"/>
    </row>
    <row r="975" spans="1:15" ht="13.5" customHeight="1" x14ac:dyDescent="0.25">
      <c r="A975" s="24" t="s">
        <v>2307</v>
      </c>
      <c r="B975" s="38" t="s">
        <v>2302</v>
      </c>
      <c r="C975" s="25" t="s">
        <v>2308</v>
      </c>
      <c r="D975" s="39" t="s">
        <v>2304</v>
      </c>
      <c r="E975" s="65" t="s">
        <v>841</v>
      </c>
      <c r="F975" s="54" t="s">
        <v>485</v>
      </c>
      <c r="G975" s="54" t="s">
        <v>485</v>
      </c>
      <c r="H975" s="54" t="s">
        <v>485</v>
      </c>
      <c r="I975" s="43">
        <f>'01_PARÂMETROS'!$B$9</f>
        <v>50</v>
      </c>
      <c r="J975" s="44">
        <f t="shared" si="47"/>
        <v>0.9</v>
      </c>
      <c r="K975" s="62">
        <f>MAX('01_PARÂMETROS'!$B$11,MIN('01_PARÂMETROS'!$B$12,J975))</f>
        <v>0.9</v>
      </c>
      <c r="L975" s="63">
        <f t="shared" si="46"/>
        <v>-9.9999999999999978E-2</v>
      </c>
      <c r="M975" s="17" t="str">
        <f>IF(K975&lt;='01_PARÂMETROS'!$B$14,"Preferencial",IF(K975&lt;='01_PARÂMETROS'!$B$15,"Baixo",IF(K975&lt;='01_PARÂMETROS'!$B$16,"Médio",IF(K975&lt;='01_PARÂMETROS'!$B$17,"Alto","Elevado"))))</f>
        <v>Baixo</v>
      </c>
      <c r="N975" s="58" t="s">
        <v>486</v>
      </c>
      <c r="O975" s="54"/>
    </row>
    <row r="976" spans="1:15" ht="13.5" customHeight="1" x14ac:dyDescent="0.25">
      <c r="A976" s="13" t="s">
        <v>2309</v>
      </c>
      <c r="B976" s="49" t="s">
        <v>2302</v>
      </c>
      <c r="C976" s="14" t="s">
        <v>2310</v>
      </c>
      <c r="D976" s="50" t="s">
        <v>2304</v>
      </c>
      <c r="E976" s="65" t="s">
        <v>841</v>
      </c>
      <c r="F976" s="54" t="s">
        <v>485</v>
      </c>
      <c r="G976" s="54" t="s">
        <v>485</v>
      </c>
      <c r="H976" s="54" t="s">
        <v>485</v>
      </c>
      <c r="I976" s="43">
        <f>'01_PARÂMETROS'!$B$9</f>
        <v>50</v>
      </c>
      <c r="J976" s="44">
        <f t="shared" si="47"/>
        <v>0.9</v>
      </c>
      <c r="K976" s="62">
        <f>MAX('01_PARÂMETROS'!$B$11,MIN('01_PARÂMETROS'!$B$12,J976))</f>
        <v>0.9</v>
      </c>
      <c r="L976" s="63">
        <f t="shared" si="46"/>
        <v>-9.9999999999999978E-2</v>
      </c>
      <c r="M976" s="17" t="str">
        <f>IF(K976&lt;='01_PARÂMETROS'!$B$14,"Preferencial",IF(K976&lt;='01_PARÂMETROS'!$B$15,"Baixo",IF(K976&lt;='01_PARÂMETROS'!$B$16,"Médio",IF(K976&lt;='01_PARÂMETROS'!$B$17,"Alto","Elevado"))))</f>
        <v>Baixo</v>
      </c>
      <c r="N976" s="58" t="s">
        <v>486</v>
      </c>
      <c r="O976" s="61"/>
    </row>
    <row r="977" spans="1:15" ht="13.5" customHeight="1" x14ac:dyDescent="0.25">
      <c r="A977" s="24" t="s">
        <v>2311</v>
      </c>
      <c r="B977" s="38" t="s">
        <v>2302</v>
      </c>
      <c r="C977" s="25" t="s">
        <v>2312</v>
      </c>
      <c r="D977" s="39" t="s">
        <v>2304</v>
      </c>
      <c r="E977" s="65" t="s">
        <v>841</v>
      </c>
      <c r="F977" s="54" t="s">
        <v>485</v>
      </c>
      <c r="G977" s="54" t="s">
        <v>485</v>
      </c>
      <c r="H977" s="54" t="s">
        <v>485</v>
      </c>
      <c r="I977" s="43">
        <f>'01_PARÂMETROS'!$B$9</f>
        <v>50</v>
      </c>
      <c r="J977" s="44">
        <f t="shared" si="47"/>
        <v>0.9</v>
      </c>
      <c r="K977" s="62">
        <f>MAX('01_PARÂMETROS'!$B$11,MIN('01_PARÂMETROS'!$B$12,J977))</f>
        <v>0.9</v>
      </c>
      <c r="L977" s="63">
        <f t="shared" si="46"/>
        <v>-9.9999999999999978E-2</v>
      </c>
      <c r="M977" s="17" t="str">
        <f>IF(K977&lt;='01_PARÂMETROS'!$B$14,"Preferencial",IF(K977&lt;='01_PARÂMETROS'!$B$15,"Baixo",IF(K977&lt;='01_PARÂMETROS'!$B$16,"Médio",IF(K977&lt;='01_PARÂMETROS'!$B$17,"Alto","Elevado"))))</f>
        <v>Baixo</v>
      </c>
      <c r="N977" s="58" t="s">
        <v>486</v>
      </c>
      <c r="O977" s="54"/>
    </row>
    <row r="978" spans="1:15" ht="13.5" customHeight="1" x14ac:dyDescent="0.25">
      <c r="A978" s="13" t="s">
        <v>2313</v>
      </c>
      <c r="B978" s="49" t="s">
        <v>2302</v>
      </c>
      <c r="C978" s="14" t="s">
        <v>2314</v>
      </c>
      <c r="D978" s="50" t="s">
        <v>2304</v>
      </c>
      <c r="E978" s="65" t="s">
        <v>841</v>
      </c>
      <c r="F978" s="54" t="s">
        <v>485</v>
      </c>
      <c r="G978" s="54" t="s">
        <v>485</v>
      </c>
      <c r="H978" s="54" t="s">
        <v>485</v>
      </c>
      <c r="I978" s="43">
        <f>'01_PARÂMETROS'!$B$9</f>
        <v>50</v>
      </c>
      <c r="J978" s="44">
        <f t="shared" si="47"/>
        <v>0.9</v>
      </c>
      <c r="K978" s="62">
        <f>MAX('01_PARÂMETROS'!$B$11,MIN('01_PARÂMETROS'!$B$12,J978))</f>
        <v>0.9</v>
      </c>
      <c r="L978" s="63">
        <f t="shared" si="46"/>
        <v>-9.9999999999999978E-2</v>
      </c>
      <c r="M978" s="17" t="str">
        <f>IF(K978&lt;='01_PARÂMETROS'!$B$14,"Preferencial",IF(K978&lt;='01_PARÂMETROS'!$B$15,"Baixo",IF(K978&lt;='01_PARÂMETROS'!$B$16,"Médio",IF(K978&lt;='01_PARÂMETROS'!$B$17,"Alto","Elevado"))))</f>
        <v>Baixo</v>
      </c>
      <c r="N978" s="58" t="s">
        <v>486</v>
      </c>
      <c r="O978" s="61"/>
    </row>
    <row r="979" spans="1:15" ht="13.5" customHeight="1" x14ac:dyDescent="0.25">
      <c r="A979" s="24" t="s">
        <v>2315</v>
      </c>
      <c r="B979" s="38" t="s">
        <v>2302</v>
      </c>
      <c r="C979" s="25" t="s">
        <v>2316</v>
      </c>
      <c r="D979" s="39" t="s">
        <v>2304</v>
      </c>
      <c r="E979" s="65" t="s">
        <v>841</v>
      </c>
      <c r="F979" s="54" t="s">
        <v>485</v>
      </c>
      <c r="G979" s="54" t="s">
        <v>485</v>
      </c>
      <c r="H979" s="54" t="s">
        <v>485</v>
      </c>
      <c r="I979" s="43">
        <f>'01_PARÂMETROS'!$B$9</f>
        <v>50</v>
      </c>
      <c r="J979" s="44">
        <f t="shared" si="47"/>
        <v>0.9</v>
      </c>
      <c r="K979" s="62">
        <f>MAX('01_PARÂMETROS'!$B$11,MIN('01_PARÂMETROS'!$B$12,J979))</f>
        <v>0.9</v>
      </c>
      <c r="L979" s="63">
        <f t="shared" si="46"/>
        <v>-9.9999999999999978E-2</v>
      </c>
      <c r="M979" s="17" t="str">
        <f>IF(K979&lt;='01_PARÂMETROS'!$B$14,"Preferencial",IF(K979&lt;='01_PARÂMETROS'!$B$15,"Baixo",IF(K979&lt;='01_PARÂMETROS'!$B$16,"Médio",IF(K979&lt;='01_PARÂMETROS'!$B$17,"Alto","Elevado"))))</f>
        <v>Baixo</v>
      </c>
      <c r="N979" s="58" t="s">
        <v>486</v>
      </c>
      <c r="O979" s="54"/>
    </row>
    <row r="980" spans="1:15" ht="13.5" customHeight="1" x14ac:dyDescent="0.25">
      <c r="A980" s="13" t="s">
        <v>2317</v>
      </c>
      <c r="B980" s="49" t="s">
        <v>2302</v>
      </c>
      <c r="C980" s="14" t="s">
        <v>2318</v>
      </c>
      <c r="D980" s="50" t="s">
        <v>2304</v>
      </c>
      <c r="E980" s="65" t="s">
        <v>841</v>
      </c>
      <c r="F980" s="54" t="s">
        <v>485</v>
      </c>
      <c r="G980" s="54" t="s">
        <v>485</v>
      </c>
      <c r="H980" s="54" t="s">
        <v>485</v>
      </c>
      <c r="I980" s="43">
        <f>'01_PARÂMETROS'!$B$9</f>
        <v>50</v>
      </c>
      <c r="J980" s="44">
        <f t="shared" si="47"/>
        <v>0.9</v>
      </c>
      <c r="K980" s="62">
        <f>MAX('01_PARÂMETROS'!$B$11,MIN('01_PARÂMETROS'!$B$12,J980))</f>
        <v>0.9</v>
      </c>
      <c r="L980" s="63">
        <f t="shared" si="46"/>
        <v>-9.9999999999999978E-2</v>
      </c>
      <c r="M980" s="17" t="str">
        <f>IF(K980&lt;='01_PARÂMETROS'!$B$14,"Preferencial",IF(K980&lt;='01_PARÂMETROS'!$B$15,"Baixo",IF(K980&lt;='01_PARÂMETROS'!$B$16,"Médio",IF(K980&lt;='01_PARÂMETROS'!$B$17,"Alto","Elevado"))))</f>
        <v>Baixo</v>
      </c>
      <c r="N980" s="58" t="s">
        <v>486</v>
      </c>
      <c r="O980" s="61"/>
    </row>
    <row r="981" spans="1:15" ht="13.5" customHeight="1" x14ac:dyDescent="0.25">
      <c r="A981" s="24" t="s">
        <v>2319</v>
      </c>
      <c r="B981" s="38" t="s">
        <v>2302</v>
      </c>
      <c r="C981" s="25" t="s">
        <v>2320</v>
      </c>
      <c r="D981" s="39" t="s">
        <v>2304</v>
      </c>
      <c r="E981" s="65" t="s">
        <v>841</v>
      </c>
      <c r="F981" s="54" t="s">
        <v>485</v>
      </c>
      <c r="G981" s="54" t="s">
        <v>485</v>
      </c>
      <c r="H981" s="54" t="s">
        <v>485</v>
      </c>
      <c r="I981" s="43">
        <f>'01_PARÂMETROS'!$B$9</f>
        <v>50</v>
      </c>
      <c r="J981" s="44">
        <f t="shared" si="47"/>
        <v>0.9</v>
      </c>
      <c r="K981" s="62">
        <f>MAX('01_PARÂMETROS'!$B$11,MIN('01_PARÂMETROS'!$B$12,J981))</f>
        <v>0.9</v>
      </c>
      <c r="L981" s="63">
        <f t="shared" si="46"/>
        <v>-9.9999999999999978E-2</v>
      </c>
      <c r="M981" s="17" t="str">
        <f>IF(K981&lt;='01_PARÂMETROS'!$B$14,"Preferencial",IF(K981&lt;='01_PARÂMETROS'!$B$15,"Baixo",IF(K981&lt;='01_PARÂMETROS'!$B$16,"Médio",IF(K981&lt;='01_PARÂMETROS'!$B$17,"Alto","Elevado"))))</f>
        <v>Baixo</v>
      </c>
      <c r="N981" s="58" t="s">
        <v>486</v>
      </c>
      <c r="O981" s="54"/>
    </row>
    <row r="982" spans="1:15" ht="13.5" customHeight="1" x14ac:dyDescent="0.25">
      <c r="A982" s="13" t="s">
        <v>2321</v>
      </c>
      <c r="B982" s="49" t="s">
        <v>2302</v>
      </c>
      <c r="C982" s="14" t="s">
        <v>2322</v>
      </c>
      <c r="D982" s="50" t="s">
        <v>2304</v>
      </c>
      <c r="E982" s="65" t="s">
        <v>841</v>
      </c>
      <c r="F982" s="54" t="s">
        <v>485</v>
      </c>
      <c r="G982" s="54" t="s">
        <v>485</v>
      </c>
      <c r="H982" s="54" t="s">
        <v>485</v>
      </c>
      <c r="I982" s="43">
        <f>'01_PARÂMETROS'!$B$9</f>
        <v>50</v>
      </c>
      <c r="J982" s="44">
        <f t="shared" si="47"/>
        <v>0.9</v>
      </c>
      <c r="K982" s="62">
        <f>MAX('01_PARÂMETROS'!$B$11,MIN('01_PARÂMETROS'!$B$12,J982))</f>
        <v>0.9</v>
      </c>
      <c r="L982" s="63">
        <f t="shared" si="46"/>
        <v>-9.9999999999999978E-2</v>
      </c>
      <c r="M982" s="17" t="str">
        <f>IF(K982&lt;='01_PARÂMETROS'!$B$14,"Preferencial",IF(K982&lt;='01_PARÂMETROS'!$B$15,"Baixo",IF(K982&lt;='01_PARÂMETROS'!$B$16,"Médio",IF(K982&lt;='01_PARÂMETROS'!$B$17,"Alto","Elevado"))))</f>
        <v>Baixo</v>
      </c>
      <c r="N982" s="58" t="s">
        <v>486</v>
      </c>
      <c r="O982" s="61"/>
    </row>
    <row r="983" spans="1:15" ht="13.5" customHeight="1" x14ac:dyDescent="0.25">
      <c r="A983" s="24" t="s">
        <v>2323</v>
      </c>
      <c r="B983" s="38" t="s">
        <v>2302</v>
      </c>
      <c r="C983" s="25" t="s">
        <v>2324</v>
      </c>
      <c r="D983" s="39" t="s">
        <v>2325</v>
      </c>
      <c r="E983" s="65" t="s">
        <v>841</v>
      </c>
      <c r="F983" s="54" t="s">
        <v>485</v>
      </c>
      <c r="G983" s="54" t="s">
        <v>485</v>
      </c>
      <c r="H983" s="54" t="s">
        <v>485</v>
      </c>
      <c r="I983" s="43">
        <f>'01_PARÂMETROS'!$B$9</f>
        <v>50</v>
      </c>
      <c r="J983" s="44">
        <f t="shared" si="47"/>
        <v>0.9</v>
      </c>
      <c r="K983" s="62">
        <f>MAX('01_PARÂMETROS'!$B$11,MIN('01_PARÂMETROS'!$B$12,J983))</f>
        <v>0.9</v>
      </c>
      <c r="L983" s="63">
        <f t="shared" si="46"/>
        <v>-9.9999999999999978E-2</v>
      </c>
      <c r="M983" s="17" t="str">
        <f>IF(K983&lt;='01_PARÂMETROS'!$B$14,"Preferencial",IF(K983&lt;='01_PARÂMETROS'!$B$15,"Baixo",IF(K983&lt;='01_PARÂMETROS'!$B$16,"Médio",IF(K983&lt;='01_PARÂMETROS'!$B$17,"Alto","Elevado"))))</f>
        <v>Baixo</v>
      </c>
      <c r="N983" s="58" t="s">
        <v>486</v>
      </c>
      <c r="O983" s="54"/>
    </row>
    <row r="984" spans="1:15" ht="13.5" customHeight="1" x14ac:dyDescent="0.25">
      <c r="A984" s="13" t="s">
        <v>2326</v>
      </c>
      <c r="B984" s="49" t="s">
        <v>2302</v>
      </c>
      <c r="C984" s="14" t="s">
        <v>2327</v>
      </c>
      <c r="D984" s="50" t="s">
        <v>2325</v>
      </c>
      <c r="E984" s="65" t="s">
        <v>841</v>
      </c>
      <c r="F984" s="54" t="s">
        <v>485</v>
      </c>
      <c r="G984" s="54" t="s">
        <v>485</v>
      </c>
      <c r="H984" s="54" t="s">
        <v>485</v>
      </c>
      <c r="I984" s="43">
        <f>'01_PARÂMETROS'!$B$9</f>
        <v>50</v>
      </c>
      <c r="J984" s="44">
        <f t="shared" si="47"/>
        <v>0.9</v>
      </c>
      <c r="K984" s="62">
        <f>MAX('01_PARÂMETROS'!$B$11,MIN('01_PARÂMETROS'!$B$12,J984))</f>
        <v>0.9</v>
      </c>
      <c r="L984" s="63">
        <f t="shared" si="46"/>
        <v>-9.9999999999999978E-2</v>
      </c>
      <c r="M984" s="17" t="str">
        <f>IF(K984&lt;='01_PARÂMETROS'!$B$14,"Preferencial",IF(K984&lt;='01_PARÂMETROS'!$B$15,"Baixo",IF(K984&lt;='01_PARÂMETROS'!$B$16,"Médio",IF(K984&lt;='01_PARÂMETROS'!$B$17,"Alto","Elevado"))))</f>
        <v>Baixo</v>
      </c>
      <c r="N984" s="58" t="s">
        <v>486</v>
      </c>
      <c r="O984" s="61"/>
    </row>
    <row r="985" spans="1:15" ht="13.5" customHeight="1" x14ac:dyDescent="0.25">
      <c r="A985" s="24" t="s">
        <v>2328</v>
      </c>
      <c r="B985" s="38" t="s">
        <v>2302</v>
      </c>
      <c r="C985" s="25" t="s">
        <v>2329</v>
      </c>
      <c r="D985" s="39" t="s">
        <v>2325</v>
      </c>
      <c r="E985" s="65" t="s">
        <v>841</v>
      </c>
      <c r="F985" s="54" t="s">
        <v>485</v>
      </c>
      <c r="G985" s="54" t="s">
        <v>485</v>
      </c>
      <c r="H985" s="54" t="s">
        <v>485</v>
      </c>
      <c r="I985" s="43">
        <f>'01_PARÂMETROS'!$B$9</f>
        <v>50</v>
      </c>
      <c r="J985" s="44">
        <f t="shared" si="47"/>
        <v>0.9</v>
      </c>
      <c r="K985" s="62">
        <f>MAX('01_PARÂMETROS'!$B$11,MIN('01_PARÂMETROS'!$B$12,J985))</f>
        <v>0.9</v>
      </c>
      <c r="L985" s="63">
        <f t="shared" si="46"/>
        <v>-9.9999999999999978E-2</v>
      </c>
      <c r="M985" s="17" t="str">
        <f>IF(K985&lt;='01_PARÂMETROS'!$B$14,"Preferencial",IF(K985&lt;='01_PARÂMETROS'!$B$15,"Baixo",IF(K985&lt;='01_PARÂMETROS'!$B$16,"Médio",IF(K985&lt;='01_PARÂMETROS'!$B$17,"Alto","Elevado"))))</f>
        <v>Baixo</v>
      </c>
      <c r="N985" s="58" t="s">
        <v>486</v>
      </c>
      <c r="O985" s="54"/>
    </row>
    <row r="986" spans="1:15" ht="13.5" customHeight="1" x14ac:dyDescent="0.25">
      <c r="A986" s="13" t="s">
        <v>2330</v>
      </c>
      <c r="B986" s="49" t="s">
        <v>2302</v>
      </c>
      <c r="C986" s="14" t="s">
        <v>2331</v>
      </c>
      <c r="D986" s="50" t="s">
        <v>2325</v>
      </c>
      <c r="E986" s="65" t="s">
        <v>841</v>
      </c>
      <c r="F986" s="54" t="s">
        <v>485</v>
      </c>
      <c r="G986" s="54" t="s">
        <v>485</v>
      </c>
      <c r="H986" s="54" t="s">
        <v>485</v>
      </c>
      <c r="I986" s="43">
        <f>'01_PARÂMETROS'!$B$9</f>
        <v>50</v>
      </c>
      <c r="J986" s="44">
        <f t="shared" si="47"/>
        <v>0.9</v>
      </c>
      <c r="K986" s="62">
        <f>MAX('01_PARÂMETROS'!$B$11,MIN('01_PARÂMETROS'!$B$12,J986))</f>
        <v>0.9</v>
      </c>
      <c r="L986" s="63">
        <f t="shared" si="46"/>
        <v>-9.9999999999999978E-2</v>
      </c>
      <c r="M986" s="17" t="str">
        <f>IF(K986&lt;='01_PARÂMETROS'!$B$14,"Preferencial",IF(K986&lt;='01_PARÂMETROS'!$B$15,"Baixo",IF(K986&lt;='01_PARÂMETROS'!$B$16,"Médio",IF(K986&lt;='01_PARÂMETROS'!$B$17,"Alto","Elevado"))))</f>
        <v>Baixo</v>
      </c>
      <c r="N986" s="58" t="s">
        <v>486</v>
      </c>
      <c r="O986" s="61"/>
    </row>
    <row r="987" spans="1:15" ht="13.5" customHeight="1" x14ac:dyDescent="0.25">
      <c r="A987" s="24" t="s">
        <v>2332</v>
      </c>
      <c r="B987" s="38" t="s">
        <v>2302</v>
      </c>
      <c r="C987" s="25" t="s">
        <v>2333</v>
      </c>
      <c r="D987" s="39" t="s">
        <v>2325</v>
      </c>
      <c r="E987" s="65" t="s">
        <v>841</v>
      </c>
      <c r="F987" s="54" t="s">
        <v>485</v>
      </c>
      <c r="G987" s="54" t="s">
        <v>485</v>
      </c>
      <c r="H987" s="54" t="s">
        <v>485</v>
      </c>
      <c r="I987" s="43">
        <f>'01_PARÂMETROS'!$B$9</f>
        <v>50</v>
      </c>
      <c r="J987" s="44">
        <f t="shared" si="47"/>
        <v>0.9</v>
      </c>
      <c r="K987" s="62">
        <f>MAX('01_PARÂMETROS'!$B$11,MIN('01_PARÂMETROS'!$B$12,J987))</f>
        <v>0.9</v>
      </c>
      <c r="L987" s="63">
        <f t="shared" si="46"/>
        <v>-9.9999999999999978E-2</v>
      </c>
      <c r="M987" s="17" t="str">
        <f>IF(K987&lt;='01_PARÂMETROS'!$B$14,"Preferencial",IF(K987&lt;='01_PARÂMETROS'!$B$15,"Baixo",IF(K987&lt;='01_PARÂMETROS'!$B$16,"Médio",IF(K987&lt;='01_PARÂMETROS'!$B$17,"Alto","Elevado"))))</f>
        <v>Baixo</v>
      </c>
      <c r="N987" s="58" t="s">
        <v>486</v>
      </c>
      <c r="O987" s="54"/>
    </row>
    <row r="988" spans="1:15" ht="13.5" customHeight="1" x14ac:dyDescent="0.25">
      <c r="A988" s="13" t="s">
        <v>2334</v>
      </c>
      <c r="B988" s="49" t="s">
        <v>2302</v>
      </c>
      <c r="C988" s="14" t="s">
        <v>2335</v>
      </c>
      <c r="D988" s="50" t="s">
        <v>2325</v>
      </c>
      <c r="E988" s="65" t="s">
        <v>841</v>
      </c>
      <c r="F988" s="54" t="s">
        <v>485</v>
      </c>
      <c r="G988" s="54" t="s">
        <v>485</v>
      </c>
      <c r="H988" s="54" t="s">
        <v>485</v>
      </c>
      <c r="I988" s="43">
        <f>'01_PARÂMETROS'!$B$9</f>
        <v>50</v>
      </c>
      <c r="J988" s="44">
        <f t="shared" si="47"/>
        <v>0.9</v>
      </c>
      <c r="K988" s="62">
        <f>MAX('01_PARÂMETROS'!$B$11,MIN('01_PARÂMETROS'!$B$12,J988))</f>
        <v>0.9</v>
      </c>
      <c r="L988" s="63">
        <f t="shared" si="46"/>
        <v>-9.9999999999999978E-2</v>
      </c>
      <c r="M988" s="17" t="str">
        <f>IF(K988&lt;='01_PARÂMETROS'!$B$14,"Preferencial",IF(K988&lt;='01_PARÂMETROS'!$B$15,"Baixo",IF(K988&lt;='01_PARÂMETROS'!$B$16,"Médio",IF(K988&lt;='01_PARÂMETROS'!$B$17,"Alto","Elevado"))))</f>
        <v>Baixo</v>
      </c>
      <c r="N988" s="58" t="s">
        <v>486</v>
      </c>
      <c r="O988" s="61"/>
    </row>
    <row r="989" spans="1:15" ht="13.5" customHeight="1" x14ac:dyDescent="0.25">
      <c r="A989" s="24" t="s">
        <v>2336</v>
      </c>
      <c r="B989" s="38" t="s">
        <v>2302</v>
      </c>
      <c r="C989" s="25" t="s">
        <v>2337</v>
      </c>
      <c r="D989" s="39" t="s">
        <v>2325</v>
      </c>
      <c r="E989" s="65" t="s">
        <v>841</v>
      </c>
      <c r="F989" s="54" t="s">
        <v>485</v>
      </c>
      <c r="G989" s="54" t="s">
        <v>485</v>
      </c>
      <c r="H989" s="54" t="s">
        <v>485</v>
      </c>
      <c r="I989" s="43">
        <f>'01_PARÂMETROS'!$B$9</f>
        <v>50</v>
      </c>
      <c r="J989" s="44">
        <f t="shared" si="47"/>
        <v>0.9</v>
      </c>
      <c r="K989" s="62">
        <f>MAX('01_PARÂMETROS'!$B$11,MIN('01_PARÂMETROS'!$B$12,J989))</f>
        <v>0.9</v>
      </c>
      <c r="L989" s="63">
        <f t="shared" si="46"/>
        <v>-9.9999999999999978E-2</v>
      </c>
      <c r="M989" s="17" t="str">
        <f>IF(K989&lt;='01_PARÂMETROS'!$B$14,"Preferencial",IF(K989&lt;='01_PARÂMETROS'!$B$15,"Baixo",IF(K989&lt;='01_PARÂMETROS'!$B$16,"Médio",IF(K989&lt;='01_PARÂMETROS'!$B$17,"Alto","Elevado"))))</f>
        <v>Baixo</v>
      </c>
      <c r="N989" s="58" t="s">
        <v>486</v>
      </c>
      <c r="O989" s="54"/>
    </row>
    <row r="990" spans="1:15" ht="13.5" customHeight="1" x14ac:dyDescent="0.25">
      <c r="A990" s="13" t="s">
        <v>2338</v>
      </c>
      <c r="B990" s="49" t="s">
        <v>2302</v>
      </c>
      <c r="C990" s="14" t="s">
        <v>2339</v>
      </c>
      <c r="D990" s="50" t="s">
        <v>2325</v>
      </c>
      <c r="E990" s="65" t="s">
        <v>841</v>
      </c>
      <c r="F990" s="54" t="s">
        <v>485</v>
      </c>
      <c r="G990" s="54" t="s">
        <v>485</v>
      </c>
      <c r="H990" s="54" t="s">
        <v>485</v>
      </c>
      <c r="I990" s="43">
        <f>'01_PARÂMETROS'!$B$9</f>
        <v>50</v>
      </c>
      <c r="J990" s="44">
        <f t="shared" si="47"/>
        <v>0.9</v>
      </c>
      <c r="K990" s="62">
        <f>MAX('01_PARÂMETROS'!$B$11,MIN('01_PARÂMETROS'!$B$12,J990))</f>
        <v>0.9</v>
      </c>
      <c r="L990" s="63">
        <f t="shared" si="46"/>
        <v>-9.9999999999999978E-2</v>
      </c>
      <c r="M990" s="17" t="str">
        <f>IF(K990&lt;='01_PARÂMETROS'!$B$14,"Preferencial",IF(K990&lt;='01_PARÂMETROS'!$B$15,"Baixo",IF(K990&lt;='01_PARÂMETROS'!$B$16,"Médio",IF(K990&lt;='01_PARÂMETROS'!$B$17,"Alto","Elevado"))))</f>
        <v>Baixo</v>
      </c>
      <c r="N990" s="58" t="s">
        <v>486</v>
      </c>
      <c r="O990" s="61"/>
    </row>
    <row r="991" spans="1:15" ht="13.5" customHeight="1" x14ac:dyDescent="0.25">
      <c r="A991" s="24" t="s">
        <v>2340</v>
      </c>
      <c r="B991" s="38" t="s">
        <v>2302</v>
      </c>
      <c r="C991" s="25" t="s">
        <v>2341</v>
      </c>
      <c r="D991" s="39" t="s">
        <v>2325</v>
      </c>
      <c r="E991" s="65" t="s">
        <v>841</v>
      </c>
      <c r="F991" s="54" t="s">
        <v>485</v>
      </c>
      <c r="G991" s="54" t="s">
        <v>485</v>
      </c>
      <c r="H991" s="54" t="s">
        <v>485</v>
      </c>
      <c r="I991" s="43">
        <f>'01_PARÂMETROS'!$B$9</f>
        <v>50</v>
      </c>
      <c r="J991" s="44">
        <f t="shared" si="47"/>
        <v>0.9</v>
      </c>
      <c r="K991" s="62">
        <f>MAX('01_PARÂMETROS'!$B$11,MIN('01_PARÂMETROS'!$B$12,J991))</f>
        <v>0.9</v>
      </c>
      <c r="L991" s="63">
        <f t="shared" si="46"/>
        <v>-9.9999999999999978E-2</v>
      </c>
      <c r="M991" s="17" t="str">
        <f>IF(K991&lt;='01_PARÂMETROS'!$B$14,"Preferencial",IF(K991&lt;='01_PARÂMETROS'!$B$15,"Baixo",IF(K991&lt;='01_PARÂMETROS'!$B$16,"Médio",IF(K991&lt;='01_PARÂMETROS'!$B$17,"Alto","Elevado"))))</f>
        <v>Baixo</v>
      </c>
      <c r="N991" s="58" t="s">
        <v>486</v>
      </c>
      <c r="O991" s="54"/>
    </row>
    <row r="992" spans="1:15" ht="13.5" customHeight="1" x14ac:dyDescent="0.25">
      <c r="A992" s="13" t="s">
        <v>2342</v>
      </c>
      <c r="B992" s="49" t="s">
        <v>2302</v>
      </c>
      <c r="C992" s="14" t="s">
        <v>2343</v>
      </c>
      <c r="D992" s="50" t="s">
        <v>2344</v>
      </c>
      <c r="E992" s="65" t="s">
        <v>841</v>
      </c>
      <c r="F992" s="54" t="s">
        <v>485</v>
      </c>
      <c r="G992" s="54" t="s">
        <v>485</v>
      </c>
      <c r="H992" s="54" t="s">
        <v>485</v>
      </c>
      <c r="I992" s="43">
        <f>'01_PARÂMETROS'!$B$9</f>
        <v>50</v>
      </c>
      <c r="J992" s="44">
        <f t="shared" si="47"/>
        <v>0.9</v>
      </c>
      <c r="K992" s="62">
        <f>MAX('01_PARÂMETROS'!$B$11,MIN('01_PARÂMETROS'!$B$12,J992))</f>
        <v>0.9</v>
      </c>
      <c r="L992" s="63">
        <f t="shared" si="46"/>
        <v>-9.9999999999999978E-2</v>
      </c>
      <c r="M992" s="17" t="str">
        <f>IF(K992&lt;='01_PARÂMETROS'!$B$14,"Preferencial",IF(K992&lt;='01_PARÂMETROS'!$B$15,"Baixo",IF(K992&lt;='01_PARÂMETROS'!$B$16,"Médio",IF(K992&lt;='01_PARÂMETROS'!$B$17,"Alto","Elevado"))))</f>
        <v>Baixo</v>
      </c>
      <c r="N992" s="58" t="s">
        <v>486</v>
      </c>
      <c r="O992" s="61"/>
    </row>
    <row r="993" spans="1:15" ht="13.5" customHeight="1" x14ac:dyDescent="0.25">
      <c r="A993" s="24" t="s">
        <v>2345</v>
      </c>
      <c r="B993" s="38" t="s">
        <v>2302</v>
      </c>
      <c r="C993" s="25" t="s">
        <v>2346</v>
      </c>
      <c r="D993" s="39" t="s">
        <v>2344</v>
      </c>
      <c r="E993" s="65" t="s">
        <v>841</v>
      </c>
      <c r="F993" s="54" t="s">
        <v>485</v>
      </c>
      <c r="G993" s="54" t="s">
        <v>485</v>
      </c>
      <c r="H993" s="54" t="s">
        <v>485</v>
      </c>
      <c r="I993" s="43">
        <f>'01_PARÂMETROS'!$B$9</f>
        <v>50</v>
      </c>
      <c r="J993" s="44">
        <f t="shared" si="47"/>
        <v>0.9</v>
      </c>
      <c r="K993" s="62">
        <f>MAX('01_PARÂMETROS'!$B$11,MIN('01_PARÂMETROS'!$B$12,J993))</f>
        <v>0.9</v>
      </c>
      <c r="L993" s="63">
        <f t="shared" si="46"/>
        <v>-9.9999999999999978E-2</v>
      </c>
      <c r="M993" s="17" t="str">
        <f>IF(K993&lt;='01_PARÂMETROS'!$B$14,"Preferencial",IF(K993&lt;='01_PARÂMETROS'!$B$15,"Baixo",IF(K993&lt;='01_PARÂMETROS'!$B$16,"Médio",IF(K993&lt;='01_PARÂMETROS'!$B$17,"Alto","Elevado"))))</f>
        <v>Baixo</v>
      </c>
      <c r="N993" s="58" t="s">
        <v>486</v>
      </c>
      <c r="O993" s="54"/>
    </row>
    <row r="994" spans="1:15" ht="13.5" customHeight="1" x14ac:dyDescent="0.25">
      <c r="A994" s="13" t="s">
        <v>2347</v>
      </c>
      <c r="B994" s="49" t="s">
        <v>2302</v>
      </c>
      <c r="C994" s="14" t="s">
        <v>2348</v>
      </c>
      <c r="D994" s="50" t="s">
        <v>2344</v>
      </c>
      <c r="E994" s="65" t="s">
        <v>841</v>
      </c>
      <c r="F994" s="54" t="s">
        <v>485</v>
      </c>
      <c r="G994" s="54" t="s">
        <v>485</v>
      </c>
      <c r="H994" s="54" t="s">
        <v>485</v>
      </c>
      <c r="I994" s="43">
        <f>'01_PARÂMETROS'!$B$9</f>
        <v>50</v>
      </c>
      <c r="J994" s="44">
        <f t="shared" si="47"/>
        <v>0.9</v>
      </c>
      <c r="K994" s="62">
        <f>MAX('01_PARÂMETROS'!$B$11,MIN('01_PARÂMETROS'!$B$12,J994))</f>
        <v>0.9</v>
      </c>
      <c r="L994" s="63">
        <f t="shared" si="46"/>
        <v>-9.9999999999999978E-2</v>
      </c>
      <c r="M994" s="17" t="str">
        <f>IF(K994&lt;='01_PARÂMETROS'!$B$14,"Preferencial",IF(K994&lt;='01_PARÂMETROS'!$B$15,"Baixo",IF(K994&lt;='01_PARÂMETROS'!$B$16,"Médio",IF(K994&lt;='01_PARÂMETROS'!$B$17,"Alto","Elevado"))))</f>
        <v>Baixo</v>
      </c>
      <c r="N994" s="58" t="s">
        <v>486</v>
      </c>
      <c r="O994" s="61"/>
    </row>
    <row r="995" spans="1:15" ht="13.5" customHeight="1" x14ac:dyDescent="0.25">
      <c r="A995" s="24" t="s">
        <v>2349</v>
      </c>
      <c r="B995" s="38" t="s">
        <v>2302</v>
      </c>
      <c r="C995" s="25" t="s">
        <v>2350</v>
      </c>
      <c r="D995" s="39" t="s">
        <v>2344</v>
      </c>
      <c r="E995" s="65" t="s">
        <v>841</v>
      </c>
      <c r="F995" s="54" t="s">
        <v>485</v>
      </c>
      <c r="G995" s="54" t="s">
        <v>485</v>
      </c>
      <c r="H995" s="54" t="s">
        <v>485</v>
      </c>
      <c r="I995" s="43">
        <f>'01_PARÂMETROS'!$B$9</f>
        <v>50</v>
      </c>
      <c r="J995" s="44">
        <f t="shared" si="47"/>
        <v>0.9</v>
      </c>
      <c r="K995" s="62">
        <f>MAX('01_PARÂMETROS'!$B$11,MIN('01_PARÂMETROS'!$B$12,J995))</f>
        <v>0.9</v>
      </c>
      <c r="L995" s="63">
        <f t="shared" si="46"/>
        <v>-9.9999999999999978E-2</v>
      </c>
      <c r="M995" s="17" t="str">
        <f>IF(K995&lt;='01_PARÂMETROS'!$B$14,"Preferencial",IF(K995&lt;='01_PARÂMETROS'!$B$15,"Baixo",IF(K995&lt;='01_PARÂMETROS'!$B$16,"Médio",IF(K995&lt;='01_PARÂMETROS'!$B$17,"Alto","Elevado"))))</f>
        <v>Baixo</v>
      </c>
      <c r="N995" s="58" t="s">
        <v>486</v>
      </c>
      <c r="O995" s="54"/>
    </row>
    <row r="996" spans="1:15" ht="13.5" customHeight="1" x14ac:dyDescent="0.25">
      <c r="A996" s="13" t="s">
        <v>2351</v>
      </c>
      <c r="B996" s="49" t="s">
        <v>2302</v>
      </c>
      <c r="C996" s="14" t="s">
        <v>2352</v>
      </c>
      <c r="D996" s="50" t="s">
        <v>2353</v>
      </c>
      <c r="E996" s="40" t="s">
        <v>477</v>
      </c>
      <c r="F996" s="54" t="s">
        <v>485</v>
      </c>
      <c r="G996" s="54" t="s">
        <v>485</v>
      </c>
      <c r="H996" s="54" t="s">
        <v>485</v>
      </c>
      <c r="I996" s="43">
        <f>'01_PARÂMETROS'!$B$9</f>
        <v>50</v>
      </c>
      <c r="J996" s="44">
        <f>1</f>
        <v>1</v>
      </c>
      <c r="K996" s="55">
        <f>MAX('01_PARÂMETROS'!$B$11,MIN('01_PARÂMETROS'!$B$12,J996))</f>
        <v>1</v>
      </c>
      <c r="L996" s="56">
        <f t="shared" si="46"/>
        <v>0</v>
      </c>
      <c r="M996" s="57" t="str">
        <f>IF(K996&lt;='01_PARÂMETROS'!$B$14,"Preferencial",IF(K996&lt;='01_PARÂMETROS'!$B$15,"Baixo",IF(K996&lt;='01_PARÂMETROS'!$B$16,"Médio",IF(K996&lt;='01_PARÂMETROS'!$B$17,"Alto","Elevado"))))</f>
        <v>Médio</v>
      </c>
      <c r="N996" s="58" t="s">
        <v>486</v>
      </c>
      <c r="O996" s="61"/>
    </row>
    <row r="997" spans="1:15" ht="13.5" customHeight="1" x14ac:dyDescent="0.25">
      <c r="A997" s="24" t="s">
        <v>2354</v>
      </c>
      <c r="B997" s="38" t="s">
        <v>2302</v>
      </c>
      <c r="C997" s="25" t="s">
        <v>2355</v>
      </c>
      <c r="D997" s="39" t="s">
        <v>2353</v>
      </c>
      <c r="E997" s="40" t="s">
        <v>477</v>
      </c>
      <c r="F997" s="54" t="s">
        <v>485</v>
      </c>
      <c r="G997" s="54" t="s">
        <v>485</v>
      </c>
      <c r="H997" s="54" t="s">
        <v>485</v>
      </c>
      <c r="I997" s="43">
        <f>'01_PARÂMETROS'!$B$9</f>
        <v>50</v>
      </c>
      <c r="J997" s="44">
        <f>1</f>
        <v>1</v>
      </c>
      <c r="K997" s="55">
        <f>MAX('01_PARÂMETROS'!$B$11,MIN('01_PARÂMETROS'!$B$12,J997))</f>
        <v>1</v>
      </c>
      <c r="L997" s="56">
        <f t="shared" si="46"/>
        <v>0</v>
      </c>
      <c r="M997" s="57" t="str">
        <f>IF(K997&lt;='01_PARÂMETROS'!$B$14,"Preferencial",IF(K997&lt;='01_PARÂMETROS'!$B$15,"Baixo",IF(K997&lt;='01_PARÂMETROS'!$B$16,"Médio",IF(K997&lt;='01_PARÂMETROS'!$B$17,"Alto","Elevado"))))</f>
        <v>Médio</v>
      </c>
      <c r="N997" s="58" t="s">
        <v>486</v>
      </c>
      <c r="O997" s="54"/>
    </row>
    <row r="998" spans="1:15" ht="13.5" customHeight="1" x14ac:dyDescent="0.25">
      <c r="A998" s="13" t="s">
        <v>2356</v>
      </c>
      <c r="B998" s="49" t="s">
        <v>2302</v>
      </c>
      <c r="C998" s="14" t="s">
        <v>2357</v>
      </c>
      <c r="D998" s="50" t="s">
        <v>2353</v>
      </c>
      <c r="E998" s="40" t="s">
        <v>477</v>
      </c>
      <c r="F998" s="54" t="s">
        <v>485</v>
      </c>
      <c r="G998" s="54" t="s">
        <v>485</v>
      </c>
      <c r="H998" s="54" t="s">
        <v>485</v>
      </c>
      <c r="I998" s="43">
        <f>'01_PARÂMETROS'!$B$9</f>
        <v>50</v>
      </c>
      <c r="J998" s="44">
        <f>1</f>
        <v>1</v>
      </c>
      <c r="K998" s="55">
        <f>MAX('01_PARÂMETROS'!$B$11,MIN('01_PARÂMETROS'!$B$12,J998))</f>
        <v>1</v>
      </c>
      <c r="L998" s="56">
        <f t="shared" si="46"/>
        <v>0</v>
      </c>
      <c r="M998" s="57" t="str">
        <f>IF(K998&lt;='01_PARÂMETROS'!$B$14,"Preferencial",IF(K998&lt;='01_PARÂMETROS'!$B$15,"Baixo",IF(K998&lt;='01_PARÂMETROS'!$B$16,"Médio",IF(K998&lt;='01_PARÂMETROS'!$B$17,"Alto","Elevado"))))</f>
        <v>Médio</v>
      </c>
      <c r="N998" s="58" t="s">
        <v>486</v>
      </c>
      <c r="O998" s="61"/>
    </row>
    <row r="999" spans="1:15" ht="13.5" customHeight="1" x14ac:dyDescent="0.25">
      <c r="A999" s="24" t="s">
        <v>2358</v>
      </c>
      <c r="B999" s="38" t="s">
        <v>2302</v>
      </c>
      <c r="C999" s="25" t="s">
        <v>2359</v>
      </c>
      <c r="D999" s="39" t="s">
        <v>2353</v>
      </c>
      <c r="E999" s="40" t="s">
        <v>477</v>
      </c>
      <c r="F999" s="54" t="s">
        <v>485</v>
      </c>
      <c r="G999" s="54" t="s">
        <v>485</v>
      </c>
      <c r="H999" s="54" t="s">
        <v>485</v>
      </c>
      <c r="I999" s="43">
        <f>'01_PARÂMETROS'!$B$9</f>
        <v>50</v>
      </c>
      <c r="J999" s="44">
        <f>1</f>
        <v>1</v>
      </c>
      <c r="K999" s="55">
        <f>MAX('01_PARÂMETROS'!$B$11,MIN('01_PARÂMETROS'!$B$12,J999))</f>
        <v>1</v>
      </c>
      <c r="L999" s="56">
        <f t="shared" si="46"/>
        <v>0</v>
      </c>
      <c r="M999" s="57" t="str">
        <f>IF(K999&lt;='01_PARÂMETROS'!$B$14,"Preferencial",IF(K999&lt;='01_PARÂMETROS'!$B$15,"Baixo",IF(K999&lt;='01_PARÂMETROS'!$B$16,"Médio",IF(K999&lt;='01_PARÂMETROS'!$B$17,"Alto","Elevado"))))</f>
        <v>Médio</v>
      </c>
      <c r="N999" s="58" t="s">
        <v>486</v>
      </c>
      <c r="O999" s="54"/>
    </row>
    <row r="1000" spans="1:15" ht="13.5" customHeight="1" x14ac:dyDescent="0.25">
      <c r="A1000" s="13" t="s">
        <v>2360</v>
      </c>
      <c r="B1000" s="49" t="s">
        <v>2302</v>
      </c>
      <c r="C1000" s="14" t="s">
        <v>2361</v>
      </c>
      <c r="D1000" s="50" t="s">
        <v>2353</v>
      </c>
      <c r="E1000" s="40" t="s">
        <v>477</v>
      </c>
      <c r="F1000" s="54" t="s">
        <v>485</v>
      </c>
      <c r="G1000" s="54" t="s">
        <v>485</v>
      </c>
      <c r="H1000" s="54" t="s">
        <v>485</v>
      </c>
      <c r="I1000" s="43">
        <f>'01_PARÂMETROS'!$B$9</f>
        <v>50</v>
      </c>
      <c r="J1000" s="44">
        <f>1</f>
        <v>1</v>
      </c>
      <c r="K1000" s="55">
        <f>MAX('01_PARÂMETROS'!$B$11,MIN('01_PARÂMETROS'!$B$12,J1000))</f>
        <v>1</v>
      </c>
      <c r="L1000" s="56">
        <f t="shared" si="46"/>
        <v>0</v>
      </c>
      <c r="M1000" s="57" t="str">
        <f>IF(K1000&lt;='01_PARÂMETROS'!$B$14,"Preferencial",IF(K1000&lt;='01_PARÂMETROS'!$B$15,"Baixo",IF(K1000&lt;='01_PARÂMETROS'!$B$16,"Médio",IF(K1000&lt;='01_PARÂMETROS'!$B$17,"Alto","Elevado"))))</f>
        <v>Médio</v>
      </c>
      <c r="N1000" s="58" t="s">
        <v>486</v>
      </c>
      <c r="O1000" s="61"/>
    </row>
    <row r="1001" spans="1:15" ht="13.5" customHeight="1" x14ac:dyDescent="0.25">
      <c r="A1001" s="24" t="s">
        <v>2362</v>
      </c>
      <c r="B1001" s="38" t="s">
        <v>2302</v>
      </c>
      <c r="C1001" s="25" t="s">
        <v>2363</v>
      </c>
      <c r="D1001" s="39" t="s">
        <v>2353</v>
      </c>
      <c r="E1001" s="40" t="s">
        <v>477</v>
      </c>
      <c r="F1001" s="54" t="s">
        <v>485</v>
      </c>
      <c r="G1001" s="54" t="s">
        <v>485</v>
      </c>
      <c r="H1001" s="54" t="s">
        <v>485</v>
      </c>
      <c r="I1001" s="43">
        <f>'01_PARÂMETROS'!$B$9</f>
        <v>50</v>
      </c>
      <c r="J1001" s="44">
        <f>1</f>
        <v>1</v>
      </c>
      <c r="K1001" s="55">
        <f>MAX('01_PARÂMETROS'!$B$11,MIN('01_PARÂMETROS'!$B$12,J1001))</f>
        <v>1</v>
      </c>
      <c r="L1001" s="56">
        <f t="shared" si="46"/>
        <v>0</v>
      </c>
      <c r="M1001" s="57" t="str">
        <f>IF(K1001&lt;='01_PARÂMETROS'!$B$14,"Preferencial",IF(K1001&lt;='01_PARÂMETROS'!$B$15,"Baixo",IF(K1001&lt;='01_PARÂMETROS'!$B$16,"Médio",IF(K1001&lt;='01_PARÂMETROS'!$B$17,"Alto","Elevado"))))</f>
        <v>Médio</v>
      </c>
      <c r="N1001" s="58" t="s">
        <v>486</v>
      </c>
      <c r="O1001" s="54"/>
    </row>
    <row r="1002" spans="1:15" ht="13.5" customHeight="1" x14ac:dyDescent="0.25">
      <c r="A1002" s="13" t="s">
        <v>2364</v>
      </c>
      <c r="B1002" s="49" t="s">
        <v>2302</v>
      </c>
      <c r="C1002" s="14" t="s">
        <v>2365</v>
      </c>
      <c r="D1002" s="50" t="s">
        <v>2353</v>
      </c>
      <c r="E1002" s="40" t="s">
        <v>477</v>
      </c>
      <c r="F1002" s="54" t="s">
        <v>485</v>
      </c>
      <c r="G1002" s="54" t="s">
        <v>485</v>
      </c>
      <c r="H1002" s="54" t="s">
        <v>485</v>
      </c>
      <c r="I1002" s="43">
        <f>'01_PARÂMETROS'!$B$9</f>
        <v>50</v>
      </c>
      <c r="J1002" s="44">
        <f>1</f>
        <v>1</v>
      </c>
      <c r="K1002" s="55">
        <f>MAX('01_PARÂMETROS'!$B$11,MIN('01_PARÂMETROS'!$B$12,J1002))</f>
        <v>1</v>
      </c>
      <c r="L1002" s="56">
        <f t="shared" si="46"/>
        <v>0</v>
      </c>
      <c r="M1002" s="57" t="str">
        <f>IF(K1002&lt;='01_PARÂMETROS'!$B$14,"Preferencial",IF(K1002&lt;='01_PARÂMETROS'!$B$15,"Baixo",IF(K1002&lt;='01_PARÂMETROS'!$B$16,"Médio",IF(K1002&lt;='01_PARÂMETROS'!$B$17,"Alto","Elevado"))))</f>
        <v>Médio</v>
      </c>
      <c r="N1002" s="58" t="s">
        <v>486</v>
      </c>
      <c r="O1002" s="61"/>
    </row>
    <row r="1003" spans="1:15" ht="13.5" customHeight="1" x14ac:dyDescent="0.25">
      <c r="A1003" s="24" t="s">
        <v>2366</v>
      </c>
      <c r="B1003" s="38" t="s">
        <v>2302</v>
      </c>
      <c r="C1003" s="25" t="s">
        <v>2367</v>
      </c>
      <c r="D1003" s="39" t="s">
        <v>2353</v>
      </c>
      <c r="E1003" s="40" t="s">
        <v>477</v>
      </c>
      <c r="F1003" s="54" t="s">
        <v>485</v>
      </c>
      <c r="G1003" s="54" t="s">
        <v>485</v>
      </c>
      <c r="H1003" s="54" t="s">
        <v>485</v>
      </c>
      <c r="I1003" s="43">
        <f>'01_PARÂMETROS'!$B$9</f>
        <v>50</v>
      </c>
      <c r="J1003" s="44">
        <f>1</f>
        <v>1</v>
      </c>
      <c r="K1003" s="55">
        <f>MAX('01_PARÂMETROS'!$B$11,MIN('01_PARÂMETROS'!$B$12,J1003))</f>
        <v>1</v>
      </c>
      <c r="L1003" s="56">
        <f t="shared" si="46"/>
        <v>0</v>
      </c>
      <c r="M1003" s="57" t="str">
        <f>IF(K1003&lt;='01_PARÂMETROS'!$B$14,"Preferencial",IF(K1003&lt;='01_PARÂMETROS'!$B$15,"Baixo",IF(K1003&lt;='01_PARÂMETROS'!$B$16,"Médio",IF(K1003&lt;='01_PARÂMETROS'!$B$17,"Alto","Elevado"))))</f>
        <v>Médio</v>
      </c>
      <c r="N1003" s="58" t="s">
        <v>486</v>
      </c>
      <c r="O1003" s="54"/>
    </row>
    <row r="1004" spans="1:15" ht="13.5" customHeight="1" x14ac:dyDescent="0.25">
      <c r="A1004" s="13" t="s">
        <v>2368</v>
      </c>
      <c r="B1004" s="49" t="s">
        <v>2302</v>
      </c>
      <c r="C1004" s="14" t="s">
        <v>2369</v>
      </c>
      <c r="D1004" s="50" t="s">
        <v>2353</v>
      </c>
      <c r="E1004" s="40" t="s">
        <v>477</v>
      </c>
      <c r="F1004" s="54" t="s">
        <v>485</v>
      </c>
      <c r="G1004" s="54" t="s">
        <v>485</v>
      </c>
      <c r="H1004" s="54" t="s">
        <v>485</v>
      </c>
      <c r="I1004" s="43">
        <f>'01_PARÂMETROS'!$B$9</f>
        <v>50</v>
      </c>
      <c r="J1004" s="44">
        <f>1</f>
        <v>1</v>
      </c>
      <c r="K1004" s="55">
        <f>MAX('01_PARÂMETROS'!$B$11,MIN('01_PARÂMETROS'!$B$12,J1004))</f>
        <v>1</v>
      </c>
      <c r="L1004" s="56">
        <f t="shared" si="46"/>
        <v>0</v>
      </c>
      <c r="M1004" s="57" t="str">
        <f>IF(K1004&lt;='01_PARÂMETROS'!$B$14,"Preferencial",IF(K1004&lt;='01_PARÂMETROS'!$B$15,"Baixo",IF(K1004&lt;='01_PARÂMETROS'!$B$16,"Médio",IF(K1004&lt;='01_PARÂMETROS'!$B$17,"Alto","Elevado"))))</f>
        <v>Médio</v>
      </c>
      <c r="N1004" s="58" t="s">
        <v>486</v>
      </c>
      <c r="O1004" s="61"/>
    </row>
    <row r="1005" spans="1:15" ht="13.5" customHeight="1" x14ac:dyDescent="0.25">
      <c r="A1005" s="24" t="s">
        <v>2370</v>
      </c>
      <c r="B1005" s="38" t="s">
        <v>2302</v>
      </c>
      <c r="C1005" s="25" t="s">
        <v>2371</v>
      </c>
      <c r="D1005" s="39" t="s">
        <v>2353</v>
      </c>
      <c r="E1005" s="40" t="s">
        <v>477</v>
      </c>
      <c r="F1005" s="54" t="s">
        <v>485</v>
      </c>
      <c r="G1005" s="54" t="s">
        <v>485</v>
      </c>
      <c r="H1005" s="54" t="s">
        <v>485</v>
      </c>
      <c r="I1005" s="43">
        <f>'01_PARÂMETROS'!$B$9</f>
        <v>50</v>
      </c>
      <c r="J1005" s="44">
        <f>1</f>
        <v>1</v>
      </c>
      <c r="K1005" s="55">
        <f>MAX('01_PARÂMETROS'!$B$11,MIN('01_PARÂMETROS'!$B$12,J1005))</f>
        <v>1</v>
      </c>
      <c r="L1005" s="56">
        <f t="shared" si="46"/>
        <v>0</v>
      </c>
      <c r="M1005" s="57" t="str">
        <f>IF(K1005&lt;='01_PARÂMETROS'!$B$14,"Preferencial",IF(K1005&lt;='01_PARÂMETROS'!$B$15,"Baixo",IF(K1005&lt;='01_PARÂMETROS'!$B$16,"Médio",IF(K1005&lt;='01_PARÂMETROS'!$B$17,"Alto","Elevado"))))</f>
        <v>Médio</v>
      </c>
      <c r="N1005" s="58" t="s">
        <v>486</v>
      </c>
      <c r="O1005" s="54"/>
    </row>
    <row r="1006" spans="1:15" ht="13.5" customHeight="1" x14ac:dyDescent="0.25">
      <c r="A1006" s="13" t="s">
        <v>2372</v>
      </c>
      <c r="B1006" s="49" t="s">
        <v>2302</v>
      </c>
      <c r="C1006" s="14" t="s">
        <v>2373</v>
      </c>
      <c r="D1006" s="50" t="s">
        <v>2353</v>
      </c>
      <c r="E1006" s="40" t="s">
        <v>477</v>
      </c>
      <c r="F1006" s="54" t="s">
        <v>485</v>
      </c>
      <c r="G1006" s="54" t="s">
        <v>485</v>
      </c>
      <c r="H1006" s="54" t="s">
        <v>485</v>
      </c>
      <c r="I1006" s="43">
        <f>'01_PARÂMETROS'!$B$9</f>
        <v>50</v>
      </c>
      <c r="J1006" s="44">
        <f>1</f>
        <v>1</v>
      </c>
      <c r="K1006" s="55">
        <f>MAX('01_PARÂMETROS'!$B$11,MIN('01_PARÂMETROS'!$B$12,J1006))</f>
        <v>1</v>
      </c>
      <c r="L1006" s="56">
        <f t="shared" si="46"/>
        <v>0</v>
      </c>
      <c r="M1006" s="57" t="str">
        <f>IF(K1006&lt;='01_PARÂMETROS'!$B$14,"Preferencial",IF(K1006&lt;='01_PARÂMETROS'!$B$15,"Baixo",IF(K1006&lt;='01_PARÂMETROS'!$B$16,"Médio",IF(K1006&lt;='01_PARÂMETROS'!$B$17,"Alto","Elevado"))))</f>
        <v>Médio</v>
      </c>
      <c r="N1006" s="58" t="s">
        <v>486</v>
      </c>
      <c r="O1006" s="61"/>
    </row>
    <row r="1007" spans="1:15" ht="13.5" customHeight="1" x14ac:dyDescent="0.25">
      <c r="A1007" s="24" t="s">
        <v>2374</v>
      </c>
      <c r="B1007" s="38" t="s">
        <v>2302</v>
      </c>
      <c r="C1007" s="25" t="s">
        <v>2375</v>
      </c>
      <c r="D1007" s="39" t="s">
        <v>2353</v>
      </c>
      <c r="E1007" s="40" t="s">
        <v>477</v>
      </c>
      <c r="F1007" s="54" t="s">
        <v>485</v>
      </c>
      <c r="G1007" s="54" t="s">
        <v>485</v>
      </c>
      <c r="H1007" s="54" t="s">
        <v>485</v>
      </c>
      <c r="I1007" s="43">
        <f>'01_PARÂMETROS'!$B$9</f>
        <v>50</v>
      </c>
      <c r="J1007" s="44">
        <f>1</f>
        <v>1</v>
      </c>
      <c r="K1007" s="55">
        <f>MAX('01_PARÂMETROS'!$B$11,MIN('01_PARÂMETROS'!$B$12,J1007))</f>
        <v>1</v>
      </c>
      <c r="L1007" s="56">
        <f t="shared" si="46"/>
        <v>0</v>
      </c>
      <c r="M1007" s="57" t="str">
        <f>IF(K1007&lt;='01_PARÂMETROS'!$B$14,"Preferencial",IF(K1007&lt;='01_PARÂMETROS'!$B$15,"Baixo",IF(K1007&lt;='01_PARÂMETROS'!$B$16,"Médio",IF(K1007&lt;='01_PARÂMETROS'!$B$17,"Alto","Elevado"))))</f>
        <v>Médio</v>
      </c>
      <c r="N1007" s="58" t="s">
        <v>486</v>
      </c>
      <c r="O1007" s="54"/>
    </row>
    <row r="1008" spans="1:15" ht="13.5" customHeight="1" x14ac:dyDescent="0.25">
      <c r="A1008" s="13" t="s">
        <v>2376</v>
      </c>
      <c r="B1008" s="49" t="s">
        <v>2302</v>
      </c>
      <c r="C1008" s="14" t="s">
        <v>2377</v>
      </c>
      <c r="D1008" s="50" t="s">
        <v>2353</v>
      </c>
      <c r="E1008" s="40" t="s">
        <v>477</v>
      </c>
      <c r="F1008" s="54" t="s">
        <v>485</v>
      </c>
      <c r="G1008" s="54" t="s">
        <v>485</v>
      </c>
      <c r="H1008" s="54" t="s">
        <v>485</v>
      </c>
      <c r="I1008" s="43">
        <f>'01_PARÂMETROS'!$B$9</f>
        <v>50</v>
      </c>
      <c r="J1008" s="44">
        <f>1</f>
        <v>1</v>
      </c>
      <c r="K1008" s="55">
        <f>MAX('01_PARÂMETROS'!$B$11,MIN('01_PARÂMETROS'!$B$12,J1008))</f>
        <v>1</v>
      </c>
      <c r="L1008" s="56">
        <f t="shared" si="46"/>
        <v>0</v>
      </c>
      <c r="M1008" s="57" t="str">
        <f>IF(K1008&lt;='01_PARÂMETROS'!$B$14,"Preferencial",IF(K1008&lt;='01_PARÂMETROS'!$B$15,"Baixo",IF(K1008&lt;='01_PARÂMETROS'!$B$16,"Médio",IF(K1008&lt;='01_PARÂMETROS'!$B$17,"Alto","Elevado"))))</f>
        <v>Médio</v>
      </c>
      <c r="N1008" s="58" t="s">
        <v>486</v>
      </c>
      <c r="O1008" s="61"/>
    </row>
    <row r="1009" spans="1:15" ht="13.5" customHeight="1" x14ac:dyDescent="0.25">
      <c r="A1009" s="24" t="s">
        <v>2378</v>
      </c>
      <c r="B1009" s="38" t="s">
        <v>2302</v>
      </c>
      <c r="C1009" s="25" t="s">
        <v>2379</v>
      </c>
      <c r="D1009" s="39" t="s">
        <v>2353</v>
      </c>
      <c r="E1009" s="40" t="s">
        <v>477</v>
      </c>
      <c r="F1009" s="54" t="s">
        <v>485</v>
      </c>
      <c r="G1009" s="54" t="s">
        <v>485</v>
      </c>
      <c r="H1009" s="54" t="s">
        <v>485</v>
      </c>
      <c r="I1009" s="43">
        <f>'01_PARÂMETROS'!$B$9</f>
        <v>50</v>
      </c>
      <c r="J1009" s="44">
        <f>1</f>
        <v>1</v>
      </c>
      <c r="K1009" s="55">
        <f>MAX('01_PARÂMETROS'!$B$11,MIN('01_PARÂMETROS'!$B$12,J1009))</f>
        <v>1</v>
      </c>
      <c r="L1009" s="56">
        <f t="shared" si="46"/>
        <v>0</v>
      </c>
      <c r="M1009" s="57" t="str">
        <f>IF(K1009&lt;='01_PARÂMETROS'!$B$14,"Preferencial",IF(K1009&lt;='01_PARÂMETROS'!$B$15,"Baixo",IF(K1009&lt;='01_PARÂMETROS'!$B$16,"Médio",IF(K1009&lt;='01_PARÂMETROS'!$B$17,"Alto","Elevado"))))</f>
        <v>Médio</v>
      </c>
      <c r="N1009" s="58" t="s">
        <v>486</v>
      </c>
      <c r="O1009" s="54"/>
    </row>
    <row r="1010" spans="1:15" ht="13.5" customHeight="1" x14ac:dyDescent="0.25">
      <c r="A1010" s="13" t="s">
        <v>2380</v>
      </c>
      <c r="B1010" s="49" t="s">
        <v>2302</v>
      </c>
      <c r="C1010" s="14" t="s">
        <v>2381</v>
      </c>
      <c r="D1010" s="50" t="s">
        <v>2382</v>
      </c>
      <c r="E1010" s="65" t="s">
        <v>841</v>
      </c>
      <c r="F1010" s="54" t="s">
        <v>485</v>
      </c>
      <c r="G1010" s="54" t="s">
        <v>485</v>
      </c>
      <c r="H1010" s="54" t="s">
        <v>485</v>
      </c>
      <c r="I1010" s="43">
        <f>'01_PARÂMETROS'!$B$9</f>
        <v>50</v>
      </c>
      <c r="J1010" s="44">
        <f t="shared" ref="J1010:J1041" si="48">0.9</f>
        <v>0.9</v>
      </c>
      <c r="K1010" s="62">
        <f>MAX('01_PARÂMETROS'!$B$11,MIN('01_PARÂMETROS'!$B$12,J1010))</f>
        <v>0.9</v>
      </c>
      <c r="L1010" s="63">
        <f t="shared" si="46"/>
        <v>-9.9999999999999978E-2</v>
      </c>
      <c r="M1010" s="17" t="str">
        <f>IF(K1010&lt;='01_PARÂMETROS'!$B$14,"Preferencial",IF(K1010&lt;='01_PARÂMETROS'!$B$15,"Baixo",IF(K1010&lt;='01_PARÂMETROS'!$B$16,"Médio",IF(K1010&lt;='01_PARÂMETROS'!$B$17,"Alto","Elevado"))))</f>
        <v>Baixo</v>
      </c>
      <c r="N1010" s="58" t="s">
        <v>486</v>
      </c>
      <c r="O1010" s="61"/>
    </row>
    <row r="1011" spans="1:15" ht="13.5" customHeight="1" x14ac:dyDescent="0.25">
      <c r="A1011" s="24" t="s">
        <v>2383</v>
      </c>
      <c r="B1011" s="38" t="s">
        <v>2302</v>
      </c>
      <c r="C1011" s="25" t="s">
        <v>2384</v>
      </c>
      <c r="D1011" s="39" t="s">
        <v>2382</v>
      </c>
      <c r="E1011" s="65" t="s">
        <v>841</v>
      </c>
      <c r="F1011" s="54" t="s">
        <v>485</v>
      </c>
      <c r="G1011" s="54" t="s">
        <v>485</v>
      </c>
      <c r="H1011" s="54" t="s">
        <v>485</v>
      </c>
      <c r="I1011" s="43">
        <f>'01_PARÂMETROS'!$B$9</f>
        <v>50</v>
      </c>
      <c r="J1011" s="44">
        <f t="shared" si="48"/>
        <v>0.9</v>
      </c>
      <c r="K1011" s="62">
        <f>MAX('01_PARÂMETROS'!$B$11,MIN('01_PARÂMETROS'!$B$12,J1011))</f>
        <v>0.9</v>
      </c>
      <c r="L1011" s="63">
        <f t="shared" si="46"/>
        <v>-9.9999999999999978E-2</v>
      </c>
      <c r="M1011" s="17" t="str">
        <f>IF(K1011&lt;='01_PARÂMETROS'!$B$14,"Preferencial",IF(K1011&lt;='01_PARÂMETROS'!$B$15,"Baixo",IF(K1011&lt;='01_PARÂMETROS'!$B$16,"Médio",IF(K1011&lt;='01_PARÂMETROS'!$B$17,"Alto","Elevado"))))</f>
        <v>Baixo</v>
      </c>
      <c r="N1011" s="58" t="s">
        <v>486</v>
      </c>
      <c r="O1011" s="54"/>
    </row>
    <row r="1012" spans="1:15" ht="13.5" customHeight="1" x14ac:dyDescent="0.25">
      <c r="A1012" s="13" t="s">
        <v>2385</v>
      </c>
      <c r="B1012" s="49" t="s">
        <v>2302</v>
      </c>
      <c r="C1012" s="14" t="s">
        <v>2386</v>
      </c>
      <c r="D1012" s="50" t="s">
        <v>2382</v>
      </c>
      <c r="E1012" s="65" t="s">
        <v>841</v>
      </c>
      <c r="F1012" s="54" t="s">
        <v>485</v>
      </c>
      <c r="G1012" s="54" t="s">
        <v>485</v>
      </c>
      <c r="H1012" s="54" t="s">
        <v>485</v>
      </c>
      <c r="I1012" s="43">
        <f>'01_PARÂMETROS'!$B$9</f>
        <v>50</v>
      </c>
      <c r="J1012" s="44">
        <f t="shared" si="48"/>
        <v>0.9</v>
      </c>
      <c r="K1012" s="62">
        <f>MAX('01_PARÂMETROS'!$B$11,MIN('01_PARÂMETROS'!$B$12,J1012))</f>
        <v>0.9</v>
      </c>
      <c r="L1012" s="63">
        <f t="shared" si="46"/>
        <v>-9.9999999999999978E-2</v>
      </c>
      <c r="M1012" s="17" t="str">
        <f>IF(K1012&lt;='01_PARÂMETROS'!$B$14,"Preferencial",IF(K1012&lt;='01_PARÂMETROS'!$B$15,"Baixo",IF(K1012&lt;='01_PARÂMETROS'!$B$16,"Médio",IF(K1012&lt;='01_PARÂMETROS'!$B$17,"Alto","Elevado"))))</f>
        <v>Baixo</v>
      </c>
      <c r="N1012" s="58" t="s">
        <v>486</v>
      </c>
      <c r="O1012" s="61"/>
    </row>
    <row r="1013" spans="1:15" ht="13.5" customHeight="1" x14ac:dyDescent="0.25">
      <c r="A1013" s="24" t="s">
        <v>2387</v>
      </c>
      <c r="B1013" s="38" t="s">
        <v>2302</v>
      </c>
      <c r="C1013" s="25" t="s">
        <v>2388</v>
      </c>
      <c r="D1013" s="39" t="s">
        <v>2382</v>
      </c>
      <c r="E1013" s="65" t="s">
        <v>841</v>
      </c>
      <c r="F1013" s="54" t="s">
        <v>485</v>
      </c>
      <c r="G1013" s="54" t="s">
        <v>485</v>
      </c>
      <c r="H1013" s="54" t="s">
        <v>485</v>
      </c>
      <c r="I1013" s="43">
        <f>'01_PARÂMETROS'!$B$9</f>
        <v>50</v>
      </c>
      <c r="J1013" s="44">
        <f t="shared" si="48"/>
        <v>0.9</v>
      </c>
      <c r="K1013" s="62">
        <f>MAX('01_PARÂMETROS'!$B$11,MIN('01_PARÂMETROS'!$B$12,J1013))</f>
        <v>0.9</v>
      </c>
      <c r="L1013" s="63">
        <f t="shared" si="46"/>
        <v>-9.9999999999999978E-2</v>
      </c>
      <c r="M1013" s="17" t="str">
        <f>IF(K1013&lt;='01_PARÂMETROS'!$B$14,"Preferencial",IF(K1013&lt;='01_PARÂMETROS'!$B$15,"Baixo",IF(K1013&lt;='01_PARÂMETROS'!$B$16,"Médio",IF(K1013&lt;='01_PARÂMETROS'!$B$17,"Alto","Elevado"))))</f>
        <v>Baixo</v>
      </c>
      <c r="N1013" s="58" t="s">
        <v>486</v>
      </c>
      <c r="O1013" s="54"/>
    </row>
    <row r="1014" spans="1:15" ht="13.5" customHeight="1" x14ac:dyDescent="0.25">
      <c r="A1014" s="13" t="s">
        <v>2389</v>
      </c>
      <c r="B1014" s="49" t="s">
        <v>2302</v>
      </c>
      <c r="C1014" s="14" t="s">
        <v>2390</v>
      </c>
      <c r="D1014" s="50" t="s">
        <v>2382</v>
      </c>
      <c r="E1014" s="65" t="s">
        <v>841</v>
      </c>
      <c r="F1014" s="54" t="s">
        <v>485</v>
      </c>
      <c r="G1014" s="54" t="s">
        <v>485</v>
      </c>
      <c r="H1014" s="54" t="s">
        <v>485</v>
      </c>
      <c r="I1014" s="43">
        <f>'01_PARÂMETROS'!$B$9</f>
        <v>50</v>
      </c>
      <c r="J1014" s="44">
        <f t="shared" si="48"/>
        <v>0.9</v>
      </c>
      <c r="K1014" s="62">
        <f>MAX('01_PARÂMETROS'!$B$11,MIN('01_PARÂMETROS'!$B$12,J1014))</f>
        <v>0.9</v>
      </c>
      <c r="L1014" s="63">
        <f t="shared" si="46"/>
        <v>-9.9999999999999978E-2</v>
      </c>
      <c r="M1014" s="17" t="str">
        <f>IF(K1014&lt;='01_PARÂMETROS'!$B$14,"Preferencial",IF(K1014&lt;='01_PARÂMETROS'!$B$15,"Baixo",IF(K1014&lt;='01_PARÂMETROS'!$B$16,"Médio",IF(K1014&lt;='01_PARÂMETROS'!$B$17,"Alto","Elevado"))))</f>
        <v>Baixo</v>
      </c>
      <c r="N1014" s="58" t="s">
        <v>486</v>
      </c>
      <c r="O1014" s="61"/>
    </row>
    <row r="1015" spans="1:15" ht="13.5" customHeight="1" x14ac:dyDescent="0.25">
      <c r="A1015" s="24" t="s">
        <v>2391</v>
      </c>
      <c r="B1015" s="38" t="s">
        <v>2302</v>
      </c>
      <c r="C1015" s="25" t="s">
        <v>2392</v>
      </c>
      <c r="D1015" s="39" t="s">
        <v>2382</v>
      </c>
      <c r="E1015" s="65" t="s">
        <v>841</v>
      </c>
      <c r="F1015" s="54" t="s">
        <v>485</v>
      </c>
      <c r="G1015" s="54" t="s">
        <v>485</v>
      </c>
      <c r="H1015" s="54" t="s">
        <v>485</v>
      </c>
      <c r="I1015" s="43">
        <f>'01_PARÂMETROS'!$B$9</f>
        <v>50</v>
      </c>
      <c r="J1015" s="44">
        <f t="shared" si="48"/>
        <v>0.9</v>
      </c>
      <c r="K1015" s="62">
        <f>MAX('01_PARÂMETROS'!$B$11,MIN('01_PARÂMETROS'!$B$12,J1015))</f>
        <v>0.9</v>
      </c>
      <c r="L1015" s="63">
        <f t="shared" si="46"/>
        <v>-9.9999999999999978E-2</v>
      </c>
      <c r="M1015" s="17" t="str">
        <f>IF(K1015&lt;='01_PARÂMETROS'!$B$14,"Preferencial",IF(K1015&lt;='01_PARÂMETROS'!$B$15,"Baixo",IF(K1015&lt;='01_PARÂMETROS'!$B$16,"Médio",IF(K1015&lt;='01_PARÂMETROS'!$B$17,"Alto","Elevado"))))</f>
        <v>Baixo</v>
      </c>
      <c r="N1015" s="58" t="s">
        <v>486</v>
      </c>
      <c r="O1015" s="54"/>
    </row>
    <row r="1016" spans="1:15" ht="13.5" customHeight="1" x14ac:dyDescent="0.25">
      <c r="A1016" s="13" t="s">
        <v>2393</v>
      </c>
      <c r="B1016" s="49" t="s">
        <v>2302</v>
      </c>
      <c r="C1016" s="14" t="s">
        <v>2394</v>
      </c>
      <c r="D1016" s="50" t="s">
        <v>2395</v>
      </c>
      <c r="E1016" s="65" t="s">
        <v>841</v>
      </c>
      <c r="F1016" s="54" t="s">
        <v>485</v>
      </c>
      <c r="G1016" s="54" t="s">
        <v>485</v>
      </c>
      <c r="H1016" s="54" t="s">
        <v>485</v>
      </c>
      <c r="I1016" s="43">
        <f>'01_PARÂMETROS'!$B$9</f>
        <v>50</v>
      </c>
      <c r="J1016" s="44">
        <f t="shared" si="48"/>
        <v>0.9</v>
      </c>
      <c r="K1016" s="62">
        <f>MAX('01_PARÂMETROS'!$B$11,MIN('01_PARÂMETROS'!$B$12,J1016))</f>
        <v>0.9</v>
      </c>
      <c r="L1016" s="63">
        <f t="shared" si="46"/>
        <v>-9.9999999999999978E-2</v>
      </c>
      <c r="M1016" s="17" t="str">
        <f>IF(K1016&lt;='01_PARÂMETROS'!$B$14,"Preferencial",IF(K1016&lt;='01_PARÂMETROS'!$B$15,"Baixo",IF(K1016&lt;='01_PARÂMETROS'!$B$16,"Médio",IF(K1016&lt;='01_PARÂMETROS'!$B$17,"Alto","Elevado"))))</f>
        <v>Baixo</v>
      </c>
      <c r="N1016" s="58" t="s">
        <v>486</v>
      </c>
      <c r="O1016" s="61"/>
    </row>
    <row r="1017" spans="1:15" ht="13.5" customHeight="1" x14ac:dyDescent="0.25">
      <c r="A1017" s="24" t="s">
        <v>2396</v>
      </c>
      <c r="B1017" s="38" t="s">
        <v>2302</v>
      </c>
      <c r="C1017" s="25" t="s">
        <v>2397</v>
      </c>
      <c r="D1017" s="39" t="s">
        <v>2395</v>
      </c>
      <c r="E1017" s="65" t="s">
        <v>841</v>
      </c>
      <c r="F1017" s="54" t="s">
        <v>485</v>
      </c>
      <c r="G1017" s="54" t="s">
        <v>485</v>
      </c>
      <c r="H1017" s="54" t="s">
        <v>485</v>
      </c>
      <c r="I1017" s="43">
        <f>'01_PARÂMETROS'!$B$9</f>
        <v>50</v>
      </c>
      <c r="J1017" s="44">
        <f t="shared" si="48"/>
        <v>0.9</v>
      </c>
      <c r="K1017" s="62">
        <f>MAX('01_PARÂMETROS'!$B$11,MIN('01_PARÂMETROS'!$B$12,J1017))</f>
        <v>0.9</v>
      </c>
      <c r="L1017" s="63">
        <f t="shared" si="46"/>
        <v>-9.9999999999999978E-2</v>
      </c>
      <c r="M1017" s="17" t="str">
        <f>IF(K1017&lt;='01_PARÂMETROS'!$B$14,"Preferencial",IF(K1017&lt;='01_PARÂMETROS'!$B$15,"Baixo",IF(K1017&lt;='01_PARÂMETROS'!$B$16,"Médio",IF(K1017&lt;='01_PARÂMETROS'!$B$17,"Alto","Elevado"))))</f>
        <v>Baixo</v>
      </c>
      <c r="N1017" s="58" t="s">
        <v>486</v>
      </c>
      <c r="O1017" s="54"/>
    </row>
    <row r="1018" spans="1:15" ht="13.5" customHeight="1" x14ac:dyDescent="0.25">
      <c r="A1018" s="13" t="s">
        <v>2398</v>
      </c>
      <c r="B1018" s="49" t="s">
        <v>2302</v>
      </c>
      <c r="C1018" s="14" t="s">
        <v>2399</v>
      </c>
      <c r="D1018" s="50" t="s">
        <v>2395</v>
      </c>
      <c r="E1018" s="65" t="s">
        <v>841</v>
      </c>
      <c r="F1018" s="54" t="s">
        <v>485</v>
      </c>
      <c r="G1018" s="54" t="s">
        <v>485</v>
      </c>
      <c r="H1018" s="54" t="s">
        <v>485</v>
      </c>
      <c r="I1018" s="43">
        <f>'01_PARÂMETROS'!$B$9</f>
        <v>50</v>
      </c>
      <c r="J1018" s="44">
        <f t="shared" si="48"/>
        <v>0.9</v>
      </c>
      <c r="K1018" s="62">
        <f>MAX('01_PARÂMETROS'!$B$11,MIN('01_PARÂMETROS'!$B$12,J1018))</f>
        <v>0.9</v>
      </c>
      <c r="L1018" s="63">
        <f t="shared" si="46"/>
        <v>-9.9999999999999978E-2</v>
      </c>
      <c r="M1018" s="17" t="str">
        <f>IF(K1018&lt;='01_PARÂMETROS'!$B$14,"Preferencial",IF(K1018&lt;='01_PARÂMETROS'!$B$15,"Baixo",IF(K1018&lt;='01_PARÂMETROS'!$B$16,"Médio",IF(K1018&lt;='01_PARÂMETROS'!$B$17,"Alto","Elevado"))))</f>
        <v>Baixo</v>
      </c>
      <c r="N1018" s="58" t="s">
        <v>486</v>
      </c>
      <c r="O1018" s="61"/>
    </row>
    <row r="1019" spans="1:15" ht="13.5" customHeight="1" x14ac:dyDescent="0.25">
      <c r="A1019" s="24" t="s">
        <v>2400</v>
      </c>
      <c r="B1019" s="38" t="s">
        <v>2302</v>
      </c>
      <c r="C1019" s="25" t="s">
        <v>2401</v>
      </c>
      <c r="D1019" s="39" t="s">
        <v>2395</v>
      </c>
      <c r="E1019" s="65" t="s">
        <v>841</v>
      </c>
      <c r="F1019" s="54" t="s">
        <v>485</v>
      </c>
      <c r="G1019" s="54" t="s">
        <v>485</v>
      </c>
      <c r="H1019" s="54" t="s">
        <v>485</v>
      </c>
      <c r="I1019" s="43">
        <f>'01_PARÂMETROS'!$B$9</f>
        <v>50</v>
      </c>
      <c r="J1019" s="44">
        <f t="shared" si="48"/>
        <v>0.9</v>
      </c>
      <c r="K1019" s="62">
        <f>MAX('01_PARÂMETROS'!$B$11,MIN('01_PARÂMETROS'!$B$12,J1019))</f>
        <v>0.9</v>
      </c>
      <c r="L1019" s="63">
        <f t="shared" si="46"/>
        <v>-9.9999999999999978E-2</v>
      </c>
      <c r="M1019" s="17" t="str">
        <f>IF(K1019&lt;='01_PARÂMETROS'!$B$14,"Preferencial",IF(K1019&lt;='01_PARÂMETROS'!$B$15,"Baixo",IF(K1019&lt;='01_PARÂMETROS'!$B$16,"Médio",IF(K1019&lt;='01_PARÂMETROS'!$B$17,"Alto","Elevado"))))</f>
        <v>Baixo</v>
      </c>
      <c r="N1019" s="58" t="s">
        <v>486</v>
      </c>
      <c r="O1019" s="54"/>
    </row>
    <row r="1020" spans="1:15" ht="13.5" customHeight="1" x14ac:dyDescent="0.25">
      <c r="A1020" s="13" t="s">
        <v>2402</v>
      </c>
      <c r="B1020" s="49" t="s">
        <v>2403</v>
      </c>
      <c r="C1020" s="14" t="s">
        <v>2404</v>
      </c>
      <c r="D1020" s="50" t="s">
        <v>2405</v>
      </c>
      <c r="E1020" s="65" t="s">
        <v>841</v>
      </c>
      <c r="F1020" s="54" t="s">
        <v>485</v>
      </c>
      <c r="G1020" s="54" t="s">
        <v>485</v>
      </c>
      <c r="H1020" s="54" t="s">
        <v>485</v>
      </c>
      <c r="I1020" s="43">
        <f>'01_PARÂMETROS'!$B$9</f>
        <v>50</v>
      </c>
      <c r="J1020" s="44">
        <f t="shared" si="48"/>
        <v>0.9</v>
      </c>
      <c r="K1020" s="62">
        <f>MAX('01_PARÂMETROS'!$B$11,MIN('01_PARÂMETROS'!$B$12,J1020))</f>
        <v>0.9</v>
      </c>
      <c r="L1020" s="63">
        <f t="shared" si="46"/>
        <v>-9.9999999999999978E-2</v>
      </c>
      <c r="M1020" s="17" t="str">
        <f>IF(K1020&lt;='01_PARÂMETROS'!$B$14,"Preferencial",IF(K1020&lt;='01_PARÂMETROS'!$B$15,"Baixo",IF(K1020&lt;='01_PARÂMETROS'!$B$16,"Médio",IF(K1020&lt;='01_PARÂMETROS'!$B$17,"Alto","Elevado"))))</f>
        <v>Baixo</v>
      </c>
      <c r="N1020" s="58" t="s">
        <v>486</v>
      </c>
      <c r="O1020" s="61"/>
    </row>
    <row r="1021" spans="1:15" ht="13.5" customHeight="1" x14ac:dyDescent="0.25">
      <c r="A1021" s="24" t="s">
        <v>2406</v>
      </c>
      <c r="B1021" s="38" t="s">
        <v>2403</v>
      </c>
      <c r="C1021" s="25" t="s">
        <v>2407</v>
      </c>
      <c r="D1021" s="39" t="s">
        <v>2405</v>
      </c>
      <c r="E1021" s="65" t="s">
        <v>841</v>
      </c>
      <c r="F1021" s="54" t="s">
        <v>485</v>
      </c>
      <c r="G1021" s="54" t="s">
        <v>485</v>
      </c>
      <c r="H1021" s="54" t="s">
        <v>485</v>
      </c>
      <c r="I1021" s="43">
        <f>'01_PARÂMETROS'!$B$9</f>
        <v>50</v>
      </c>
      <c r="J1021" s="44">
        <f t="shared" si="48"/>
        <v>0.9</v>
      </c>
      <c r="K1021" s="62">
        <f>MAX('01_PARÂMETROS'!$B$11,MIN('01_PARÂMETROS'!$B$12,J1021))</f>
        <v>0.9</v>
      </c>
      <c r="L1021" s="63">
        <f t="shared" si="46"/>
        <v>-9.9999999999999978E-2</v>
      </c>
      <c r="M1021" s="17" t="str">
        <f>IF(K1021&lt;='01_PARÂMETROS'!$B$14,"Preferencial",IF(K1021&lt;='01_PARÂMETROS'!$B$15,"Baixo",IF(K1021&lt;='01_PARÂMETROS'!$B$16,"Médio",IF(K1021&lt;='01_PARÂMETROS'!$B$17,"Alto","Elevado"))))</f>
        <v>Baixo</v>
      </c>
      <c r="N1021" s="58" t="s">
        <v>486</v>
      </c>
      <c r="O1021" s="54"/>
    </row>
    <row r="1022" spans="1:15" ht="13.5" customHeight="1" x14ac:dyDescent="0.25">
      <c r="A1022" s="13" t="s">
        <v>2408</v>
      </c>
      <c r="B1022" s="49" t="s">
        <v>2403</v>
      </c>
      <c r="C1022" s="14" t="s">
        <v>2409</v>
      </c>
      <c r="D1022" s="50" t="s">
        <v>2405</v>
      </c>
      <c r="E1022" s="65" t="s">
        <v>841</v>
      </c>
      <c r="F1022" s="54" t="s">
        <v>485</v>
      </c>
      <c r="G1022" s="54" t="s">
        <v>485</v>
      </c>
      <c r="H1022" s="54" t="s">
        <v>485</v>
      </c>
      <c r="I1022" s="43">
        <f>'01_PARÂMETROS'!$B$9</f>
        <v>50</v>
      </c>
      <c r="J1022" s="44">
        <f t="shared" si="48"/>
        <v>0.9</v>
      </c>
      <c r="K1022" s="62">
        <f>MAX('01_PARÂMETROS'!$B$11,MIN('01_PARÂMETROS'!$B$12,J1022))</f>
        <v>0.9</v>
      </c>
      <c r="L1022" s="63">
        <f t="shared" si="46"/>
        <v>-9.9999999999999978E-2</v>
      </c>
      <c r="M1022" s="17" t="str">
        <f>IF(K1022&lt;='01_PARÂMETROS'!$B$14,"Preferencial",IF(K1022&lt;='01_PARÂMETROS'!$B$15,"Baixo",IF(K1022&lt;='01_PARÂMETROS'!$B$16,"Médio",IF(K1022&lt;='01_PARÂMETROS'!$B$17,"Alto","Elevado"))))</f>
        <v>Baixo</v>
      </c>
      <c r="N1022" s="58" t="s">
        <v>486</v>
      </c>
      <c r="O1022" s="61"/>
    </row>
    <row r="1023" spans="1:15" ht="13.5" customHeight="1" x14ac:dyDescent="0.25">
      <c r="A1023" s="24" t="s">
        <v>2410</v>
      </c>
      <c r="B1023" s="38" t="s">
        <v>2403</v>
      </c>
      <c r="C1023" s="25" t="s">
        <v>2411</v>
      </c>
      <c r="D1023" s="39" t="s">
        <v>2405</v>
      </c>
      <c r="E1023" s="65" t="s">
        <v>841</v>
      </c>
      <c r="F1023" s="54" t="s">
        <v>485</v>
      </c>
      <c r="G1023" s="54" t="s">
        <v>485</v>
      </c>
      <c r="H1023" s="54" t="s">
        <v>485</v>
      </c>
      <c r="I1023" s="43">
        <f>'01_PARÂMETROS'!$B$9</f>
        <v>50</v>
      </c>
      <c r="J1023" s="44">
        <f t="shared" si="48"/>
        <v>0.9</v>
      </c>
      <c r="K1023" s="62">
        <f>MAX('01_PARÂMETROS'!$B$11,MIN('01_PARÂMETROS'!$B$12,J1023))</f>
        <v>0.9</v>
      </c>
      <c r="L1023" s="63">
        <f t="shared" si="46"/>
        <v>-9.9999999999999978E-2</v>
      </c>
      <c r="M1023" s="17" t="str">
        <f>IF(K1023&lt;='01_PARÂMETROS'!$B$14,"Preferencial",IF(K1023&lt;='01_PARÂMETROS'!$B$15,"Baixo",IF(K1023&lt;='01_PARÂMETROS'!$B$16,"Médio",IF(K1023&lt;='01_PARÂMETROS'!$B$17,"Alto","Elevado"))))</f>
        <v>Baixo</v>
      </c>
      <c r="N1023" s="58" t="s">
        <v>486</v>
      </c>
      <c r="O1023" s="54"/>
    </row>
    <row r="1024" spans="1:15" ht="13.5" customHeight="1" x14ac:dyDescent="0.25">
      <c r="A1024" s="13" t="s">
        <v>2412</v>
      </c>
      <c r="B1024" s="49" t="s">
        <v>2403</v>
      </c>
      <c r="C1024" s="14" t="s">
        <v>2413</v>
      </c>
      <c r="D1024" s="50" t="s">
        <v>2405</v>
      </c>
      <c r="E1024" s="65" t="s">
        <v>841</v>
      </c>
      <c r="F1024" s="54" t="s">
        <v>485</v>
      </c>
      <c r="G1024" s="54" t="s">
        <v>485</v>
      </c>
      <c r="H1024" s="54" t="s">
        <v>485</v>
      </c>
      <c r="I1024" s="43">
        <f>'01_PARÂMETROS'!$B$9</f>
        <v>50</v>
      </c>
      <c r="J1024" s="44">
        <f t="shared" si="48"/>
        <v>0.9</v>
      </c>
      <c r="K1024" s="62">
        <f>MAX('01_PARÂMETROS'!$B$11,MIN('01_PARÂMETROS'!$B$12,J1024))</f>
        <v>0.9</v>
      </c>
      <c r="L1024" s="63">
        <f t="shared" si="46"/>
        <v>-9.9999999999999978E-2</v>
      </c>
      <c r="M1024" s="17" t="str">
        <f>IF(K1024&lt;='01_PARÂMETROS'!$B$14,"Preferencial",IF(K1024&lt;='01_PARÂMETROS'!$B$15,"Baixo",IF(K1024&lt;='01_PARÂMETROS'!$B$16,"Médio",IF(K1024&lt;='01_PARÂMETROS'!$B$17,"Alto","Elevado"))))</f>
        <v>Baixo</v>
      </c>
      <c r="N1024" s="58" t="s">
        <v>486</v>
      </c>
      <c r="O1024" s="61"/>
    </row>
    <row r="1025" spans="1:15" ht="13.5" customHeight="1" x14ac:dyDescent="0.25">
      <c r="A1025" s="24" t="s">
        <v>2414</v>
      </c>
      <c r="B1025" s="38" t="s">
        <v>2403</v>
      </c>
      <c r="C1025" s="25" t="s">
        <v>2415</v>
      </c>
      <c r="D1025" s="39" t="s">
        <v>2405</v>
      </c>
      <c r="E1025" s="65" t="s">
        <v>841</v>
      </c>
      <c r="F1025" s="54" t="s">
        <v>485</v>
      </c>
      <c r="G1025" s="54" t="s">
        <v>485</v>
      </c>
      <c r="H1025" s="54" t="s">
        <v>485</v>
      </c>
      <c r="I1025" s="43">
        <f>'01_PARÂMETROS'!$B$9</f>
        <v>50</v>
      </c>
      <c r="J1025" s="44">
        <f t="shared" si="48"/>
        <v>0.9</v>
      </c>
      <c r="K1025" s="62">
        <f>MAX('01_PARÂMETROS'!$B$11,MIN('01_PARÂMETROS'!$B$12,J1025))</f>
        <v>0.9</v>
      </c>
      <c r="L1025" s="63">
        <f t="shared" si="46"/>
        <v>-9.9999999999999978E-2</v>
      </c>
      <c r="M1025" s="17" t="str">
        <f>IF(K1025&lt;='01_PARÂMETROS'!$B$14,"Preferencial",IF(K1025&lt;='01_PARÂMETROS'!$B$15,"Baixo",IF(K1025&lt;='01_PARÂMETROS'!$B$16,"Médio",IF(K1025&lt;='01_PARÂMETROS'!$B$17,"Alto","Elevado"))))</f>
        <v>Baixo</v>
      </c>
      <c r="N1025" s="58" t="s">
        <v>486</v>
      </c>
      <c r="O1025" s="54"/>
    </row>
    <row r="1026" spans="1:15" ht="13.5" customHeight="1" x14ac:dyDescent="0.25">
      <c r="A1026" s="13" t="s">
        <v>2416</v>
      </c>
      <c r="B1026" s="49" t="s">
        <v>2403</v>
      </c>
      <c r="C1026" s="14" t="s">
        <v>2417</v>
      </c>
      <c r="D1026" s="50" t="s">
        <v>2405</v>
      </c>
      <c r="E1026" s="65" t="s">
        <v>841</v>
      </c>
      <c r="F1026" s="54" t="s">
        <v>485</v>
      </c>
      <c r="G1026" s="54" t="s">
        <v>485</v>
      </c>
      <c r="H1026" s="54" t="s">
        <v>485</v>
      </c>
      <c r="I1026" s="43">
        <f>'01_PARÂMETROS'!$B$9</f>
        <v>50</v>
      </c>
      <c r="J1026" s="44">
        <f t="shared" si="48"/>
        <v>0.9</v>
      </c>
      <c r="K1026" s="62">
        <f>MAX('01_PARÂMETROS'!$B$11,MIN('01_PARÂMETROS'!$B$12,J1026))</f>
        <v>0.9</v>
      </c>
      <c r="L1026" s="63">
        <f t="shared" si="46"/>
        <v>-9.9999999999999978E-2</v>
      </c>
      <c r="M1026" s="17" t="str">
        <f>IF(K1026&lt;='01_PARÂMETROS'!$B$14,"Preferencial",IF(K1026&lt;='01_PARÂMETROS'!$B$15,"Baixo",IF(K1026&lt;='01_PARÂMETROS'!$B$16,"Médio",IF(K1026&lt;='01_PARÂMETROS'!$B$17,"Alto","Elevado"))))</f>
        <v>Baixo</v>
      </c>
      <c r="N1026" s="58" t="s">
        <v>486</v>
      </c>
      <c r="O1026" s="61"/>
    </row>
    <row r="1027" spans="1:15" ht="13.5" customHeight="1" x14ac:dyDescent="0.25">
      <c r="A1027" s="24" t="s">
        <v>2418</v>
      </c>
      <c r="B1027" s="38" t="s">
        <v>2403</v>
      </c>
      <c r="C1027" s="25" t="s">
        <v>2419</v>
      </c>
      <c r="D1027" s="39" t="s">
        <v>2405</v>
      </c>
      <c r="E1027" s="65" t="s">
        <v>841</v>
      </c>
      <c r="F1027" s="54" t="s">
        <v>485</v>
      </c>
      <c r="G1027" s="54" t="s">
        <v>485</v>
      </c>
      <c r="H1027" s="54" t="s">
        <v>485</v>
      </c>
      <c r="I1027" s="43">
        <f>'01_PARÂMETROS'!$B$9</f>
        <v>50</v>
      </c>
      <c r="J1027" s="44">
        <f t="shared" si="48"/>
        <v>0.9</v>
      </c>
      <c r="K1027" s="62">
        <f>MAX('01_PARÂMETROS'!$B$11,MIN('01_PARÂMETROS'!$B$12,J1027))</f>
        <v>0.9</v>
      </c>
      <c r="L1027" s="63">
        <f t="shared" si="46"/>
        <v>-9.9999999999999978E-2</v>
      </c>
      <c r="M1027" s="17" t="str">
        <f>IF(K1027&lt;='01_PARÂMETROS'!$B$14,"Preferencial",IF(K1027&lt;='01_PARÂMETROS'!$B$15,"Baixo",IF(K1027&lt;='01_PARÂMETROS'!$B$16,"Médio",IF(K1027&lt;='01_PARÂMETROS'!$B$17,"Alto","Elevado"))))</f>
        <v>Baixo</v>
      </c>
      <c r="N1027" s="58" t="s">
        <v>486</v>
      </c>
      <c r="O1027" s="54"/>
    </row>
    <row r="1028" spans="1:15" ht="13.5" customHeight="1" x14ac:dyDescent="0.25">
      <c r="A1028" s="13" t="s">
        <v>2420</v>
      </c>
      <c r="B1028" s="49" t="s">
        <v>2403</v>
      </c>
      <c r="C1028" s="14" t="s">
        <v>2421</v>
      </c>
      <c r="D1028" s="50" t="s">
        <v>2405</v>
      </c>
      <c r="E1028" s="65" t="s">
        <v>841</v>
      </c>
      <c r="F1028" s="54" t="s">
        <v>485</v>
      </c>
      <c r="G1028" s="54" t="s">
        <v>485</v>
      </c>
      <c r="H1028" s="54" t="s">
        <v>485</v>
      </c>
      <c r="I1028" s="43">
        <f>'01_PARÂMETROS'!$B$9</f>
        <v>50</v>
      </c>
      <c r="J1028" s="44">
        <f t="shared" si="48"/>
        <v>0.9</v>
      </c>
      <c r="K1028" s="62">
        <f>MAX('01_PARÂMETROS'!$B$11,MIN('01_PARÂMETROS'!$B$12,J1028))</f>
        <v>0.9</v>
      </c>
      <c r="L1028" s="63">
        <f t="shared" si="46"/>
        <v>-9.9999999999999978E-2</v>
      </c>
      <c r="M1028" s="17" t="str">
        <f>IF(K1028&lt;='01_PARÂMETROS'!$B$14,"Preferencial",IF(K1028&lt;='01_PARÂMETROS'!$B$15,"Baixo",IF(K1028&lt;='01_PARÂMETROS'!$B$16,"Médio",IF(K1028&lt;='01_PARÂMETROS'!$B$17,"Alto","Elevado"))))</f>
        <v>Baixo</v>
      </c>
      <c r="N1028" s="58" t="s">
        <v>486</v>
      </c>
      <c r="O1028" s="61"/>
    </row>
    <row r="1029" spans="1:15" ht="13.5" customHeight="1" x14ac:dyDescent="0.25">
      <c r="A1029" s="24" t="s">
        <v>2422</v>
      </c>
      <c r="B1029" s="38" t="s">
        <v>2403</v>
      </c>
      <c r="C1029" s="25" t="s">
        <v>2423</v>
      </c>
      <c r="D1029" s="39" t="s">
        <v>2405</v>
      </c>
      <c r="E1029" s="65" t="s">
        <v>841</v>
      </c>
      <c r="F1029" s="54" t="s">
        <v>485</v>
      </c>
      <c r="G1029" s="54" t="s">
        <v>485</v>
      </c>
      <c r="H1029" s="54" t="s">
        <v>485</v>
      </c>
      <c r="I1029" s="43">
        <f>'01_PARÂMETROS'!$B$9</f>
        <v>50</v>
      </c>
      <c r="J1029" s="44">
        <f t="shared" si="48"/>
        <v>0.9</v>
      </c>
      <c r="K1029" s="62">
        <f>MAX('01_PARÂMETROS'!$B$11,MIN('01_PARÂMETROS'!$B$12,J1029))</f>
        <v>0.9</v>
      </c>
      <c r="L1029" s="63">
        <f t="shared" ref="L1029:L1092" si="49">(K1029-1)</f>
        <v>-9.9999999999999978E-2</v>
      </c>
      <c r="M1029" s="17" t="str">
        <f>IF(K1029&lt;='01_PARÂMETROS'!$B$14,"Preferencial",IF(K1029&lt;='01_PARÂMETROS'!$B$15,"Baixo",IF(K1029&lt;='01_PARÂMETROS'!$B$16,"Médio",IF(K1029&lt;='01_PARÂMETROS'!$B$17,"Alto","Elevado"))))</f>
        <v>Baixo</v>
      </c>
      <c r="N1029" s="58" t="s">
        <v>486</v>
      </c>
      <c r="O1029" s="54"/>
    </row>
    <row r="1030" spans="1:15" ht="13.5" customHeight="1" x14ac:dyDescent="0.25">
      <c r="A1030" s="13" t="s">
        <v>2424</v>
      </c>
      <c r="B1030" s="49" t="s">
        <v>2403</v>
      </c>
      <c r="C1030" s="14" t="s">
        <v>2425</v>
      </c>
      <c r="D1030" s="50" t="s">
        <v>2405</v>
      </c>
      <c r="E1030" s="65" t="s">
        <v>841</v>
      </c>
      <c r="F1030" s="54" t="s">
        <v>485</v>
      </c>
      <c r="G1030" s="54" t="s">
        <v>485</v>
      </c>
      <c r="H1030" s="54" t="s">
        <v>485</v>
      </c>
      <c r="I1030" s="43">
        <f>'01_PARÂMETROS'!$B$9</f>
        <v>50</v>
      </c>
      <c r="J1030" s="44">
        <f t="shared" si="48"/>
        <v>0.9</v>
      </c>
      <c r="K1030" s="62">
        <f>MAX('01_PARÂMETROS'!$B$11,MIN('01_PARÂMETROS'!$B$12,J1030))</f>
        <v>0.9</v>
      </c>
      <c r="L1030" s="63">
        <f t="shared" si="49"/>
        <v>-9.9999999999999978E-2</v>
      </c>
      <c r="M1030" s="17" t="str">
        <f>IF(K1030&lt;='01_PARÂMETROS'!$B$14,"Preferencial",IF(K1030&lt;='01_PARÂMETROS'!$B$15,"Baixo",IF(K1030&lt;='01_PARÂMETROS'!$B$16,"Médio",IF(K1030&lt;='01_PARÂMETROS'!$B$17,"Alto","Elevado"))))</f>
        <v>Baixo</v>
      </c>
      <c r="N1030" s="58" t="s">
        <v>486</v>
      </c>
      <c r="O1030" s="61"/>
    </row>
    <row r="1031" spans="1:15" ht="13.5" customHeight="1" x14ac:dyDescent="0.25">
      <c r="A1031" s="24" t="s">
        <v>2426</v>
      </c>
      <c r="B1031" s="38" t="s">
        <v>2403</v>
      </c>
      <c r="C1031" s="25" t="s">
        <v>2427</v>
      </c>
      <c r="D1031" s="39" t="s">
        <v>2405</v>
      </c>
      <c r="E1031" s="65" t="s">
        <v>841</v>
      </c>
      <c r="F1031" s="54" t="s">
        <v>485</v>
      </c>
      <c r="G1031" s="54" t="s">
        <v>485</v>
      </c>
      <c r="H1031" s="54" t="s">
        <v>485</v>
      </c>
      <c r="I1031" s="43">
        <f>'01_PARÂMETROS'!$B$9</f>
        <v>50</v>
      </c>
      <c r="J1031" s="44">
        <f t="shared" si="48"/>
        <v>0.9</v>
      </c>
      <c r="K1031" s="62">
        <f>MAX('01_PARÂMETROS'!$B$11,MIN('01_PARÂMETROS'!$B$12,J1031))</f>
        <v>0.9</v>
      </c>
      <c r="L1031" s="63">
        <f t="shared" si="49"/>
        <v>-9.9999999999999978E-2</v>
      </c>
      <c r="M1031" s="17" t="str">
        <f>IF(K1031&lt;='01_PARÂMETROS'!$B$14,"Preferencial",IF(K1031&lt;='01_PARÂMETROS'!$B$15,"Baixo",IF(K1031&lt;='01_PARÂMETROS'!$B$16,"Médio",IF(K1031&lt;='01_PARÂMETROS'!$B$17,"Alto","Elevado"))))</f>
        <v>Baixo</v>
      </c>
      <c r="N1031" s="58" t="s">
        <v>486</v>
      </c>
      <c r="O1031" s="54"/>
    </row>
    <row r="1032" spans="1:15" ht="13.5" customHeight="1" x14ac:dyDescent="0.25">
      <c r="A1032" s="13" t="s">
        <v>2428</v>
      </c>
      <c r="B1032" s="49" t="s">
        <v>2403</v>
      </c>
      <c r="C1032" s="14" t="s">
        <v>2429</v>
      </c>
      <c r="D1032" s="50" t="s">
        <v>2405</v>
      </c>
      <c r="E1032" s="65" t="s">
        <v>841</v>
      </c>
      <c r="F1032" s="54" t="s">
        <v>485</v>
      </c>
      <c r="G1032" s="54" t="s">
        <v>485</v>
      </c>
      <c r="H1032" s="54" t="s">
        <v>485</v>
      </c>
      <c r="I1032" s="43">
        <f>'01_PARÂMETROS'!$B$9</f>
        <v>50</v>
      </c>
      <c r="J1032" s="44">
        <f t="shared" si="48"/>
        <v>0.9</v>
      </c>
      <c r="K1032" s="62">
        <f>MAX('01_PARÂMETROS'!$B$11,MIN('01_PARÂMETROS'!$B$12,J1032))</f>
        <v>0.9</v>
      </c>
      <c r="L1032" s="63">
        <f t="shared" si="49"/>
        <v>-9.9999999999999978E-2</v>
      </c>
      <c r="M1032" s="17" t="str">
        <f>IF(K1032&lt;='01_PARÂMETROS'!$B$14,"Preferencial",IF(K1032&lt;='01_PARÂMETROS'!$B$15,"Baixo",IF(K1032&lt;='01_PARÂMETROS'!$B$16,"Médio",IF(K1032&lt;='01_PARÂMETROS'!$B$17,"Alto","Elevado"))))</f>
        <v>Baixo</v>
      </c>
      <c r="N1032" s="58" t="s">
        <v>486</v>
      </c>
      <c r="O1032" s="61"/>
    </row>
    <row r="1033" spans="1:15" ht="13.5" customHeight="1" x14ac:dyDescent="0.25">
      <c r="A1033" s="24" t="s">
        <v>2430</v>
      </c>
      <c r="B1033" s="38" t="s">
        <v>2403</v>
      </c>
      <c r="C1033" s="25" t="s">
        <v>2431</v>
      </c>
      <c r="D1033" s="39" t="s">
        <v>2405</v>
      </c>
      <c r="E1033" s="65" t="s">
        <v>841</v>
      </c>
      <c r="F1033" s="54" t="s">
        <v>485</v>
      </c>
      <c r="G1033" s="54" t="s">
        <v>485</v>
      </c>
      <c r="H1033" s="54" t="s">
        <v>485</v>
      </c>
      <c r="I1033" s="43">
        <f>'01_PARÂMETROS'!$B$9</f>
        <v>50</v>
      </c>
      <c r="J1033" s="44">
        <f t="shared" si="48"/>
        <v>0.9</v>
      </c>
      <c r="K1033" s="62">
        <f>MAX('01_PARÂMETROS'!$B$11,MIN('01_PARÂMETROS'!$B$12,J1033))</f>
        <v>0.9</v>
      </c>
      <c r="L1033" s="63">
        <f t="shared" si="49"/>
        <v>-9.9999999999999978E-2</v>
      </c>
      <c r="M1033" s="17" t="str">
        <f>IF(K1033&lt;='01_PARÂMETROS'!$B$14,"Preferencial",IF(K1033&lt;='01_PARÂMETROS'!$B$15,"Baixo",IF(K1033&lt;='01_PARÂMETROS'!$B$16,"Médio",IF(K1033&lt;='01_PARÂMETROS'!$B$17,"Alto","Elevado"))))</f>
        <v>Baixo</v>
      </c>
      <c r="N1033" s="58" t="s">
        <v>486</v>
      </c>
      <c r="O1033" s="54"/>
    </row>
    <row r="1034" spans="1:15" ht="13.5" customHeight="1" x14ac:dyDescent="0.25">
      <c r="A1034" s="13" t="s">
        <v>2432</v>
      </c>
      <c r="B1034" s="49" t="s">
        <v>2403</v>
      </c>
      <c r="C1034" s="14" t="s">
        <v>2433</v>
      </c>
      <c r="D1034" s="50" t="s">
        <v>2405</v>
      </c>
      <c r="E1034" s="65" t="s">
        <v>841</v>
      </c>
      <c r="F1034" s="54" t="s">
        <v>485</v>
      </c>
      <c r="G1034" s="54" t="s">
        <v>485</v>
      </c>
      <c r="H1034" s="54" t="s">
        <v>485</v>
      </c>
      <c r="I1034" s="43">
        <f>'01_PARÂMETROS'!$B$9</f>
        <v>50</v>
      </c>
      <c r="J1034" s="44">
        <f t="shared" si="48"/>
        <v>0.9</v>
      </c>
      <c r="K1034" s="62">
        <f>MAX('01_PARÂMETROS'!$B$11,MIN('01_PARÂMETROS'!$B$12,J1034))</f>
        <v>0.9</v>
      </c>
      <c r="L1034" s="63">
        <f t="shared" si="49"/>
        <v>-9.9999999999999978E-2</v>
      </c>
      <c r="M1034" s="17" t="str">
        <f>IF(K1034&lt;='01_PARÂMETROS'!$B$14,"Preferencial",IF(K1034&lt;='01_PARÂMETROS'!$B$15,"Baixo",IF(K1034&lt;='01_PARÂMETROS'!$B$16,"Médio",IF(K1034&lt;='01_PARÂMETROS'!$B$17,"Alto","Elevado"))))</f>
        <v>Baixo</v>
      </c>
      <c r="N1034" s="58" t="s">
        <v>486</v>
      </c>
      <c r="O1034" s="61"/>
    </row>
    <row r="1035" spans="1:15" ht="13.5" customHeight="1" x14ac:dyDescent="0.25">
      <c r="A1035" s="24" t="s">
        <v>2434</v>
      </c>
      <c r="B1035" s="38" t="s">
        <v>2403</v>
      </c>
      <c r="C1035" s="25" t="s">
        <v>2435</v>
      </c>
      <c r="D1035" s="39" t="s">
        <v>2405</v>
      </c>
      <c r="E1035" s="65" t="s">
        <v>841</v>
      </c>
      <c r="F1035" s="54" t="s">
        <v>485</v>
      </c>
      <c r="G1035" s="54" t="s">
        <v>485</v>
      </c>
      <c r="H1035" s="54" t="s">
        <v>485</v>
      </c>
      <c r="I1035" s="43">
        <f>'01_PARÂMETROS'!$B$9</f>
        <v>50</v>
      </c>
      <c r="J1035" s="44">
        <f t="shared" si="48"/>
        <v>0.9</v>
      </c>
      <c r="K1035" s="62">
        <f>MAX('01_PARÂMETROS'!$B$11,MIN('01_PARÂMETROS'!$B$12,J1035))</f>
        <v>0.9</v>
      </c>
      <c r="L1035" s="63">
        <f t="shared" si="49"/>
        <v>-9.9999999999999978E-2</v>
      </c>
      <c r="M1035" s="17" t="str">
        <f>IF(K1035&lt;='01_PARÂMETROS'!$B$14,"Preferencial",IF(K1035&lt;='01_PARÂMETROS'!$B$15,"Baixo",IF(K1035&lt;='01_PARÂMETROS'!$B$16,"Médio",IF(K1035&lt;='01_PARÂMETROS'!$B$17,"Alto","Elevado"))))</f>
        <v>Baixo</v>
      </c>
      <c r="N1035" s="58" t="s">
        <v>486</v>
      </c>
      <c r="O1035" s="54"/>
    </row>
    <row r="1036" spans="1:15" ht="13.5" customHeight="1" x14ac:dyDescent="0.25">
      <c r="A1036" s="13" t="s">
        <v>2436</v>
      </c>
      <c r="B1036" s="49" t="s">
        <v>2403</v>
      </c>
      <c r="C1036" s="14" t="s">
        <v>2437</v>
      </c>
      <c r="D1036" s="50" t="s">
        <v>2405</v>
      </c>
      <c r="E1036" s="65" t="s">
        <v>841</v>
      </c>
      <c r="F1036" s="54" t="s">
        <v>485</v>
      </c>
      <c r="G1036" s="54" t="s">
        <v>485</v>
      </c>
      <c r="H1036" s="54" t="s">
        <v>485</v>
      </c>
      <c r="I1036" s="43">
        <f>'01_PARÂMETROS'!$B$9</f>
        <v>50</v>
      </c>
      <c r="J1036" s="44">
        <f t="shared" si="48"/>
        <v>0.9</v>
      </c>
      <c r="K1036" s="62">
        <f>MAX('01_PARÂMETROS'!$B$11,MIN('01_PARÂMETROS'!$B$12,J1036))</f>
        <v>0.9</v>
      </c>
      <c r="L1036" s="63">
        <f t="shared" si="49"/>
        <v>-9.9999999999999978E-2</v>
      </c>
      <c r="M1036" s="17" t="str">
        <f>IF(K1036&lt;='01_PARÂMETROS'!$B$14,"Preferencial",IF(K1036&lt;='01_PARÂMETROS'!$B$15,"Baixo",IF(K1036&lt;='01_PARÂMETROS'!$B$16,"Médio",IF(K1036&lt;='01_PARÂMETROS'!$B$17,"Alto","Elevado"))))</f>
        <v>Baixo</v>
      </c>
      <c r="N1036" s="58" t="s">
        <v>486</v>
      </c>
      <c r="O1036" s="61"/>
    </row>
    <row r="1037" spans="1:15" ht="13.5" customHeight="1" x14ac:dyDescent="0.25">
      <c r="A1037" s="24" t="s">
        <v>2438</v>
      </c>
      <c r="B1037" s="38" t="s">
        <v>2403</v>
      </c>
      <c r="C1037" s="25" t="s">
        <v>2439</v>
      </c>
      <c r="D1037" s="39" t="s">
        <v>2405</v>
      </c>
      <c r="E1037" s="65" t="s">
        <v>841</v>
      </c>
      <c r="F1037" s="54" t="s">
        <v>485</v>
      </c>
      <c r="G1037" s="54" t="s">
        <v>485</v>
      </c>
      <c r="H1037" s="54" t="s">
        <v>485</v>
      </c>
      <c r="I1037" s="43">
        <f>'01_PARÂMETROS'!$B$9</f>
        <v>50</v>
      </c>
      <c r="J1037" s="44">
        <f t="shared" si="48"/>
        <v>0.9</v>
      </c>
      <c r="K1037" s="62">
        <f>MAX('01_PARÂMETROS'!$B$11,MIN('01_PARÂMETROS'!$B$12,J1037))</f>
        <v>0.9</v>
      </c>
      <c r="L1037" s="63">
        <f t="shared" si="49"/>
        <v>-9.9999999999999978E-2</v>
      </c>
      <c r="M1037" s="17" t="str">
        <f>IF(K1037&lt;='01_PARÂMETROS'!$B$14,"Preferencial",IF(K1037&lt;='01_PARÂMETROS'!$B$15,"Baixo",IF(K1037&lt;='01_PARÂMETROS'!$B$16,"Médio",IF(K1037&lt;='01_PARÂMETROS'!$B$17,"Alto","Elevado"))))</f>
        <v>Baixo</v>
      </c>
      <c r="N1037" s="58" t="s">
        <v>486</v>
      </c>
      <c r="O1037" s="54"/>
    </row>
    <row r="1038" spans="1:15" ht="13.5" customHeight="1" x14ac:dyDescent="0.25">
      <c r="A1038" s="13" t="s">
        <v>2440</v>
      </c>
      <c r="B1038" s="49" t="s">
        <v>2403</v>
      </c>
      <c r="C1038" s="14" t="s">
        <v>2441</v>
      </c>
      <c r="D1038" s="50" t="s">
        <v>2405</v>
      </c>
      <c r="E1038" s="65" t="s">
        <v>841</v>
      </c>
      <c r="F1038" s="54" t="s">
        <v>485</v>
      </c>
      <c r="G1038" s="54" t="s">
        <v>485</v>
      </c>
      <c r="H1038" s="54" t="s">
        <v>485</v>
      </c>
      <c r="I1038" s="43">
        <f>'01_PARÂMETROS'!$B$9</f>
        <v>50</v>
      </c>
      <c r="J1038" s="44">
        <f t="shared" si="48"/>
        <v>0.9</v>
      </c>
      <c r="K1038" s="62">
        <f>MAX('01_PARÂMETROS'!$B$11,MIN('01_PARÂMETROS'!$B$12,J1038))</f>
        <v>0.9</v>
      </c>
      <c r="L1038" s="63">
        <f t="shared" si="49"/>
        <v>-9.9999999999999978E-2</v>
      </c>
      <c r="M1038" s="17" t="str">
        <f>IF(K1038&lt;='01_PARÂMETROS'!$B$14,"Preferencial",IF(K1038&lt;='01_PARÂMETROS'!$B$15,"Baixo",IF(K1038&lt;='01_PARÂMETROS'!$B$16,"Médio",IF(K1038&lt;='01_PARÂMETROS'!$B$17,"Alto","Elevado"))))</f>
        <v>Baixo</v>
      </c>
      <c r="N1038" s="58" t="s">
        <v>486</v>
      </c>
      <c r="O1038" s="61"/>
    </row>
    <row r="1039" spans="1:15" ht="13.5" customHeight="1" x14ac:dyDescent="0.25">
      <c r="A1039" s="24" t="s">
        <v>2442</v>
      </c>
      <c r="B1039" s="38" t="s">
        <v>2403</v>
      </c>
      <c r="C1039" s="25" t="s">
        <v>2443</v>
      </c>
      <c r="D1039" s="39" t="s">
        <v>2405</v>
      </c>
      <c r="E1039" s="65" t="s">
        <v>841</v>
      </c>
      <c r="F1039" s="54" t="s">
        <v>485</v>
      </c>
      <c r="G1039" s="54" t="s">
        <v>485</v>
      </c>
      <c r="H1039" s="54" t="s">
        <v>485</v>
      </c>
      <c r="I1039" s="43">
        <f>'01_PARÂMETROS'!$B$9</f>
        <v>50</v>
      </c>
      <c r="J1039" s="44">
        <f t="shared" si="48"/>
        <v>0.9</v>
      </c>
      <c r="K1039" s="62">
        <f>MAX('01_PARÂMETROS'!$B$11,MIN('01_PARÂMETROS'!$B$12,J1039))</f>
        <v>0.9</v>
      </c>
      <c r="L1039" s="63">
        <f t="shared" si="49"/>
        <v>-9.9999999999999978E-2</v>
      </c>
      <c r="M1039" s="17" t="str">
        <f>IF(K1039&lt;='01_PARÂMETROS'!$B$14,"Preferencial",IF(K1039&lt;='01_PARÂMETROS'!$B$15,"Baixo",IF(K1039&lt;='01_PARÂMETROS'!$B$16,"Médio",IF(K1039&lt;='01_PARÂMETROS'!$B$17,"Alto","Elevado"))))</f>
        <v>Baixo</v>
      </c>
      <c r="N1039" s="58" t="s">
        <v>486</v>
      </c>
      <c r="O1039" s="54"/>
    </row>
    <row r="1040" spans="1:15" ht="13.5" customHeight="1" x14ac:dyDescent="0.25">
      <c r="A1040" s="13" t="s">
        <v>2444</v>
      </c>
      <c r="B1040" s="49" t="s">
        <v>2403</v>
      </c>
      <c r="C1040" s="14" t="s">
        <v>2445</v>
      </c>
      <c r="D1040" s="50" t="s">
        <v>2405</v>
      </c>
      <c r="E1040" s="65" t="s">
        <v>841</v>
      </c>
      <c r="F1040" s="54" t="s">
        <v>485</v>
      </c>
      <c r="G1040" s="54" t="s">
        <v>485</v>
      </c>
      <c r="H1040" s="54" t="s">
        <v>485</v>
      </c>
      <c r="I1040" s="43">
        <f>'01_PARÂMETROS'!$B$9</f>
        <v>50</v>
      </c>
      <c r="J1040" s="44">
        <f t="shared" si="48"/>
        <v>0.9</v>
      </c>
      <c r="K1040" s="62">
        <f>MAX('01_PARÂMETROS'!$B$11,MIN('01_PARÂMETROS'!$B$12,J1040))</f>
        <v>0.9</v>
      </c>
      <c r="L1040" s="63">
        <f t="shared" si="49"/>
        <v>-9.9999999999999978E-2</v>
      </c>
      <c r="M1040" s="17" t="str">
        <f>IF(K1040&lt;='01_PARÂMETROS'!$B$14,"Preferencial",IF(K1040&lt;='01_PARÂMETROS'!$B$15,"Baixo",IF(K1040&lt;='01_PARÂMETROS'!$B$16,"Médio",IF(K1040&lt;='01_PARÂMETROS'!$B$17,"Alto","Elevado"))))</f>
        <v>Baixo</v>
      </c>
      <c r="N1040" s="58" t="s">
        <v>486</v>
      </c>
      <c r="O1040" s="61"/>
    </row>
    <row r="1041" spans="1:15" ht="13.5" customHeight="1" x14ac:dyDescent="0.25">
      <c r="A1041" s="24" t="s">
        <v>2446</v>
      </c>
      <c r="B1041" s="38" t="s">
        <v>2403</v>
      </c>
      <c r="C1041" s="25" t="s">
        <v>2447</v>
      </c>
      <c r="D1041" s="39" t="s">
        <v>2405</v>
      </c>
      <c r="E1041" s="65" t="s">
        <v>841</v>
      </c>
      <c r="F1041" s="54" t="s">
        <v>485</v>
      </c>
      <c r="G1041" s="54" t="s">
        <v>485</v>
      </c>
      <c r="H1041" s="54" t="s">
        <v>485</v>
      </c>
      <c r="I1041" s="43">
        <f>'01_PARÂMETROS'!$B$9</f>
        <v>50</v>
      </c>
      <c r="J1041" s="44">
        <f t="shared" si="48"/>
        <v>0.9</v>
      </c>
      <c r="K1041" s="62">
        <f>MAX('01_PARÂMETROS'!$B$11,MIN('01_PARÂMETROS'!$B$12,J1041))</f>
        <v>0.9</v>
      </c>
      <c r="L1041" s="63">
        <f t="shared" si="49"/>
        <v>-9.9999999999999978E-2</v>
      </c>
      <c r="M1041" s="17" t="str">
        <f>IF(K1041&lt;='01_PARÂMETROS'!$B$14,"Preferencial",IF(K1041&lt;='01_PARÂMETROS'!$B$15,"Baixo",IF(K1041&lt;='01_PARÂMETROS'!$B$16,"Médio",IF(K1041&lt;='01_PARÂMETROS'!$B$17,"Alto","Elevado"))))</f>
        <v>Baixo</v>
      </c>
      <c r="N1041" s="58" t="s">
        <v>486</v>
      </c>
      <c r="O1041" s="54"/>
    </row>
    <row r="1042" spans="1:15" ht="13.5" customHeight="1" x14ac:dyDescent="0.25">
      <c r="A1042" s="13" t="s">
        <v>2448</v>
      </c>
      <c r="B1042" s="49" t="s">
        <v>2403</v>
      </c>
      <c r="C1042" s="14" t="s">
        <v>2449</v>
      </c>
      <c r="D1042" s="50" t="s">
        <v>2405</v>
      </c>
      <c r="E1042" s="65" t="s">
        <v>841</v>
      </c>
      <c r="F1042" s="54" t="s">
        <v>485</v>
      </c>
      <c r="G1042" s="54" t="s">
        <v>485</v>
      </c>
      <c r="H1042" s="54" t="s">
        <v>485</v>
      </c>
      <c r="I1042" s="43">
        <f>'01_PARÂMETROS'!$B$9</f>
        <v>50</v>
      </c>
      <c r="J1042" s="44">
        <f t="shared" ref="J1042:J1073" si="50">0.9</f>
        <v>0.9</v>
      </c>
      <c r="K1042" s="62">
        <f>MAX('01_PARÂMETROS'!$B$11,MIN('01_PARÂMETROS'!$B$12,J1042))</f>
        <v>0.9</v>
      </c>
      <c r="L1042" s="63">
        <f t="shared" si="49"/>
        <v>-9.9999999999999978E-2</v>
      </c>
      <c r="M1042" s="17" t="str">
        <f>IF(K1042&lt;='01_PARÂMETROS'!$B$14,"Preferencial",IF(K1042&lt;='01_PARÂMETROS'!$B$15,"Baixo",IF(K1042&lt;='01_PARÂMETROS'!$B$16,"Médio",IF(K1042&lt;='01_PARÂMETROS'!$B$17,"Alto","Elevado"))))</f>
        <v>Baixo</v>
      </c>
      <c r="N1042" s="58" t="s">
        <v>486</v>
      </c>
      <c r="O1042" s="61"/>
    </row>
    <row r="1043" spans="1:15" ht="13.5" customHeight="1" x14ac:dyDescent="0.25">
      <c r="A1043" s="24" t="s">
        <v>2450</v>
      </c>
      <c r="B1043" s="38" t="s">
        <v>2403</v>
      </c>
      <c r="C1043" s="25" t="s">
        <v>2451</v>
      </c>
      <c r="D1043" s="39" t="s">
        <v>2405</v>
      </c>
      <c r="E1043" s="65" t="s">
        <v>841</v>
      </c>
      <c r="F1043" s="54" t="s">
        <v>485</v>
      </c>
      <c r="G1043" s="54" t="s">
        <v>485</v>
      </c>
      <c r="H1043" s="54" t="s">
        <v>485</v>
      </c>
      <c r="I1043" s="43">
        <f>'01_PARÂMETROS'!$B$9</f>
        <v>50</v>
      </c>
      <c r="J1043" s="44">
        <f t="shared" si="50"/>
        <v>0.9</v>
      </c>
      <c r="K1043" s="62">
        <f>MAX('01_PARÂMETROS'!$B$11,MIN('01_PARÂMETROS'!$B$12,J1043))</f>
        <v>0.9</v>
      </c>
      <c r="L1043" s="63">
        <f t="shared" si="49"/>
        <v>-9.9999999999999978E-2</v>
      </c>
      <c r="M1043" s="17" t="str">
        <f>IF(K1043&lt;='01_PARÂMETROS'!$B$14,"Preferencial",IF(K1043&lt;='01_PARÂMETROS'!$B$15,"Baixo",IF(K1043&lt;='01_PARÂMETROS'!$B$16,"Médio",IF(K1043&lt;='01_PARÂMETROS'!$B$17,"Alto","Elevado"))))</f>
        <v>Baixo</v>
      </c>
      <c r="N1043" s="58" t="s">
        <v>486</v>
      </c>
      <c r="O1043" s="54"/>
    </row>
    <row r="1044" spans="1:15" ht="13.5" customHeight="1" x14ac:dyDescent="0.25">
      <c r="A1044" s="13" t="s">
        <v>2452</v>
      </c>
      <c r="B1044" s="49" t="s">
        <v>2403</v>
      </c>
      <c r="C1044" s="14" t="s">
        <v>2453</v>
      </c>
      <c r="D1044" s="50" t="s">
        <v>2405</v>
      </c>
      <c r="E1044" s="65" t="s">
        <v>841</v>
      </c>
      <c r="F1044" s="54" t="s">
        <v>485</v>
      </c>
      <c r="G1044" s="54" t="s">
        <v>485</v>
      </c>
      <c r="H1044" s="54" t="s">
        <v>485</v>
      </c>
      <c r="I1044" s="43">
        <f>'01_PARÂMETROS'!$B$9</f>
        <v>50</v>
      </c>
      <c r="J1044" s="44">
        <f t="shared" si="50"/>
        <v>0.9</v>
      </c>
      <c r="K1044" s="62">
        <f>MAX('01_PARÂMETROS'!$B$11,MIN('01_PARÂMETROS'!$B$12,J1044))</f>
        <v>0.9</v>
      </c>
      <c r="L1044" s="63">
        <f t="shared" si="49"/>
        <v>-9.9999999999999978E-2</v>
      </c>
      <c r="M1044" s="17" t="str">
        <f>IF(K1044&lt;='01_PARÂMETROS'!$B$14,"Preferencial",IF(K1044&lt;='01_PARÂMETROS'!$B$15,"Baixo",IF(K1044&lt;='01_PARÂMETROS'!$B$16,"Médio",IF(K1044&lt;='01_PARÂMETROS'!$B$17,"Alto","Elevado"))))</f>
        <v>Baixo</v>
      </c>
      <c r="N1044" s="58" t="s">
        <v>486</v>
      </c>
      <c r="O1044" s="61"/>
    </row>
    <row r="1045" spans="1:15" ht="13.5" customHeight="1" x14ac:dyDescent="0.25">
      <c r="A1045" s="24" t="s">
        <v>2454</v>
      </c>
      <c r="B1045" s="38" t="s">
        <v>2403</v>
      </c>
      <c r="C1045" s="25" t="s">
        <v>2455</v>
      </c>
      <c r="D1045" s="39" t="s">
        <v>2405</v>
      </c>
      <c r="E1045" s="65" t="s">
        <v>841</v>
      </c>
      <c r="F1045" s="54" t="s">
        <v>485</v>
      </c>
      <c r="G1045" s="54" t="s">
        <v>485</v>
      </c>
      <c r="H1045" s="54" t="s">
        <v>485</v>
      </c>
      <c r="I1045" s="43">
        <f>'01_PARÂMETROS'!$B$9</f>
        <v>50</v>
      </c>
      <c r="J1045" s="44">
        <f t="shared" si="50"/>
        <v>0.9</v>
      </c>
      <c r="K1045" s="62">
        <f>MAX('01_PARÂMETROS'!$B$11,MIN('01_PARÂMETROS'!$B$12,J1045))</f>
        <v>0.9</v>
      </c>
      <c r="L1045" s="63">
        <f t="shared" si="49"/>
        <v>-9.9999999999999978E-2</v>
      </c>
      <c r="M1045" s="17" t="str">
        <f>IF(K1045&lt;='01_PARÂMETROS'!$B$14,"Preferencial",IF(K1045&lt;='01_PARÂMETROS'!$B$15,"Baixo",IF(K1045&lt;='01_PARÂMETROS'!$B$16,"Médio",IF(K1045&lt;='01_PARÂMETROS'!$B$17,"Alto","Elevado"))))</f>
        <v>Baixo</v>
      </c>
      <c r="N1045" s="58" t="s">
        <v>486</v>
      </c>
      <c r="O1045" s="54"/>
    </row>
    <row r="1046" spans="1:15" ht="13.5" customHeight="1" x14ac:dyDescent="0.25">
      <c r="A1046" s="13" t="s">
        <v>2456</v>
      </c>
      <c r="B1046" s="49" t="s">
        <v>2403</v>
      </c>
      <c r="C1046" s="14" t="s">
        <v>2457</v>
      </c>
      <c r="D1046" s="50" t="s">
        <v>2405</v>
      </c>
      <c r="E1046" s="65" t="s">
        <v>841</v>
      </c>
      <c r="F1046" s="54" t="s">
        <v>485</v>
      </c>
      <c r="G1046" s="54" t="s">
        <v>485</v>
      </c>
      <c r="H1046" s="54" t="s">
        <v>485</v>
      </c>
      <c r="I1046" s="43">
        <f>'01_PARÂMETROS'!$B$9</f>
        <v>50</v>
      </c>
      <c r="J1046" s="44">
        <f t="shared" si="50"/>
        <v>0.9</v>
      </c>
      <c r="K1046" s="62">
        <f>MAX('01_PARÂMETROS'!$B$11,MIN('01_PARÂMETROS'!$B$12,J1046))</f>
        <v>0.9</v>
      </c>
      <c r="L1046" s="63">
        <f t="shared" si="49"/>
        <v>-9.9999999999999978E-2</v>
      </c>
      <c r="M1046" s="17" t="str">
        <f>IF(K1046&lt;='01_PARÂMETROS'!$B$14,"Preferencial",IF(K1046&lt;='01_PARÂMETROS'!$B$15,"Baixo",IF(K1046&lt;='01_PARÂMETROS'!$B$16,"Médio",IF(K1046&lt;='01_PARÂMETROS'!$B$17,"Alto","Elevado"))))</f>
        <v>Baixo</v>
      </c>
      <c r="N1046" s="58" t="s">
        <v>486</v>
      </c>
      <c r="O1046" s="61"/>
    </row>
    <row r="1047" spans="1:15" ht="13.5" customHeight="1" x14ac:dyDescent="0.25">
      <c r="A1047" s="24" t="s">
        <v>2458</v>
      </c>
      <c r="B1047" s="38" t="s">
        <v>2403</v>
      </c>
      <c r="C1047" s="25" t="s">
        <v>2459</v>
      </c>
      <c r="D1047" s="39" t="s">
        <v>2405</v>
      </c>
      <c r="E1047" s="65" t="s">
        <v>841</v>
      </c>
      <c r="F1047" s="54" t="s">
        <v>485</v>
      </c>
      <c r="G1047" s="54" t="s">
        <v>485</v>
      </c>
      <c r="H1047" s="54" t="s">
        <v>485</v>
      </c>
      <c r="I1047" s="43">
        <f>'01_PARÂMETROS'!$B$9</f>
        <v>50</v>
      </c>
      <c r="J1047" s="44">
        <f t="shared" si="50"/>
        <v>0.9</v>
      </c>
      <c r="K1047" s="62">
        <f>MAX('01_PARÂMETROS'!$B$11,MIN('01_PARÂMETROS'!$B$12,J1047))</f>
        <v>0.9</v>
      </c>
      <c r="L1047" s="63">
        <f t="shared" si="49"/>
        <v>-9.9999999999999978E-2</v>
      </c>
      <c r="M1047" s="17" t="str">
        <f>IF(K1047&lt;='01_PARÂMETROS'!$B$14,"Preferencial",IF(K1047&lt;='01_PARÂMETROS'!$B$15,"Baixo",IF(K1047&lt;='01_PARÂMETROS'!$B$16,"Médio",IF(K1047&lt;='01_PARÂMETROS'!$B$17,"Alto","Elevado"))))</f>
        <v>Baixo</v>
      </c>
      <c r="N1047" s="58" t="s">
        <v>486</v>
      </c>
      <c r="O1047" s="54"/>
    </row>
    <row r="1048" spans="1:15" ht="13.5" customHeight="1" x14ac:dyDescent="0.25">
      <c r="A1048" s="13" t="s">
        <v>2460</v>
      </c>
      <c r="B1048" s="49" t="s">
        <v>2403</v>
      </c>
      <c r="C1048" s="14" t="s">
        <v>2461</v>
      </c>
      <c r="D1048" s="50" t="s">
        <v>2405</v>
      </c>
      <c r="E1048" s="65" t="s">
        <v>841</v>
      </c>
      <c r="F1048" s="54" t="s">
        <v>485</v>
      </c>
      <c r="G1048" s="54" t="s">
        <v>485</v>
      </c>
      <c r="H1048" s="54" t="s">
        <v>485</v>
      </c>
      <c r="I1048" s="43">
        <f>'01_PARÂMETROS'!$B$9</f>
        <v>50</v>
      </c>
      <c r="J1048" s="44">
        <f t="shared" si="50"/>
        <v>0.9</v>
      </c>
      <c r="K1048" s="62">
        <f>MAX('01_PARÂMETROS'!$B$11,MIN('01_PARÂMETROS'!$B$12,J1048))</f>
        <v>0.9</v>
      </c>
      <c r="L1048" s="63">
        <f t="shared" si="49"/>
        <v>-9.9999999999999978E-2</v>
      </c>
      <c r="M1048" s="17" t="str">
        <f>IF(K1048&lt;='01_PARÂMETROS'!$B$14,"Preferencial",IF(K1048&lt;='01_PARÂMETROS'!$B$15,"Baixo",IF(K1048&lt;='01_PARÂMETROS'!$B$16,"Médio",IF(K1048&lt;='01_PARÂMETROS'!$B$17,"Alto","Elevado"))))</f>
        <v>Baixo</v>
      </c>
      <c r="N1048" s="58" t="s">
        <v>486</v>
      </c>
      <c r="O1048" s="61"/>
    </row>
    <row r="1049" spans="1:15" ht="13.5" customHeight="1" x14ac:dyDescent="0.25">
      <c r="A1049" s="24" t="s">
        <v>2462</v>
      </c>
      <c r="B1049" s="38" t="s">
        <v>2403</v>
      </c>
      <c r="C1049" s="25" t="s">
        <v>2463</v>
      </c>
      <c r="D1049" s="39" t="s">
        <v>2405</v>
      </c>
      <c r="E1049" s="65" t="s">
        <v>841</v>
      </c>
      <c r="F1049" s="54" t="s">
        <v>485</v>
      </c>
      <c r="G1049" s="54" t="s">
        <v>485</v>
      </c>
      <c r="H1049" s="54" t="s">
        <v>485</v>
      </c>
      <c r="I1049" s="43">
        <f>'01_PARÂMETROS'!$B$9</f>
        <v>50</v>
      </c>
      <c r="J1049" s="44">
        <f t="shared" si="50"/>
        <v>0.9</v>
      </c>
      <c r="K1049" s="62">
        <f>MAX('01_PARÂMETROS'!$B$11,MIN('01_PARÂMETROS'!$B$12,J1049))</f>
        <v>0.9</v>
      </c>
      <c r="L1049" s="63">
        <f t="shared" si="49"/>
        <v>-9.9999999999999978E-2</v>
      </c>
      <c r="M1049" s="17" t="str">
        <f>IF(K1049&lt;='01_PARÂMETROS'!$B$14,"Preferencial",IF(K1049&lt;='01_PARÂMETROS'!$B$15,"Baixo",IF(K1049&lt;='01_PARÂMETROS'!$B$16,"Médio",IF(K1049&lt;='01_PARÂMETROS'!$B$17,"Alto","Elevado"))))</f>
        <v>Baixo</v>
      </c>
      <c r="N1049" s="58" t="s">
        <v>486</v>
      </c>
      <c r="O1049" s="54"/>
    </row>
    <row r="1050" spans="1:15" ht="13.5" customHeight="1" x14ac:dyDescent="0.25">
      <c r="A1050" s="13" t="s">
        <v>2464</v>
      </c>
      <c r="B1050" s="49" t="s">
        <v>2403</v>
      </c>
      <c r="C1050" s="14" t="s">
        <v>2465</v>
      </c>
      <c r="D1050" s="50" t="s">
        <v>2405</v>
      </c>
      <c r="E1050" s="65" t="s">
        <v>841</v>
      </c>
      <c r="F1050" s="54" t="s">
        <v>485</v>
      </c>
      <c r="G1050" s="54" t="s">
        <v>485</v>
      </c>
      <c r="H1050" s="54" t="s">
        <v>485</v>
      </c>
      <c r="I1050" s="43">
        <f>'01_PARÂMETROS'!$B$9</f>
        <v>50</v>
      </c>
      <c r="J1050" s="44">
        <f t="shared" si="50"/>
        <v>0.9</v>
      </c>
      <c r="K1050" s="62">
        <f>MAX('01_PARÂMETROS'!$B$11,MIN('01_PARÂMETROS'!$B$12,J1050))</f>
        <v>0.9</v>
      </c>
      <c r="L1050" s="63">
        <f t="shared" si="49"/>
        <v>-9.9999999999999978E-2</v>
      </c>
      <c r="M1050" s="17" t="str">
        <f>IF(K1050&lt;='01_PARÂMETROS'!$B$14,"Preferencial",IF(K1050&lt;='01_PARÂMETROS'!$B$15,"Baixo",IF(K1050&lt;='01_PARÂMETROS'!$B$16,"Médio",IF(K1050&lt;='01_PARÂMETROS'!$B$17,"Alto","Elevado"))))</f>
        <v>Baixo</v>
      </c>
      <c r="N1050" s="58" t="s">
        <v>486</v>
      </c>
      <c r="O1050" s="61"/>
    </row>
    <row r="1051" spans="1:15" ht="13.5" customHeight="1" x14ac:dyDescent="0.25">
      <c r="A1051" s="24" t="s">
        <v>2466</v>
      </c>
      <c r="B1051" s="38" t="s">
        <v>2403</v>
      </c>
      <c r="C1051" s="25" t="s">
        <v>2467</v>
      </c>
      <c r="D1051" s="39" t="s">
        <v>2405</v>
      </c>
      <c r="E1051" s="65" t="s">
        <v>841</v>
      </c>
      <c r="F1051" s="54" t="s">
        <v>485</v>
      </c>
      <c r="G1051" s="54" t="s">
        <v>485</v>
      </c>
      <c r="H1051" s="54" t="s">
        <v>485</v>
      </c>
      <c r="I1051" s="43">
        <f>'01_PARÂMETROS'!$B$9</f>
        <v>50</v>
      </c>
      <c r="J1051" s="44">
        <f t="shared" si="50"/>
        <v>0.9</v>
      </c>
      <c r="K1051" s="62">
        <f>MAX('01_PARÂMETROS'!$B$11,MIN('01_PARÂMETROS'!$B$12,J1051))</f>
        <v>0.9</v>
      </c>
      <c r="L1051" s="63">
        <f t="shared" si="49"/>
        <v>-9.9999999999999978E-2</v>
      </c>
      <c r="M1051" s="17" t="str">
        <f>IF(K1051&lt;='01_PARÂMETROS'!$B$14,"Preferencial",IF(K1051&lt;='01_PARÂMETROS'!$B$15,"Baixo",IF(K1051&lt;='01_PARÂMETROS'!$B$16,"Médio",IF(K1051&lt;='01_PARÂMETROS'!$B$17,"Alto","Elevado"))))</f>
        <v>Baixo</v>
      </c>
      <c r="N1051" s="58" t="s">
        <v>486</v>
      </c>
      <c r="O1051" s="54"/>
    </row>
    <row r="1052" spans="1:15" ht="13.5" customHeight="1" x14ac:dyDescent="0.25">
      <c r="A1052" s="13" t="s">
        <v>2468</v>
      </c>
      <c r="B1052" s="49" t="s">
        <v>2403</v>
      </c>
      <c r="C1052" s="14" t="s">
        <v>2469</v>
      </c>
      <c r="D1052" s="50" t="s">
        <v>2405</v>
      </c>
      <c r="E1052" s="65" t="s">
        <v>841</v>
      </c>
      <c r="F1052" s="54" t="s">
        <v>485</v>
      </c>
      <c r="G1052" s="54" t="s">
        <v>485</v>
      </c>
      <c r="H1052" s="54" t="s">
        <v>485</v>
      </c>
      <c r="I1052" s="43">
        <f>'01_PARÂMETROS'!$B$9</f>
        <v>50</v>
      </c>
      <c r="J1052" s="44">
        <f t="shared" si="50"/>
        <v>0.9</v>
      </c>
      <c r="K1052" s="62">
        <f>MAX('01_PARÂMETROS'!$B$11,MIN('01_PARÂMETROS'!$B$12,J1052))</f>
        <v>0.9</v>
      </c>
      <c r="L1052" s="63">
        <f t="shared" si="49"/>
        <v>-9.9999999999999978E-2</v>
      </c>
      <c r="M1052" s="17" t="str">
        <f>IF(K1052&lt;='01_PARÂMETROS'!$B$14,"Preferencial",IF(K1052&lt;='01_PARÂMETROS'!$B$15,"Baixo",IF(K1052&lt;='01_PARÂMETROS'!$B$16,"Médio",IF(K1052&lt;='01_PARÂMETROS'!$B$17,"Alto","Elevado"))))</f>
        <v>Baixo</v>
      </c>
      <c r="N1052" s="58" t="s">
        <v>486</v>
      </c>
      <c r="O1052" s="61"/>
    </row>
    <row r="1053" spans="1:15" ht="13.5" customHeight="1" x14ac:dyDescent="0.25">
      <c r="A1053" s="24" t="s">
        <v>2470</v>
      </c>
      <c r="B1053" s="38" t="s">
        <v>2403</v>
      </c>
      <c r="C1053" s="25" t="s">
        <v>2471</v>
      </c>
      <c r="D1053" s="39" t="s">
        <v>2405</v>
      </c>
      <c r="E1053" s="65" t="s">
        <v>841</v>
      </c>
      <c r="F1053" s="54" t="s">
        <v>485</v>
      </c>
      <c r="G1053" s="54" t="s">
        <v>485</v>
      </c>
      <c r="H1053" s="54" t="s">
        <v>485</v>
      </c>
      <c r="I1053" s="43">
        <f>'01_PARÂMETROS'!$B$9</f>
        <v>50</v>
      </c>
      <c r="J1053" s="44">
        <f t="shared" si="50"/>
        <v>0.9</v>
      </c>
      <c r="K1053" s="62">
        <f>MAX('01_PARÂMETROS'!$B$11,MIN('01_PARÂMETROS'!$B$12,J1053))</f>
        <v>0.9</v>
      </c>
      <c r="L1053" s="63">
        <f t="shared" si="49"/>
        <v>-9.9999999999999978E-2</v>
      </c>
      <c r="M1053" s="17" t="str">
        <f>IF(K1053&lt;='01_PARÂMETROS'!$B$14,"Preferencial",IF(K1053&lt;='01_PARÂMETROS'!$B$15,"Baixo",IF(K1053&lt;='01_PARÂMETROS'!$B$16,"Médio",IF(K1053&lt;='01_PARÂMETROS'!$B$17,"Alto","Elevado"))))</f>
        <v>Baixo</v>
      </c>
      <c r="N1053" s="58" t="s">
        <v>486</v>
      </c>
      <c r="O1053" s="54"/>
    </row>
    <row r="1054" spans="1:15" ht="13.5" customHeight="1" x14ac:dyDescent="0.25">
      <c r="A1054" s="13" t="s">
        <v>2472</v>
      </c>
      <c r="B1054" s="49" t="s">
        <v>2403</v>
      </c>
      <c r="C1054" s="14" t="s">
        <v>2473</v>
      </c>
      <c r="D1054" s="50" t="s">
        <v>2405</v>
      </c>
      <c r="E1054" s="65" t="s">
        <v>841</v>
      </c>
      <c r="F1054" s="54" t="s">
        <v>485</v>
      </c>
      <c r="G1054" s="54" t="s">
        <v>485</v>
      </c>
      <c r="H1054" s="54" t="s">
        <v>485</v>
      </c>
      <c r="I1054" s="43">
        <f>'01_PARÂMETROS'!$B$9</f>
        <v>50</v>
      </c>
      <c r="J1054" s="44">
        <f t="shared" si="50"/>
        <v>0.9</v>
      </c>
      <c r="K1054" s="62">
        <f>MAX('01_PARÂMETROS'!$B$11,MIN('01_PARÂMETROS'!$B$12,J1054))</f>
        <v>0.9</v>
      </c>
      <c r="L1054" s="63">
        <f t="shared" si="49"/>
        <v>-9.9999999999999978E-2</v>
      </c>
      <c r="M1054" s="17" t="str">
        <f>IF(K1054&lt;='01_PARÂMETROS'!$B$14,"Preferencial",IF(K1054&lt;='01_PARÂMETROS'!$B$15,"Baixo",IF(K1054&lt;='01_PARÂMETROS'!$B$16,"Médio",IF(K1054&lt;='01_PARÂMETROS'!$B$17,"Alto","Elevado"))))</f>
        <v>Baixo</v>
      </c>
      <c r="N1054" s="58" t="s">
        <v>486</v>
      </c>
      <c r="O1054" s="61"/>
    </row>
    <row r="1055" spans="1:15" ht="13.5" customHeight="1" x14ac:dyDescent="0.25">
      <c r="A1055" s="24" t="s">
        <v>2474</v>
      </c>
      <c r="B1055" s="38" t="s">
        <v>2403</v>
      </c>
      <c r="C1055" s="25" t="s">
        <v>2475</v>
      </c>
      <c r="D1055" s="39" t="s">
        <v>2405</v>
      </c>
      <c r="E1055" s="65" t="s">
        <v>841</v>
      </c>
      <c r="F1055" s="54" t="s">
        <v>485</v>
      </c>
      <c r="G1055" s="54" t="s">
        <v>485</v>
      </c>
      <c r="H1055" s="54" t="s">
        <v>485</v>
      </c>
      <c r="I1055" s="43">
        <f>'01_PARÂMETROS'!$B$9</f>
        <v>50</v>
      </c>
      <c r="J1055" s="44">
        <f t="shared" si="50"/>
        <v>0.9</v>
      </c>
      <c r="K1055" s="62">
        <f>MAX('01_PARÂMETROS'!$B$11,MIN('01_PARÂMETROS'!$B$12,J1055))</f>
        <v>0.9</v>
      </c>
      <c r="L1055" s="63">
        <f t="shared" si="49"/>
        <v>-9.9999999999999978E-2</v>
      </c>
      <c r="M1055" s="17" t="str">
        <f>IF(K1055&lt;='01_PARÂMETROS'!$B$14,"Preferencial",IF(K1055&lt;='01_PARÂMETROS'!$B$15,"Baixo",IF(K1055&lt;='01_PARÂMETROS'!$B$16,"Médio",IF(K1055&lt;='01_PARÂMETROS'!$B$17,"Alto","Elevado"))))</f>
        <v>Baixo</v>
      </c>
      <c r="N1055" s="58" t="s">
        <v>486</v>
      </c>
      <c r="O1055" s="54"/>
    </row>
    <row r="1056" spans="1:15" ht="13.5" customHeight="1" x14ac:dyDescent="0.25">
      <c r="A1056" s="13" t="s">
        <v>2476</v>
      </c>
      <c r="B1056" s="49" t="s">
        <v>2403</v>
      </c>
      <c r="C1056" s="14" t="s">
        <v>2477</v>
      </c>
      <c r="D1056" s="50" t="s">
        <v>2478</v>
      </c>
      <c r="E1056" s="65" t="s">
        <v>841</v>
      </c>
      <c r="F1056" s="54" t="s">
        <v>485</v>
      </c>
      <c r="G1056" s="54" t="s">
        <v>485</v>
      </c>
      <c r="H1056" s="54" t="s">
        <v>485</v>
      </c>
      <c r="I1056" s="43">
        <f>'01_PARÂMETROS'!$B$9</f>
        <v>50</v>
      </c>
      <c r="J1056" s="44">
        <f t="shared" si="50"/>
        <v>0.9</v>
      </c>
      <c r="K1056" s="62">
        <f>MAX('01_PARÂMETROS'!$B$11,MIN('01_PARÂMETROS'!$B$12,J1056))</f>
        <v>0.9</v>
      </c>
      <c r="L1056" s="63">
        <f t="shared" si="49"/>
        <v>-9.9999999999999978E-2</v>
      </c>
      <c r="M1056" s="17" t="str">
        <f>IF(K1056&lt;='01_PARÂMETROS'!$B$14,"Preferencial",IF(K1056&lt;='01_PARÂMETROS'!$B$15,"Baixo",IF(K1056&lt;='01_PARÂMETROS'!$B$16,"Médio",IF(K1056&lt;='01_PARÂMETROS'!$B$17,"Alto","Elevado"))))</f>
        <v>Baixo</v>
      </c>
      <c r="N1056" s="58" t="s">
        <v>486</v>
      </c>
      <c r="O1056" s="61"/>
    </row>
    <row r="1057" spans="1:15" ht="13.5" customHeight="1" x14ac:dyDescent="0.25">
      <c r="A1057" s="24" t="s">
        <v>2479</v>
      </c>
      <c r="B1057" s="38" t="s">
        <v>2403</v>
      </c>
      <c r="C1057" s="25" t="s">
        <v>2480</v>
      </c>
      <c r="D1057" s="39" t="s">
        <v>2478</v>
      </c>
      <c r="E1057" s="65" t="s">
        <v>841</v>
      </c>
      <c r="F1057" s="54" t="s">
        <v>485</v>
      </c>
      <c r="G1057" s="54" t="s">
        <v>485</v>
      </c>
      <c r="H1057" s="54" t="s">
        <v>485</v>
      </c>
      <c r="I1057" s="43">
        <f>'01_PARÂMETROS'!$B$9</f>
        <v>50</v>
      </c>
      <c r="J1057" s="44">
        <f t="shared" si="50"/>
        <v>0.9</v>
      </c>
      <c r="K1057" s="62">
        <f>MAX('01_PARÂMETROS'!$B$11,MIN('01_PARÂMETROS'!$B$12,J1057))</f>
        <v>0.9</v>
      </c>
      <c r="L1057" s="63">
        <f t="shared" si="49"/>
        <v>-9.9999999999999978E-2</v>
      </c>
      <c r="M1057" s="17" t="str">
        <f>IF(K1057&lt;='01_PARÂMETROS'!$B$14,"Preferencial",IF(K1057&lt;='01_PARÂMETROS'!$B$15,"Baixo",IF(K1057&lt;='01_PARÂMETROS'!$B$16,"Médio",IF(K1057&lt;='01_PARÂMETROS'!$B$17,"Alto","Elevado"))))</f>
        <v>Baixo</v>
      </c>
      <c r="N1057" s="58" t="s">
        <v>486</v>
      </c>
      <c r="O1057" s="54"/>
    </row>
    <row r="1058" spans="1:15" ht="13.5" customHeight="1" x14ac:dyDescent="0.25">
      <c r="A1058" s="13" t="s">
        <v>2481</v>
      </c>
      <c r="B1058" s="49" t="s">
        <v>2403</v>
      </c>
      <c r="C1058" s="14" t="s">
        <v>2482</v>
      </c>
      <c r="D1058" s="50" t="s">
        <v>2478</v>
      </c>
      <c r="E1058" s="65" t="s">
        <v>841</v>
      </c>
      <c r="F1058" s="54" t="s">
        <v>485</v>
      </c>
      <c r="G1058" s="54" t="s">
        <v>485</v>
      </c>
      <c r="H1058" s="54" t="s">
        <v>485</v>
      </c>
      <c r="I1058" s="43">
        <f>'01_PARÂMETROS'!$B$9</f>
        <v>50</v>
      </c>
      <c r="J1058" s="44">
        <f t="shared" si="50"/>
        <v>0.9</v>
      </c>
      <c r="K1058" s="62">
        <f>MAX('01_PARÂMETROS'!$B$11,MIN('01_PARÂMETROS'!$B$12,J1058))</f>
        <v>0.9</v>
      </c>
      <c r="L1058" s="63">
        <f t="shared" si="49"/>
        <v>-9.9999999999999978E-2</v>
      </c>
      <c r="M1058" s="17" t="str">
        <f>IF(K1058&lt;='01_PARÂMETROS'!$B$14,"Preferencial",IF(K1058&lt;='01_PARÂMETROS'!$B$15,"Baixo",IF(K1058&lt;='01_PARÂMETROS'!$B$16,"Médio",IF(K1058&lt;='01_PARÂMETROS'!$B$17,"Alto","Elevado"))))</f>
        <v>Baixo</v>
      </c>
      <c r="N1058" s="58" t="s">
        <v>486</v>
      </c>
      <c r="O1058" s="61"/>
    </row>
    <row r="1059" spans="1:15" ht="13.5" customHeight="1" x14ac:dyDescent="0.25">
      <c r="A1059" s="24" t="s">
        <v>2483</v>
      </c>
      <c r="B1059" s="38" t="s">
        <v>2403</v>
      </c>
      <c r="C1059" s="25" t="s">
        <v>2484</v>
      </c>
      <c r="D1059" s="39" t="s">
        <v>2478</v>
      </c>
      <c r="E1059" s="65" t="s">
        <v>841</v>
      </c>
      <c r="F1059" s="54" t="s">
        <v>485</v>
      </c>
      <c r="G1059" s="54" t="s">
        <v>485</v>
      </c>
      <c r="H1059" s="54" t="s">
        <v>485</v>
      </c>
      <c r="I1059" s="43">
        <f>'01_PARÂMETROS'!$B$9</f>
        <v>50</v>
      </c>
      <c r="J1059" s="44">
        <f t="shared" si="50"/>
        <v>0.9</v>
      </c>
      <c r="K1059" s="62">
        <f>MAX('01_PARÂMETROS'!$B$11,MIN('01_PARÂMETROS'!$B$12,J1059))</f>
        <v>0.9</v>
      </c>
      <c r="L1059" s="63">
        <f t="shared" si="49"/>
        <v>-9.9999999999999978E-2</v>
      </c>
      <c r="M1059" s="17" t="str">
        <f>IF(K1059&lt;='01_PARÂMETROS'!$B$14,"Preferencial",IF(K1059&lt;='01_PARÂMETROS'!$B$15,"Baixo",IF(K1059&lt;='01_PARÂMETROS'!$B$16,"Médio",IF(K1059&lt;='01_PARÂMETROS'!$B$17,"Alto","Elevado"))))</f>
        <v>Baixo</v>
      </c>
      <c r="N1059" s="58" t="s">
        <v>486</v>
      </c>
      <c r="O1059" s="54"/>
    </row>
    <row r="1060" spans="1:15" ht="13.5" customHeight="1" x14ac:dyDescent="0.25">
      <c r="A1060" s="13" t="s">
        <v>2485</v>
      </c>
      <c r="B1060" s="49" t="s">
        <v>2403</v>
      </c>
      <c r="C1060" s="14" t="s">
        <v>2486</v>
      </c>
      <c r="D1060" s="50" t="s">
        <v>2478</v>
      </c>
      <c r="E1060" s="65" t="s">
        <v>841</v>
      </c>
      <c r="F1060" s="54" t="s">
        <v>485</v>
      </c>
      <c r="G1060" s="54" t="s">
        <v>485</v>
      </c>
      <c r="H1060" s="54" t="s">
        <v>485</v>
      </c>
      <c r="I1060" s="43">
        <f>'01_PARÂMETROS'!$B$9</f>
        <v>50</v>
      </c>
      <c r="J1060" s="44">
        <f t="shared" si="50"/>
        <v>0.9</v>
      </c>
      <c r="K1060" s="62">
        <f>MAX('01_PARÂMETROS'!$B$11,MIN('01_PARÂMETROS'!$B$12,J1060))</f>
        <v>0.9</v>
      </c>
      <c r="L1060" s="63">
        <f t="shared" si="49"/>
        <v>-9.9999999999999978E-2</v>
      </c>
      <c r="M1060" s="17" t="str">
        <f>IF(K1060&lt;='01_PARÂMETROS'!$B$14,"Preferencial",IF(K1060&lt;='01_PARÂMETROS'!$B$15,"Baixo",IF(K1060&lt;='01_PARÂMETROS'!$B$16,"Médio",IF(K1060&lt;='01_PARÂMETROS'!$B$17,"Alto","Elevado"))))</f>
        <v>Baixo</v>
      </c>
      <c r="N1060" s="58" t="s">
        <v>486</v>
      </c>
      <c r="O1060" s="61"/>
    </row>
    <row r="1061" spans="1:15" ht="13.5" customHeight="1" x14ac:dyDescent="0.25">
      <c r="A1061" s="24" t="s">
        <v>2487</v>
      </c>
      <c r="B1061" s="38" t="s">
        <v>2403</v>
      </c>
      <c r="C1061" s="25" t="s">
        <v>2488</v>
      </c>
      <c r="D1061" s="39" t="s">
        <v>2478</v>
      </c>
      <c r="E1061" s="65" t="s">
        <v>841</v>
      </c>
      <c r="F1061" s="54" t="s">
        <v>485</v>
      </c>
      <c r="G1061" s="54" t="s">
        <v>485</v>
      </c>
      <c r="H1061" s="54" t="s">
        <v>485</v>
      </c>
      <c r="I1061" s="43">
        <f>'01_PARÂMETROS'!$B$9</f>
        <v>50</v>
      </c>
      <c r="J1061" s="44">
        <f t="shared" si="50"/>
        <v>0.9</v>
      </c>
      <c r="K1061" s="62">
        <f>MAX('01_PARÂMETROS'!$B$11,MIN('01_PARÂMETROS'!$B$12,J1061))</f>
        <v>0.9</v>
      </c>
      <c r="L1061" s="63">
        <f t="shared" si="49"/>
        <v>-9.9999999999999978E-2</v>
      </c>
      <c r="M1061" s="17" t="str">
        <f>IF(K1061&lt;='01_PARÂMETROS'!$B$14,"Preferencial",IF(K1061&lt;='01_PARÂMETROS'!$B$15,"Baixo",IF(K1061&lt;='01_PARÂMETROS'!$B$16,"Médio",IF(K1061&lt;='01_PARÂMETROS'!$B$17,"Alto","Elevado"))))</f>
        <v>Baixo</v>
      </c>
      <c r="N1061" s="58" t="s">
        <v>486</v>
      </c>
      <c r="O1061" s="54"/>
    </row>
    <row r="1062" spans="1:15" ht="13.5" customHeight="1" x14ac:dyDescent="0.25">
      <c r="A1062" s="13" t="s">
        <v>2489</v>
      </c>
      <c r="B1062" s="49" t="s">
        <v>2403</v>
      </c>
      <c r="C1062" s="14" t="s">
        <v>2490</v>
      </c>
      <c r="D1062" s="50" t="s">
        <v>2478</v>
      </c>
      <c r="E1062" s="65" t="s">
        <v>841</v>
      </c>
      <c r="F1062" s="54" t="s">
        <v>485</v>
      </c>
      <c r="G1062" s="54" t="s">
        <v>485</v>
      </c>
      <c r="H1062" s="54" t="s">
        <v>485</v>
      </c>
      <c r="I1062" s="43">
        <f>'01_PARÂMETROS'!$B$9</f>
        <v>50</v>
      </c>
      <c r="J1062" s="44">
        <f t="shared" si="50"/>
        <v>0.9</v>
      </c>
      <c r="K1062" s="62">
        <f>MAX('01_PARÂMETROS'!$B$11,MIN('01_PARÂMETROS'!$B$12,J1062))</f>
        <v>0.9</v>
      </c>
      <c r="L1062" s="63">
        <f t="shared" si="49"/>
        <v>-9.9999999999999978E-2</v>
      </c>
      <c r="M1062" s="17" t="str">
        <f>IF(K1062&lt;='01_PARÂMETROS'!$B$14,"Preferencial",IF(K1062&lt;='01_PARÂMETROS'!$B$15,"Baixo",IF(K1062&lt;='01_PARÂMETROS'!$B$16,"Médio",IF(K1062&lt;='01_PARÂMETROS'!$B$17,"Alto","Elevado"))))</f>
        <v>Baixo</v>
      </c>
      <c r="N1062" s="58" t="s">
        <v>486</v>
      </c>
      <c r="O1062" s="61"/>
    </row>
    <row r="1063" spans="1:15" ht="13.5" customHeight="1" x14ac:dyDescent="0.25">
      <c r="A1063" s="24" t="s">
        <v>2491</v>
      </c>
      <c r="B1063" s="38" t="s">
        <v>2403</v>
      </c>
      <c r="C1063" s="25" t="s">
        <v>2492</v>
      </c>
      <c r="D1063" s="39" t="s">
        <v>2478</v>
      </c>
      <c r="E1063" s="65" t="s">
        <v>841</v>
      </c>
      <c r="F1063" s="54" t="s">
        <v>485</v>
      </c>
      <c r="G1063" s="54" t="s">
        <v>485</v>
      </c>
      <c r="H1063" s="54" t="s">
        <v>485</v>
      </c>
      <c r="I1063" s="43">
        <f>'01_PARÂMETROS'!$B$9</f>
        <v>50</v>
      </c>
      <c r="J1063" s="44">
        <f t="shared" si="50"/>
        <v>0.9</v>
      </c>
      <c r="K1063" s="62">
        <f>MAX('01_PARÂMETROS'!$B$11,MIN('01_PARÂMETROS'!$B$12,J1063))</f>
        <v>0.9</v>
      </c>
      <c r="L1063" s="63">
        <f t="shared" si="49"/>
        <v>-9.9999999999999978E-2</v>
      </c>
      <c r="M1063" s="17" t="str">
        <f>IF(K1063&lt;='01_PARÂMETROS'!$B$14,"Preferencial",IF(K1063&lt;='01_PARÂMETROS'!$B$15,"Baixo",IF(K1063&lt;='01_PARÂMETROS'!$B$16,"Médio",IF(K1063&lt;='01_PARÂMETROS'!$B$17,"Alto","Elevado"))))</f>
        <v>Baixo</v>
      </c>
      <c r="N1063" s="58" t="s">
        <v>486</v>
      </c>
      <c r="O1063" s="54"/>
    </row>
    <row r="1064" spans="1:15" ht="13.5" customHeight="1" x14ac:dyDescent="0.25">
      <c r="A1064" s="13" t="s">
        <v>2493</v>
      </c>
      <c r="B1064" s="49" t="s">
        <v>2403</v>
      </c>
      <c r="C1064" s="14" t="s">
        <v>2494</v>
      </c>
      <c r="D1064" s="50" t="s">
        <v>2495</v>
      </c>
      <c r="E1064" s="65" t="s">
        <v>841</v>
      </c>
      <c r="F1064" s="54" t="s">
        <v>485</v>
      </c>
      <c r="G1064" s="54" t="s">
        <v>485</v>
      </c>
      <c r="H1064" s="54" t="s">
        <v>485</v>
      </c>
      <c r="I1064" s="43">
        <f>'01_PARÂMETROS'!$B$9</f>
        <v>50</v>
      </c>
      <c r="J1064" s="44">
        <f t="shared" si="50"/>
        <v>0.9</v>
      </c>
      <c r="K1064" s="62">
        <f>MAX('01_PARÂMETROS'!$B$11,MIN('01_PARÂMETROS'!$B$12,J1064))</f>
        <v>0.9</v>
      </c>
      <c r="L1064" s="63">
        <f t="shared" si="49"/>
        <v>-9.9999999999999978E-2</v>
      </c>
      <c r="M1064" s="17" t="str">
        <f>IF(K1064&lt;='01_PARÂMETROS'!$B$14,"Preferencial",IF(K1064&lt;='01_PARÂMETROS'!$B$15,"Baixo",IF(K1064&lt;='01_PARÂMETROS'!$B$16,"Médio",IF(K1064&lt;='01_PARÂMETROS'!$B$17,"Alto","Elevado"))))</f>
        <v>Baixo</v>
      </c>
      <c r="N1064" s="58" t="s">
        <v>486</v>
      </c>
      <c r="O1064" s="61"/>
    </row>
    <row r="1065" spans="1:15" ht="13.5" customHeight="1" x14ac:dyDescent="0.25">
      <c r="A1065" s="24" t="s">
        <v>2496</v>
      </c>
      <c r="B1065" s="38" t="s">
        <v>2403</v>
      </c>
      <c r="C1065" s="25" t="s">
        <v>2497</v>
      </c>
      <c r="D1065" s="39" t="s">
        <v>2495</v>
      </c>
      <c r="E1065" s="65" t="s">
        <v>841</v>
      </c>
      <c r="F1065" s="54" t="s">
        <v>485</v>
      </c>
      <c r="G1065" s="54" t="s">
        <v>485</v>
      </c>
      <c r="H1065" s="54" t="s">
        <v>485</v>
      </c>
      <c r="I1065" s="43">
        <f>'01_PARÂMETROS'!$B$9</f>
        <v>50</v>
      </c>
      <c r="J1065" s="44">
        <f t="shared" si="50"/>
        <v>0.9</v>
      </c>
      <c r="K1065" s="62">
        <f>MAX('01_PARÂMETROS'!$B$11,MIN('01_PARÂMETROS'!$B$12,J1065))</f>
        <v>0.9</v>
      </c>
      <c r="L1065" s="63">
        <f t="shared" si="49"/>
        <v>-9.9999999999999978E-2</v>
      </c>
      <c r="M1065" s="17" t="str">
        <f>IF(K1065&lt;='01_PARÂMETROS'!$B$14,"Preferencial",IF(K1065&lt;='01_PARÂMETROS'!$B$15,"Baixo",IF(K1065&lt;='01_PARÂMETROS'!$B$16,"Médio",IF(K1065&lt;='01_PARÂMETROS'!$B$17,"Alto","Elevado"))))</f>
        <v>Baixo</v>
      </c>
      <c r="N1065" s="58" t="s">
        <v>486</v>
      </c>
      <c r="O1065" s="54"/>
    </row>
    <row r="1066" spans="1:15" ht="13.5" customHeight="1" x14ac:dyDescent="0.25">
      <c r="A1066" s="13" t="s">
        <v>2498</v>
      </c>
      <c r="B1066" s="49" t="s">
        <v>2403</v>
      </c>
      <c r="C1066" s="14" t="s">
        <v>2499</v>
      </c>
      <c r="D1066" s="50" t="s">
        <v>2495</v>
      </c>
      <c r="E1066" s="65" t="s">
        <v>841</v>
      </c>
      <c r="F1066" s="54" t="s">
        <v>485</v>
      </c>
      <c r="G1066" s="54" t="s">
        <v>485</v>
      </c>
      <c r="H1066" s="54" t="s">
        <v>485</v>
      </c>
      <c r="I1066" s="43">
        <f>'01_PARÂMETROS'!$B$9</f>
        <v>50</v>
      </c>
      <c r="J1066" s="44">
        <f t="shared" si="50"/>
        <v>0.9</v>
      </c>
      <c r="K1066" s="62">
        <f>MAX('01_PARÂMETROS'!$B$11,MIN('01_PARÂMETROS'!$B$12,J1066))</f>
        <v>0.9</v>
      </c>
      <c r="L1066" s="63">
        <f t="shared" si="49"/>
        <v>-9.9999999999999978E-2</v>
      </c>
      <c r="M1066" s="17" t="str">
        <f>IF(K1066&lt;='01_PARÂMETROS'!$B$14,"Preferencial",IF(K1066&lt;='01_PARÂMETROS'!$B$15,"Baixo",IF(K1066&lt;='01_PARÂMETROS'!$B$16,"Médio",IF(K1066&lt;='01_PARÂMETROS'!$B$17,"Alto","Elevado"))))</f>
        <v>Baixo</v>
      </c>
      <c r="N1066" s="58" t="s">
        <v>486</v>
      </c>
      <c r="O1066" s="61"/>
    </row>
    <row r="1067" spans="1:15" ht="13.5" customHeight="1" x14ac:dyDescent="0.25">
      <c r="A1067" s="24" t="s">
        <v>2500</v>
      </c>
      <c r="B1067" s="38" t="s">
        <v>2403</v>
      </c>
      <c r="C1067" s="25" t="s">
        <v>2501</v>
      </c>
      <c r="D1067" s="39" t="s">
        <v>2495</v>
      </c>
      <c r="E1067" s="65" t="s">
        <v>841</v>
      </c>
      <c r="F1067" s="54" t="s">
        <v>485</v>
      </c>
      <c r="G1067" s="54" t="s">
        <v>485</v>
      </c>
      <c r="H1067" s="54" t="s">
        <v>485</v>
      </c>
      <c r="I1067" s="43">
        <f>'01_PARÂMETROS'!$B$9</f>
        <v>50</v>
      </c>
      <c r="J1067" s="44">
        <f t="shared" si="50"/>
        <v>0.9</v>
      </c>
      <c r="K1067" s="62">
        <f>MAX('01_PARÂMETROS'!$B$11,MIN('01_PARÂMETROS'!$B$12,J1067))</f>
        <v>0.9</v>
      </c>
      <c r="L1067" s="63">
        <f t="shared" si="49"/>
        <v>-9.9999999999999978E-2</v>
      </c>
      <c r="M1067" s="17" t="str">
        <f>IF(K1067&lt;='01_PARÂMETROS'!$B$14,"Preferencial",IF(K1067&lt;='01_PARÂMETROS'!$B$15,"Baixo",IF(K1067&lt;='01_PARÂMETROS'!$B$16,"Médio",IF(K1067&lt;='01_PARÂMETROS'!$B$17,"Alto","Elevado"))))</f>
        <v>Baixo</v>
      </c>
      <c r="N1067" s="58" t="s">
        <v>486</v>
      </c>
      <c r="O1067" s="54"/>
    </row>
    <row r="1068" spans="1:15" ht="13.5" customHeight="1" x14ac:dyDescent="0.25">
      <c r="A1068" s="13" t="s">
        <v>2502</v>
      </c>
      <c r="B1068" s="49" t="s">
        <v>2403</v>
      </c>
      <c r="C1068" s="14" t="s">
        <v>2503</v>
      </c>
      <c r="D1068" s="50" t="s">
        <v>2495</v>
      </c>
      <c r="E1068" s="65" t="s">
        <v>841</v>
      </c>
      <c r="F1068" s="54" t="s">
        <v>485</v>
      </c>
      <c r="G1068" s="54" t="s">
        <v>485</v>
      </c>
      <c r="H1068" s="54" t="s">
        <v>485</v>
      </c>
      <c r="I1068" s="43">
        <f>'01_PARÂMETROS'!$B$9</f>
        <v>50</v>
      </c>
      <c r="J1068" s="44">
        <f t="shared" si="50"/>
        <v>0.9</v>
      </c>
      <c r="K1068" s="62">
        <f>MAX('01_PARÂMETROS'!$B$11,MIN('01_PARÂMETROS'!$B$12,J1068))</f>
        <v>0.9</v>
      </c>
      <c r="L1068" s="63">
        <f t="shared" si="49"/>
        <v>-9.9999999999999978E-2</v>
      </c>
      <c r="M1068" s="17" t="str">
        <f>IF(K1068&lt;='01_PARÂMETROS'!$B$14,"Preferencial",IF(K1068&lt;='01_PARÂMETROS'!$B$15,"Baixo",IF(K1068&lt;='01_PARÂMETROS'!$B$16,"Médio",IF(K1068&lt;='01_PARÂMETROS'!$B$17,"Alto","Elevado"))))</f>
        <v>Baixo</v>
      </c>
      <c r="N1068" s="58" t="s">
        <v>486</v>
      </c>
      <c r="O1068" s="61"/>
    </row>
    <row r="1069" spans="1:15" ht="13.5" customHeight="1" x14ac:dyDescent="0.25">
      <c r="A1069" s="24" t="s">
        <v>2504</v>
      </c>
      <c r="B1069" s="38" t="s">
        <v>2403</v>
      </c>
      <c r="C1069" s="25" t="s">
        <v>2505</v>
      </c>
      <c r="D1069" s="39" t="s">
        <v>2495</v>
      </c>
      <c r="E1069" s="65" t="s">
        <v>841</v>
      </c>
      <c r="F1069" s="54" t="s">
        <v>485</v>
      </c>
      <c r="G1069" s="54" t="s">
        <v>485</v>
      </c>
      <c r="H1069" s="54" t="s">
        <v>485</v>
      </c>
      <c r="I1069" s="43">
        <f>'01_PARÂMETROS'!$B$9</f>
        <v>50</v>
      </c>
      <c r="J1069" s="44">
        <f t="shared" si="50"/>
        <v>0.9</v>
      </c>
      <c r="K1069" s="62">
        <f>MAX('01_PARÂMETROS'!$B$11,MIN('01_PARÂMETROS'!$B$12,J1069))</f>
        <v>0.9</v>
      </c>
      <c r="L1069" s="63">
        <f t="shared" si="49"/>
        <v>-9.9999999999999978E-2</v>
      </c>
      <c r="M1069" s="17" t="str">
        <f>IF(K1069&lt;='01_PARÂMETROS'!$B$14,"Preferencial",IF(K1069&lt;='01_PARÂMETROS'!$B$15,"Baixo",IF(K1069&lt;='01_PARÂMETROS'!$B$16,"Médio",IF(K1069&lt;='01_PARÂMETROS'!$B$17,"Alto","Elevado"))))</f>
        <v>Baixo</v>
      </c>
      <c r="N1069" s="58" t="s">
        <v>486</v>
      </c>
      <c r="O1069" s="54"/>
    </row>
    <row r="1070" spans="1:15" ht="13.5" customHeight="1" x14ac:dyDescent="0.25">
      <c r="A1070" s="13" t="s">
        <v>2506</v>
      </c>
      <c r="B1070" s="49" t="s">
        <v>2403</v>
      </c>
      <c r="C1070" s="14" t="s">
        <v>2507</v>
      </c>
      <c r="D1070" s="50" t="s">
        <v>2495</v>
      </c>
      <c r="E1070" s="65" t="s">
        <v>841</v>
      </c>
      <c r="F1070" s="54" t="s">
        <v>485</v>
      </c>
      <c r="G1070" s="54" t="s">
        <v>485</v>
      </c>
      <c r="H1070" s="54" t="s">
        <v>485</v>
      </c>
      <c r="I1070" s="43">
        <f>'01_PARÂMETROS'!$B$9</f>
        <v>50</v>
      </c>
      <c r="J1070" s="44">
        <f t="shared" si="50"/>
        <v>0.9</v>
      </c>
      <c r="K1070" s="62">
        <f>MAX('01_PARÂMETROS'!$B$11,MIN('01_PARÂMETROS'!$B$12,J1070))</f>
        <v>0.9</v>
      </c>
      <c r="L1070" s="63">
        <f t="shared" si="49"/>
        <v>-9.9999999999999978E-2</v>
      </c>
      <c r="M1070" s="17" t="str">
        <f>IF(K1070&lt;='01_PARÂMETROS'!$B$14,"Preferencial",IF(K1070&lt;='01_PARÂMETROS'!$B$15,"Baixo",IF(K1070&lt;='01_PARÂMETROS'!$B$16,"Médio",IF(K1070&lt;='01_PARÂMETROS'!$B$17,"Alto","Elevado"))))</f>
        <v>Baixo</v>
      </c>
      <c r="N1070" s="58" t="s">
        <v>486</v>
      </c>
      <c r="O1070" s="61"/>
    </row>
    <row r="1071" spans="1:15" ht="13.5" customHeight="1" x14ac:dyDescent="0.25">
      <c r="A1071" s="24" t="s">
        <v>2508</v>
      </c>
      <c r="B1071" s="38" t="s">
        <v>2403</v>
      </c>
      <c r="C1071" s="25" t="s">
        <v>2509</v>
      </c>
      <c r="D1071" s="39" t="s">
        <v>2495</v>
      </c>
      <c r="E1071" s="65" t="s">
        <v>841</v>
      </c>
      <c r="F1071" s="54" t="s">
        <v>485</v>
      </c>
      <c r="G1071" s="54" t="s">
        <v>485</v>
      </c>
      <c r="H1071" s="54" t="s">
        <v>485</v>
      </c>
      <c r="I1071" s="43">
        <f>'01_PARÂMETROS'!$B$9</f>
        <v>50</v>
      </c>
      <c r="J1071" s="44">
        <f t="shared" si="50"/>
        <v>0.9</v>
      </c>
      <c r="K1071" s="62">
        <f>MAX('01_PARÂMETROS'!$B$11,MIN('01_PARÂMETROS'!$B$12,J1071))</f>
        <v>0.9</v>
      </c>
      <c r="L1071" s="63">
        <f t="shared" si="49"/>
        <v>-9.9999999999999978E-2</v>
      </c>
      <c r="M1071" s="17" t="str">
        <f>IF(K1071&lt;='01_PARÂMETROS'!$B$14,"Preferencial",IF(K1071&lt;='01_PARÂMETROS'!$B$15,"Baixo",IF(K1071&lt;='01_PARÂMETROS'!$B$16,"Médio",IF(K1071&lt;='01_PARÂMETROS'!$B$17,"Alto","Elevado"))))</f>
        <v>Baixo</v>
      </c>
      <c r="N1071" s="58" t="s">
        <v>486</v>
      </c>
      <c r="O1071" s="54"/>
    </row>
    <row r="1072" spans="1:15" ht="13.5" customHeight="1" x14ac:dyDescent="0.25">
      <c r="A1072" s="13" t="s">
        <v>2510</v>
      </c>
      <c r="B1072" s="49" t="s">
        <v>2403</v>
      </c>
      <c r="C1072" s="14" t="s">
        <v>2511</v>
      </c>
      <c r="D1072" s="50" t="s">
        <v>2495</v>
      </c>
      <c r="E1072" s="65" t="s">
        <v>841</v>
      </c>
      <c r="F1072" s="54" t="s">
        <v>485</v>
      </c>
      <c r="G1072" s="54" t="s">
        <v>485</v>
      </c>
      <c r="H1072" s="54" t="s">
        <v>485</v>
      </c>
      <c r="I1072" s="43">
        <f>'01_PARÂMETROS'!$B$9</f>
        <v>50</v>
      </c>
      <c r="J1072" s="44">
        <f t="shared" si="50"/>
        <v>0.9</v>
      </c>
      <c r="K1072" s="62">
        <f>MAX('01_PARÂMETROS'!$B$11,MIN('01_PARÂMETROS'!$B$12,J1072))</f>
        <v>0.9</v>
      </c>
      <c r="L1072" s="63">
        <f t="shared" si="49"/>
        <v>-9.9999999999999978E-2</v>
      </c>
      <c r="M1072" s="17" t="str">
        <f>IF(K1072&lt;='01_PARÂMETROS'!$B$14,"Preferencial",IF(K1072&lt;='01_PARÂMETROS'!$B$15,"Baixo",IF(K1072&lt;='01_PARÂMETROS'!$B$16,"Médio",IF(K1072&lt;='01_PARÂMETROS'!$B$17,"Alto","Elevado"))))</f>
        <v>Baixo</v>
      </c>
      <c r="N1072" s="58" t="s">
        <v>486</v>
      </c>
      <c r="O1072" s="61"/>
    </row>
    <row r="1073" spans="1:15" ht="13.5" customHeight="1" x14ac:dyDescent="0.25">
      <c r="A1073" s="24" t="s">
        <v>2512</v>
      </c>
      <c r="B1073" s="38" t="s">
        <v>2403</v>
      </c>
      <c r="C1073" s="25" t="s">
        <v>2513</v>
      </c>
      <c r="D1073" s="39" t="s">
        <v>2495</v>
      </c>
      <c r="E1073" s="65" t="s">
        <v>841</v>
      </c>
      <c r="F1073" s="54" t="s">
        <v>485</v>
      </c>
      <c r="G1073" s="54" t="s">
        <v>485</v>
      </c>
      <c r="H1073" s="54" t="s">
        <v>485</v>
      </c>
      <c r="I1073" s="43">
        <f>'01_PARÂMETROS'!$B$9</f>
        <v>50</v>
      </c>
      <c r="J1073" s="44">
        <f t="shared" si="50"/>
        <v>0.9</v>
      </c>
      <c r="K1073" s="62">
        <f>MAX('01_PARÂMETROS'!$B$11,MIN('01_PARÂMETROS'!$B$12,J1073))</f>
        <v>0.9</v>
      </c>
      <c r="L1073" s="63">
        <f t="shared" si="49"/>
        <v>-9.9999999999999978E-2</v>
      </c>
      <c r="M1073" s="17" t="str">
        <f>IF(K1073&lt;='01_PARÂMETROS'!$B$14,"Preferencial",IF(K1073&lt;='01_PARÂMETROS'!$B$15,"Baixo",IF(K1073&lt;='01_PARÂMETROS'!$B$16,"Médio",IF(K1073&lt;='01_PARÂMETROS'!$B$17,"Alto","Elevado"))))</f>
        <v>Baixo</v>
      </c>
      <c r="N1073" s="58" t="s">
        <v>486</v>
      </c>
      <c r="O1073" s="54"/>
    </row>
    <row r="1074" spans="1:15" ht="13.5" customHeight="1" x14ac:dyDescent="0.25">
      <c r="A1074" s="13" t="s">
        <v>2514</v>
      </c>
      <c r="B1074" s="49" t="s">
        <v>2403</v>
      </c>
      <c r="C1074" s="14" t="s">
        <v>2515</v>
      </c>
      <c r="D1074" s="50" t="s">
        <v>2495</v>
      </c>
      <c r="E1074" s="65" t="s">
        <v>841</v>
      </c>
      <c r="F1074" s="54" t="s">
        <v>485</v>
      </c>
      <c r="G1074" s="54" t="s">
        <v>485</v>
      </c>
      <c r="H1074" s="54" t="s">
        <v>485</v>
      </c>
      <c r="I1074" s="43">
        <f>'01_PARÂMETROS'!$B$9</f>
        <v>50</v>
      </c>
      <c r="J1074" s="44">
        <f t="shared" ref="J1074:J1097" si="51">0.9</f>
        <v>0.9</v>
      </c>
      <c r="K1074" s="62">
        <f>MAX('01_PARÂMETROS'!$B$11,MIN('01_PARÂMETROS'!$B$12,J1074))</f>
        <v>0.9</v>
      </c>
      <c r="L1074" s="63">
        <f t="shared" si="49"/>
        <v>-9.9999999999999978E-2</v>
      </c>
      <c r="M1074" s="17" t="str">
        <f>IF(K1074&lt;='01_PARÂMETROS'!$B$14,"Preferencial",IF(K1074&lt;='01_PARÂMETROS'!$B$15,"Baixo",IF(K1074&lt;='01_PARÂMETROS'!$B$16,"Médio",IF(K1074&lt;='01_PARÂMETROS'!$B$17,"Alto","Elevado"))))</f>
        <v>Baixo</v>
      </c>
      <c r="N1074" s="58" t="s">
        <v>486</v>
      </c>
      <c r="O1074" s="61"/>
    </row>
    <row r="1075" spans="1:15" ht="13.5" customHeight="1" x14ac:dyDescent="0.25">
      <c r="A1075" s="24" t="s">
        <v>2516</v>
      </c>
      <c r="B1075" s="38" t="s">
        <v>2403</v>
      </c>
      <c r="C1075" s="25" t="s">
        <v>2517</v>
      </c>
      <c r="D1075" s="39" t="s">
        <v>2495</v>
      </c>
      <c r="E1075" s="65" t="s">
        <v>841</v>
      </c>
      <c r="F1075" s="54" t="s">
        <v>485</v>
      </c>
      <c r="G1075" s="54" t="s">
        <v>485</v>
      </c>
      <c r="H1075" s="54" t="s">
        <v>485</v>
      </c>
      <c r="I1075" s="43">
        <f>'01_PARÂMETROS'!$B$9</f>
        <v>50</v>
      </c>
      <c r="J1075" s="44">
        <f t="shared" si="51"/>
        <v>0.9</v>
      </c>
      <c r="K1075" s="62">
        <f>MAX('01_PARÂMETROS'!$B$11,MIN('01_PARÂMETROS'!$B$12,J1075))</f>
        <v>0.9</v>
      </c>
      <c r="L1075" s="63">
        <f t="shared" si="49"/>
        <v>-9.9999999999999978E-2</v>
      </c>
      <c r="M1075" s="17" t="str">
        <f>IF(K1075&lt;='01_PARÂMETROS'!$B$14,"Preferencial",IF(K1075&lt;='01_PARÂMETROS'!$B$15,"Baixo",IF(K1075&lt;='01_PARÂMETROS'!$B$16,"Médio",IF(K1075&lt;='01_PARÂMETROS'!$B$17,"Alto","Elevado"))))</f>
        <v>Baixo</v>
      </c>
      <c r="N1075" s="58" t="s">
        <v>486</v>
      </c>
      <c r="O1075" s="54"/>
    </row>
    <row r="1076" spans="1:15" ht="13.5" customHeight="1" x14ac:dyDescent="0.25">
      <c r="A1076" s="13" t="s">
        <v>2518</v>
      </c>
      <c r="B1076" s="49" t="s">
        <v>2403</v>
      </c>
      <c r="C1076" s="14" t="s">
        <v>2519</v>
      </c>
      <c r="D1076" s="50" t="s">
        <v>2495</v>
      </c>
      <c r="E1076" s="65" t="s">
        <v>841</v>
      </c>
      <c r="F1076" s="54" t="s">
        <v>485</v>
      </c>
      <c r="G1076" s="54" t="s">
        <v>485</v>
      </c>
      <c r="H1076" s="54" t="s">
        <v>485</v>
      </c>
      <c r="I1076" s="43">
        <f>'01_PARÂMETROS'!$B$9</f>
        <v>50</v>
      </c>
      <c r="J1076" s="44">
        <f t="shared" si="51"/>
        <v>0.9</v>
      </c>
      <c r="K1076" s="62">
        <f>MAX('01_PARÂMETROS'!$B$11,MIN('01_PARÂMETROS'!$B$12,J1076))</f>
        <v>0.9</v>
      </c>
      <c r="L1076" s="63">
        <f t="shared" si="49"/>
        <v>-9.9999999999999978E-2</v>
      </c>
      <c r="M1076" s="17" t="str">
        <f>IF(K1076&lt;='01_PARÂMETROS'!$B$14,"Preferencial",IF(K1076&lt;='01_PARÂMETROS'!$B$15,"Baixo",IF(K1076&lt;='01_PARÂMETROS'!$B$16,"Médio",IF(K1076&lt;='01_PARÂMETROS'!$B$17,"Alto","Elevado"))))</f>
        <v>Baixo</v>
      </c>
      <c r="N1076" s="58" t="s">
        <v>486</v>
      </c>
      <c r="O1076" s="61"/>
    </row>
    <row r="1077" spans="1:15" ht="13.5" customHeight="1" x14ac:dyDescent="0.25">
      <c r="A1077" s="24" t="s">
        <v>2520</v>
      </c>
      <c r="B1077" s="38" t="s">
        <v>2403</v>
      </c>
      <c r="C1077" s="25" t="s">
        <v>2521</v>
      </c>
      <c r="D1077" s="39" t="s">
        <v>2495</v>
      </c>
      <c r="E1077" s="65" t="s">
        <v>841</v>
      </c>
      <c r="F1077" s="54" t="s">
        <v>485</v>
      </c>
      <c r="G1077" s="54" t="s">
        <v>485</v>
      </c>
      <c r="H1077" s="54" t="s">
        <v>485</v>
      </c>
      <c r="I1077" s="43">
        <f>'01_PARÂMETROS'!$B$9</f>
        <v>50</v>
      </c>
      <c r="J1077" s="44">
        <f t="shared" si="51"/>
        <v>0.9</v>
      </c>
      <c r="K1077" s="62">
        <f>MAX('01_PARÂMETROS'!$B$11,MIN('01_PARÂMETROS'!$B$12,J1077))</f>
        <v>0.9</v>
      </c>
      <c r="L1077" s="63">
        <f t="shared" si="49"/>
        <v>-9.9999999999999978E-2</v>
      </c>
      <c r="M1077" s="17" t="str">
        <f>IF(K1077&lt;='01_PARÂMETROS'!$B$14,"Preferencial",IF(K1077&lt;='01_PARÂMETROS'!$B$15,"Baixo",IF(K1077&lt;='01_PARÂMETROS'!$B$16,"Médio",IF(K1077&lt;='01_PARÂMETROS'!$B$17,"Alto","Elevado"))))</f>
        <v>Baixo</v>
      </c>
      <c r="N1077" s="58" t="s">
        <v>486</v>
      </c>
      <c r="O1077" s="54"/>
    </row>
    <row r="1078" spans="1:15" ht="13.5" customHeight="1" x14ac:dyDescent="0.25">
      <c r="A1078" s="13" t="s">
        <v>2522</v>
      </c>
      <c r="B1078" s="49" t="s">
        <v>2403</v>
      </c>
      <c r="C1078" s="14" t="s">
        <v>2523</v>
      </c>
      <c r="D1078" s="50" t="s">
        <v>2495</v>
      </c>
      <c r="E1078" s="65" t="s">
        <v>841</v>
      </c>
      <c r="F1078" s="54" t="s">
        <v>485</v>
      </c>
      <c r="G1078" s="54" t="s">
        <v>485</v>
      </c>
      <c r="H1078" s="54" t="s">
        <v>485</v>
      </c>
      <c r="I1078" s="43">
        <f>'01_PARÂMETROS'!$B$9</f>
        <v>50</v>
      </c>
      <c r="J1078" s="44">
        <f t="shared" si="51"/>
        <v>0.9</v>
      </c>
      <c r="K1078" s="62">
        <f>MAX('01_PARÂMETROS'!$B$11,MIN('01_PARÂMETROS'!$B$12,J1078))</f>
        <v>0.9</v>
      </c>
      <c r="L1078" s="63">
        <f t="shared" si="49"/>
        <v>-9.9999999999999978E-2</v>
      </c>
      <c r="M1078" s="17" t="str">
        <f>IF(K1078&lt;='01_PARÂMETROS'!$B$14,"Preferencial",IF(K1078&lt;='01_PARÂMETROS'!$B$15,"Baixo",IF(K1078&lt;='01_PARÂMETROS'!$B$16,"Médio",IF(K1078&lt;='01_PARÂMETROS'!$B$17,"Alto","Elevado"))))</f>
        <v>Baixo</v>
      </c>
      <c r="N1078" s="58" t="s">
        <v>486</v>
      </c>
      <c r="O1078" s="61"/>
    </row>
    <row r="1079" spans="1:15" ht="13.5" customHeight="1" x14ac:dyDescent="0.25">
      <c r="A1079" s="24" t="s">
        <v>2524</v>
      </c>
      <c r="B1079" s="38" t="s">
        <v>2403</v>
      </c>
      <c r="C1079" s="25" t="s">
        <v>2525</v>
      </c>
      <c r="D1079" s="39" t="s">
        <v>2495</v>
      </c>
      <c r="E1079" s="65" t="s">
        <v>841</v>
      </c>
      <c r="F1079" s="54" t="s">
        <v>485</v>
      </c>
      <c r="G1079" s="54" t="s">
        <v>485</v>
      </c>
      <c r="H1079" s="54" t="s">
        <v>485</v>
      </c>
      <c r="I1079" s="43">
        <f>'01_PARÂMETROS'!$B$9</f>
        <v>50</v>
      </c>
      <c r="J1079" s="44">
        <f t="shared" si="51"/>
        <v>0.9</v>
      </c>
      <c r="K1079" s="62">
        <f>MAX('01_PARÂMETROS'!$B$11,MIN('01_PARÂMETROS'!$B$12,J1079))</f>
        <v>0.9</v>
      </c>
      <c r="L1079" s="63">
        <f t="shared" si="49"/>
        <v>-9.9999999999999978E-2</v>
      </c>
      <c r="M1079" s="17" t="str">
        <f>IF(K1079&lt;='01_PARÂMETROS'!$B$14,"Preferencial",IF(K1079&lt;='01_PARÂMETROS'!$B$15,"Baixo",IF(K1079&lt;='01_PARÂMETROS'!$B$16,"Médio",IF(K1079&lt;='01_PARÂMETROS'!$B$17,"Alto","Elevado"))))</f>
        <v>Baixo</v>
      </c>
      <c r="N1079" s="58" t="s">
        <v>486</v>
      </c>
      <c r="O1079" s="54"/>
    </row>
    <row r="1080" spans="1:15" ht="13.5" customHeight="1" x14ac:dyDescent="0.25">
      <c r="A1080" s="13" t="s">
        <v>2526</v>
      </c>
      <c r="B1080" s="49" t="s">
        <v>2403</v>
      </c>
      <c r="C1080" s="14" t="s">
        <v>2527</v>
      </c>
      <c r="D1080" s="50" t="s">
        <v>2495</v>
      </c>
      <c r="E1080" s="65" t="s">
        <v>841</v>
      </c>
      <c r="F1080" s="54" t="s">
        <v>485</v>
      </c>
      <c r="G1080" s="54" t="s">
        <v>485</v>
      </c>
      <c r="H1080" s="54" t="s">
        <v>485</v>
      </c>
      <c r="I1080" s="43">
        <f>'01_PARÂMETROS'!$B$9</f>
        <v>50</v>
      </c>
      <c r="J1080" s="44">
        <f t="shared" si="51"/>
        <v>0.9</v>
      </c>
      <c r="K1080" s="62">
        <f>MAX('01_PARÂMETROS'!$B$11,MIN('01_PARÂMETROS'!$B$12,J1080))</f>
        <v>0.9</v>
      </c>
      <c r="L1080" s="63">
        <f t="shared" si="49"/>
        <v>-9.9999999999999978E-2</v>
      </c>
      <c r="M1080" s="17" t="str">
        <f>IF(K1080&lt;='01_PARÂMETROS'!$B$14,"Preferencial",IF(K1080&lt;='01_PARÂMETROS'!$B$15,"Baixo",IF(K1080&lt;='01_PARÂMETROS'!$B$16,"Médio",IF(K1080&lt;='01_PARÂMETROS'!$B$17,"Alto","Elevado"))))</f>
        <v>Baixo</v>
      </c>
      <c r="N1080" s="58" t="s">
        <v>486</v>
      </c>
      <c r="O1080" s="61"/>
    </row>
    <row r="1081" spans="1:15" ht="13.5" customHeight="1" x14ac:dyDescent="0.25">
      <c r="A1081" s="24" t="s">
        <v>2528</v>
      </c>
      <c r="B1081" s="38" t="s">
        <v>2403</v>
      </c>
      <c r="C1081" s="25" t="s">
        <v>2529</v>
      </c>
      <c r="D1081" s="39" t="s">
        <v>2495</v>
      </c>
      <c r="E1081" s="65" t="s">
        <v>841</v>
      </c>
      <c r="F1081" s="54" t="s">
        <v>485</v>
      </c>
      <c r="G1081" s="54" t="s">
        <v>485</v>
      </c>
      <c r="H1081" s="54" t="s">
        <v>485</v>
      </c>
      <c r="I1081" s="43">
        <f>'01_PARÂMETROS'!$B$9</f>
        <v>50</v>
      </c>
      <c r="J1081" s="44">
        <f t="shared" si="51"/>
        <v>0.9</v>
      </c>
      <c r="K1081" s="62">
        <f>MAX('01_PARÂMETROS'!$B$11,MIN('01_PARÂMETROS'!$B$12,J1081))</f>
        <v>0.9</v>
      </c>
      <c r="L1081" s="63">
        <f t="shared" si="49"/>
        <v>-9.9999999999999978E-2</v>
      </c>
      <c r="M1081" s="17" t="str">
        <f>IF(K1081&lt;='01_PARÂMETROS'!$B$14,"Preferencial",IF(K1081&lt;='01_PARÂMETROS'!$B$15,"Baixo",IF(K1081&lt;='01_PARÂMETROS'!$B$16,"Médio",IF(K1081&lt;='01_PARÂMETROS'!$B$17,"Alto","Elevado"))))</f>
        <v>Baixo</v>
      </c>
      <c r="N1081" s="58" t="s">
        <v>486</v>
      </c>
      <c r="O1081" s="54"/>
    </row>
    <row r="1082" spans="1:15" ht="13.5" customHeight="1" x14ac:dyDescent="0.25">
      <c r="A1082" s="13" t="s">
        <v>2530</v>
      </c>
      <c r="B1082" s="49" t="s">
        <v>2403</v>
      </c>
      <c r="C1082" s="14" t="s">
        <v>2531</v>
      </c>
      <c r="D1082" s="50" t="s">
        <v>2495</v>
      </c>
      <c r="E1082" s="65" t="s">
        <v>841</v>
      </c>
      <c r="F1082" s="54" t="s">
        <v>485</v>
      </c>
      <c r="G1082" s="54" t="s">
        <v>485</v>
      </c>
      <c r="H1082" s="54" t="s">
        <v>485</v>
      </c>
      <c r="I1082" s="43">
        <f>'01_PARÂMETROS'!$B$9</f>
        <v>50</v>
      </c>
      <c r="J1082" s="44">
        <f t="shared" si="51"/>
        <v>0.9</v>
      </c>
      <c r="K1082" s="62">
        <f>MAX('01_PARÂMETROS'!$B$11,MIN('01_PARÂMETROS'!$B$12,J1082))</f>
        <v>0.9</v>
      </c>
      <c r="L1082" s="63">
        <f t="shared" si="49"/>
        <v>-9.9999999999999978E-2</v>
      </c>
      <c r="M1082" s="17" t="str">
        <f>IF(K1082&lt;='01_PARÂMETROS'!$B$14,"Preferencial",IF(K1082&lt;='01_PARÂMETROS'!$B$15,"Baixo",IF(K1082&lt;='01_PARÂMETROS'!$B$16,"Médio",IF(K1082&lt;='01_PARÂMETROS'!$B$17,"Alto","Elevado"))))</f>
        <v>Baixo</v>
      </c>
      <c r="N1082" s="58" t="s">
        <v>486</v>
      </c>
      <c r="O1082" s="61"/>
    </row>
    <row r="1083" spans="1:15" ht="13.5" customHeight="1" x14ac:dyDescent="0.25">
      <c r="A1083" s="24" t="s">
        <v>2532</v>
      </c>
      <c r="B1083" s="38" t="s">
        <v>2403</v>
      </c>
      <c r="C1083" s="25" t="s">
        <v>2533</v>
      </c>
      <c r="D1083" s="39" t="s">
        <v>2495</v>
      </c>
      <c r="E1083" s="65" t="s">
        <v>841</v>
      </c>
      <c r="F1083" s="54" t="s">
        <v>485</v>
      </c>
      <c r="G1083" s="54" t="s">
        <v>485</v>
      </c>
      <c r="H1083" s="54" t="s">
        <v>485</v>
      </c>
      <c r="I1083" s="43">
        <f>'01_PARÂMETROS'!$B$9</f>
        <v>50</v>
      </c>
      <c r="J1083" s="44">
        <f t="shared" si="51"/>
        <v>0.9</v>
      </c>
      <c r="K1083" s="62">
        <f>MAX('01_PARÂMETROS'!$B$11,MIN('01_PARÂMETROS'!$B$12,J1083))</f>
        <v>0.9</v>
      </c>
      <c r="L1083" s="63">
        <f t="shared" si="49"/>
        <v>-9.9999999999999978E-2</v>
      </c>
      <c r="M1083" s="17" t="str">
        <f>IF(K1083&lt;='01_PARÂMETROS'!$B$14,"Preferencial",IF(K1083&lt;='01_PARÂMETROS'!$B$15,"Baixo",IF(K1083&lt;='01_PARÂMETROS'!$B$16,"Médio",IF(K1083&lt;='01_PARÂMETROS'!$B$17,"Alto","Elevado"))))</f>
        <v>Baixo</v>
      </c>
      <c r="N1083" s="58" t="s">
        <v>486</v>
      </c>
      <c r="O1083" s="54"/>
    </row>
    <row r="1084" spans="1:15" ht="13.5" customHeight="1" x14ac:dyDescent="0.25">
      <c r="A1084" s="13" t="s">
        <v>2534</v>
      </c>
      <c r="B1084" s="49" t="s">
        <v>2403</v>
      </c>
      <c r="C1084" s="14" t="s">
        <v>2535</v>
      </c>
      <c r="D1084" s="50" t="s">
        <v>2495</v>
      </c>
      <c r="E1084" s="65" t="s">
        <v>841</v>
      </c>
      <c r="F1084" s="54" t="s">
        <v>485</v>
      </c>
      <c r="G1084" s="54" t="s">
        <v>485</v>
      </c>
      <c r="H1084" s="54" t="s">
        <v>485</v>
      </c>
      <c r="I1084" s="43">
        <f>'01_PARÂMETROS'!$B$9</f>
        <v>50</v>
      </c>
      <c r="J1084" s="44">
        <f t="shared" si="51"/>
        <v>0.9</v>
      </c>
      <c r="K1084" s="62">
        <f>MAX('01_PARÂMETROS'!$B$11,MIN('01_PARÂMETROS'!$B$12,J1084))</f>
        <v>0.9</v>
      </c>
      <c r="L1084" s="63">
        <f t="shared" si="49"/>
        <v>-9.9999999999999978E-2</v>
      </c>
      <c r="M1084" s="17" t="str">
        <f>IF(K1084&lt;='01_PARÂMETROS'!$B$14,"Preferencial",IF(K1084&lt;='01_PARÂMETROS'!$B$15,"Baixo",IF(K1084&lt;='01_PARÂMETROS'!$B$16,"Médio",IF(K1084&lt;='01_PARÂMETROS'!$B$17,"Alto","Elevado"))))</f>
        <v>Baixo</v>
      </c>
      <c r="N1084" s="58" t="s">
        <v>486</v>
      </c>
      <c r="O1084" s="61"/>
    </row>
    <row r="1085" spans="1:15" ht="13.5" customHeight="1" x14ac:dyDescent="0.25">
      <c r="A1085" s="24" t="s">
        <v>2536</v>
      </c>
      <c r="B1085" s="38" t="s">
        <v>2537</v>
      </c>
      <c r="C1085" s="25" t="s">
        <v>2538</v>
      </c>
      <c r="D1085" s="39" t="s">
        <v>2539</v>
      </c>
      <c r="E1085" s="65" t="s">
        <v>841</v>
      </c>
      <c r="F1085" s="54" t="s">
        <v>485</v>
      </c>
      <c r="G1085" s="54" t="s">
        <v>485</v>
      </c>
      <c r="H1085" s="54" t="s">
        <v>485</v>
      </c>
      <c r="I1085" s="43">
        <f>'01_PARÂMETROS'!$B$9</f>
        <v>50</v>
      </c>
      <c r="J1085" s="44">
        <f t="shared" si="51"/>
        <v>0.9</v>
      </c>
      <c r="K1085" s="62">
        <f>MAX('01_PARÂMETROS'!$B$11,MIN('01_PARÂMETROS'!$B$12,J1085))</f>
        <v>0.9</v>
      </c>
      <c r="L1085" s="63">
        <f t="shared" si="49"/>
        <v>-9.9999999999999978E-2</v>
      </c>
      <c r="M1085" s="17" t="str">
        <f>IF(K1085&lt;='01_PARÂMETROS'!$B$14,"Preferencial",IF(K1085&lt;='01_PARÂMETROS'!$B$15,"Baixo",IF(K1085&lt;='01_PARÂMETROS'!$B$16,"Médio",IF(K1085&lt;='01_PARÂMETROS'!$B$17,"Alto","Elevado"))))</f>
        <v>Baixo</v>
      </c>
      <c r="N1085" s="58" t="s">
        <v>486</v>
      </c>
      <c r="O1085" s="54"/>
    </row>
    <row r="1086" spans="1:15" ht="13.5" customHeight="1" x14ac:dyDescent="0.25">
      <c r="A1086" s="13" t="s">
        <v>2540</v>
      </c>
      <c r="B1086" s="49" t="s">
        <v>2537</v>
      </c>
      <c r="C1086" s="14" t="s">
        <v>2541</v>
      </c>
      <c r="D1086" s="50" t="s">
        <v>2539</v>
      </c>
      <c r="E1086" s="65" t="s">
        <v>841</v>
      </c>
      <c r="F1086" s="54" t="s">
        <v>485</v>
      </c>
      <c r="G1086" s="54" t="s">
        <v>485</v>
      </c>
      <c r="H1086" s="54" t="s">
        <v>485</v>
      </c>
      <c r="I1086" s="43">
        <f>'01_PARÂMETROS'!$B$9</f>
        <v>50</v>
      </c>
      <c r="J1086" s="44">
        <f t="shared" si="51"/>
        <v>0.9</v>
      </c>
      <c r="K1086" s="62">
        <f>MAX('01_PARÂMETROS'!$B$11,MIN('01_PARÂMETROS'!$B$12,J1086))</f>
        <v>0.9</v>
      </c>
      <c r="L1086" s="63">
        <f t="shared" si="49"/>
        <v>-9.9999999999999978E-2</v>
      </c>
      <c r="M1086" s="17" t="str">
        <f>IF(K1086&lt;='01_PARÂMETROS'!$B$14,"Preferencial",IF(K1086&lt;='01_PARÂMETROS'!$B$15,"Baixo",IF(K1086&lt;='01_PARÂMETROS'!$B$16,"Médio",IF(K1086&lt;='01_PARÂMETROS'!$B$17,"Alto","Elevado"))))</f>
        <v>Baixo</v>
      </c>
      <c r="N1086" s="58" t="s">
        <v>486</v>
      </c>
      <c r="O1086" s="61"/>
    </row>
    <row r="1087" spans="1:15" ht="13.5" customHeight="1" x14ac:dyDescent="0.25">
      <c r="A1087" s="24" t="s">
        <v>2542</v>
      </c>
      <c r="B1087" s="38" t="s">
        <v>2537</v>
      </c>
      <c r="C1087" s="25" t="s">
        <v>2543</v>
      </c>
      <c r="D1087" s="39" t="s">
        <v>2539</v>
      </c>
      <c r="E1087" s="65" t="s">
        <v>841</v>
      </c>
      <c r="F1087" s="54" t="s">
        <v>485</v>
      </c>
      <c r="G1087" s="54" t="s">
        <v>485</v>
      </c>
      <c r="H1087" s="54" t="s">
        <v>485</v>
      </c>
      <c r="I1087" s="43">
        <f>'01_PARÂMETROS'!$B$9</f>
        <v>50</v>
      </c>
      <c r="J1087" s="44">
        <f t="shared" si="51"/>
        <v>0.9</v>
      </c>
      <c r="K1087" s="62">
        <f>MAX('01_PARÂMETROS'!$B$11,MIN('01_PARÂMETROS'!$B$12,J1087))</f>
        <v>0.9</v>
      </c>
      <c r="L1087" s="63">
        <f t="shared" si="49"/>
        <v>-9.9999999999999978E-2</v>
      </c>
      <c r="M1087" s="17" t="str">
        <f>IF(K1087&lt;='01_PARÂMETROS'!$B$14,"Preferencial",IF(K1087&lt;='01_PARÂMETROS'!$B$15,"Baixo",IF(K1087&lt;='01_PARÂMETROS'!$B$16,"Médio",IF(K1087&lt;='01_PARÂMETROS'!$B$17,"Alto","Elevado"))))</f>
        <v>Baixo</v>
      </c>
      <c r="N1087" s="58" t="s">
        <v>486</v>
      </c>
      <c r="O1087" s="54"/>
    </row>
    <row r="1088" spans="1:15" ht="13.5" customHeight="1" x14ac:dyDescent="0.25">
      <c r="A1088" s="13" t="s">
        <v>2544</v>
      </c>
      <c r="B1088" s="49" t="s">
        <v>2537</v>
      </c>
      <c r="C1088" s="14" t="s">
        <v>2545</v>
      </c>
      <c r="D1088" s="50" t="s">
        <v>2539</v>
      </c>
      <c r="E1088" s="65" t="s">
        <v>841</v>
      </c>
      <c r="F1088" s="54" t="s">
        <v>485</v>
      </c>
      <c r="G1088" s="54" t="s">
        <v>485</v>
      </c>
      <c r="H1088" s="54" t="s">
        <v>485</v>
      </c>
      <c r="I1088" s="43">
        <f>'01_PARÂMETROS'!$B$9</f>
        <v>50</v>
      </c>
      <c r="J1088" s="44">
        <f t="shared" si="51"/>
        <v>0.9</v>
      </c>
      <c r="K1088" s="62">
        <f>MAX('01_PARÂMETROS'!$B$11,MIN('01_PARÂMETROS'!$B$12,J1088))</f>
        <v>0.9</v>
      </c>
      <c r="L1088" s="63">
        <f t="shared" si="49"/>
        <v>-9.9999999999999978E-2</v>
      </c>
      <c r="M1088" s="17" t="str">
        <f>IF(K1088&lt;='01_PARÂMETROS'!$B$14,"Preferencial",IF(K1088&lt;='01_PARÂMETROS'!$B$15,"Baixo",IF(K1088&lt;='01_PARÂMETROS'!$B$16,"Médio",IF(K1088&lt;='01_PARÂMETROS'!$B$17,"Alto","Elevado"))))</f>
        <v>Baixo</v>
      </c>
      <c r="N1088" s="58" t="s">
        <v>486</v>
      </c>
      <c r="O1088" s="61"/>
    </row>
    <row r="1089" spans="1:15" ht="13.5" customHeight="1" x14ac:dyDescent="0.25">
      <c r="A1089" s="24" t="s">
        <v>2546</v>
      </c>
      <c r="B1089" s="38" t="s">
        <v>2537</v>
      </c>
      <c r="C1089" s="25" t="s">
        <v>2547</v>
      </c>
      <c r="D1089" s="39" t="s">
        <v>2539</v>
      </c>
      <c r="E1089" s="65" t="s">
        <v>841</v>
      </c>
      <c r="F1089" s="54" t="s">
        <v>485</v>
      </c>
      <c r="G1089" s="54" t="s">
        <v>485</v>
      </c>
      <c r="H1089" s="54" t="s">
        <v>485</v>
      </c>
      <c r="I1089" s="43">
        <f>'01_PARÂMETROS'!$B$9</f>
        <v>50</v>
      </c>
      <c r="J1089" s="44">
        <f t="shared" si="51"/>
        <v>0.9</v>
      </c>
      <c r="K1089" s="62">
        <f>MAX('01_PARÂMETROS'!$B$11,MIN('01_PARÂMETROS'!$B$12,J1089))</f>
        <v>0.9</v>
      </c>
      <c r="L1089" s="63">
        <f t="shared" si="49"/>
        <v>-9.9999999999999978E-2</v>
      </c>
      <c r="M1089" s="17" t="str">
        <f>IF(K1089&lt;='01_PARÂMETROS'!$B$14,"Preferencial",IF(K1089&lt;='01_PARÂMETROS'!$B$15,"Baixo",IF(K1089&lt;='01_PARÂMETROS'!$B$16,"Médio",IF(K1089&lt;='01_PARÂMETROS'!$B$17,"Alto","Elevado"))))</f>
        <v>Baixo</v>
      </c>
      <c r="N1089" s="58" t="s">
        <v>486</v>
      </c>
      <c r="O1089" s="54"/>
    </row>
    <row r="1090" spans="1:15" ht="13.5" customHeight="1" x14ac:dyDescent="0.25">
      <c r="A1090" s="13" t="s">
        <v>2548</v>
      </c>
      <c r="B1090" s="49" t="s">
        <v>2537</v>
      </c>
      <c r="C1090" s="14" t="s">
        <v>2549</v>
      </c>
      <c r="D1090" s="50" t="s">
        <v>2539</v>
      </c>
      <c r="E1090" s="65" t="s">
        <v>841</v>
      </c>
      <c r="F1090" s="54" t="s">
        <v>485</v>
      </c>
      <c r="G1090" s="54" t="s">
        <v>485</v>
      </c>
      <c r="H1090" s="54" t="s">
        <v>485</v>
      </c>
      <c r="I1090" s="43">
        <f>'01_PARÂMETROS'!$B$9</f>
        <v>50</v>
      </c>
      <c r="J1090" s="44">
        <f t="shared" si="51"/>
        <v>0.9</v>
      </c>
      <c r="K1090" s="62">
        <f>MAX('01_PARÂMETROS'!$B$11,MIN('01_PARÂMETROS'!$B$12,J1090))</f>
        <v>0.9</v>
      </c>
      <c r="L1090" s="63">
        <f t="shared" si="49"/>
        <v>-9.9999999999999978E-2</v>
      </c>
      <c r="M1090" s="17" t="str">
        <f>IF(K1090&lt;='01_PARÂMETROS'!$B$14,"Preferencial",IF(K1090&lt;='01_PARÂMETROS'!$B$15,"Baixo",IF(K1090&lt;='01_PARÂMETROS'!$B$16,"Médio",IF(K1090&lt;='01_PARÂMETROS'!$B$17,"Alto","Elevado"))))</f>
        <v>Baixo</v>
      </c>
      <c r="N1090" s="58" t="s">
        <v>486</v>
      </c>
      <c r="O1090" s="61"/>
    </row>
    <row r="1091" spans="1:15" ht="13.5" customHeight="1" x14ac:dyDescent="0.25">
      <c r="A1091" s="24" t="s">
        <v>2550</v>
      </c>
      <c r="B1091" s="38" t="s">
        <v>2551</v>
      </c>
      <c r="C1091" s="25" t="s">
        <v>2552</v>
      </c>
      <c r="D1091" s="39" t="s">
        <v>2553</v>
      </c>
      <c r="E1091" s="65" t="s">
        <v>841</v>
      </c>
      <c r="F1091" s="54" t="s">
        <v>485</v>
      </c>
      <c r="G1091" s="54" t="s">
        <v>485</v>
      </c>
      <c r="H1091" s="54" t="s">
        <v>485</v>
      </c>
      <c r="I1091" s="43">
        <f>'01_PARÂMETROS'!$B$9</f>
        <v>50</v>
      </c>
      <c r="J1091" s="44">
        <f t="shared" si="51"/>
        <v>0.9</v>
      </c>
      <c r="K1091" s="62">
        <f>MAX('01_PARÂMETROS'!$B$11,MIN('01_PARÂMETROS'!$B$12,J1091))</f>
        <v>0.9</v>
      </c>
      <c r="L1091" s="63">
        <f t="shared" si="49"/>
        <v>-9.9999999999999978E-2</v>
      </c>
      <c r="M1091" s="17" t="str">
        <f>IF(K1091&lt;='01_PARÂMETROS'!$B$14,"Preferencial",IF(K1091&lt;='01_PARÂMETROS'!$B$15,"Baixo",IF(K1091&lt;='01_PARÂMETROS'!$B$16,"Médio",IF(K1091&lt;='01_PARÂMETROS'!$B$17,"Alto","Elevado"))))</f>
        <v>Baixo</v>
      </c>
      <c r="N1091" s="58" t="s">
        <v>486</v>
      </c>
      <c r="O1091" s="54"/>
    </row>
    <row r="1092" spans="1:15" ht="13.5" customHeight="1" x14ac:dyDescent="0.25">
      <c r="A1092" s="13" t="s">
        <v>2554</v>
      </c>
      <c r="B1092" s="49" t="s">
        <v>2551</v>
      </c>
      <c r="C1092" s="14" t="s">
        <v>2555</v>
      </c>
      <c r="D1092" s="50" t="s">
        <v>2553</v>
      </c>
      <c r="E1092" s="65" t="s">
        <v>841</v>
      </c>
      <c r="F1092" s="54" t="s">
        <v>485</v>
      </c>
      <c r="G1092" s="54" t="s">
        <v>485</v>
      </c>
      <c r="H1092" s="54" t="s">
        <v>485</v>
      </c>
      <c r="I1092" s="43">
        <f>'01_PARÂMETROS'!$B$9</f>
        <v>50</v>
      </c>
      <c r="J1092" s="44">
        <f t="shared" si="51"/>
        <v>0.9</v>
      </c>
      <c r="K1092" s="62">
        <f>MAX('01_PARÂMETROS'!$B$11,MIN('01_PARÂMETROS'!$B$12,J1092))</f>
        <v>0.9</v>
      </c>
      <c r="L1092" s="63">
        <f t="shared" si="49"/>
        <v>-9.9999999999999978E-2</v>
      </c>
      <c r="M1092" s="17" t="str">
        <f>IF(K1092&lt;='01_PARÂMETROS'!$B$14,"Preferencial",IF(K1092&lt;='01_PARÂMETROS'!$B$15,"Baixo",IF(K1092&lt;='01_PARÂMETROS'!$B$16,"Médio",IF(K1092&lt;='01_PARÂMETROS'!$B$17,"Alto","Elevado"))))</f>
        <v>Baixo</v>
      </c>
      <c r="N1092" s="58" t="s">
        <v>486</v>
      </c>
      <c r="O1092" s="61"/>
    </row>
    <row r="1093" spans="1:15" ht="13.5" customHeight="1" x14ac:dyDescent="0.25">
      <c r="A1093" s="24" t="s">
        <v>2556</v>
      </c>
      <c r="B1093" s="38" t="s">
        <v>2551</v>
      </c>
      <c r="C1093" s="25" t="s">
        <v>2557</v>
      </c>
      <c r="D1093" s="39" t="s">
        <v>2553</v>
      </c>
      <c r="E1093" s="65" t="s">
        <v>841</v>
      </c>
      <c r="F1093" s="54" t="s">
        <v>485</v>
      </c>
      <c r="G1093" s="54" t="s">
        <v>485</v>
      </c>
      <c r="H1093" s="54" t="s">
        <v>485</v>
      </c>
      <c r="I1093" s="43">
        <f>'01_PARÂMETROS'!$B$9</f>
        <v>50</v>
      </c>
      <c r="J1093" s="44">
        <f t="shared" si="51"/>
        <v>0.9</v>
      </c>
      <c r="K1093" s="62">
        <f>MAX('01_PARÂMETROS'!$B$11,MIN('01_PARÂMETROS'!$B$12,J1093))</f>
        <v>0.9</v>
      </c>
      <c r="L1093" s="63">
        <f t="shared" ref="L1093:L1156" si="52">(K1093-1)</f>
        <v>-9.9999999999999978E-2</v>
      </c>
      <c r="M1093" s="17" t="str">
        <f>IF(K1093&lt;='01_PARÂMETROS'!$B$14,"Preferencial",IF(K1093&lt;='01_PARÂMETROS'!$B$15,"Baixo",IF(K1093&lt;='01_PARÂMETROS'!$B$16,"Médio",IF(K1093&lt;='01_PARÂMETROS'!$B$17,"Alto","Elevado"))))</f>
        <v>Baixo</v>
      </c>
      <c r="N1093" s="58" t="s">
        <v>486</v>
      </c>
      <c r="O1093" s="54"/>
    </row>
    <row r="1094" spans="1:15" ht="13.5" customHeight="1" x14ac:dyDescent="0.25">
      <c r="A1094" s="13" t="s">
        <v>2558</v>
      </c>
      <c r="B1094" s="49" t="s">
        <v>2551</v>
      </c>
      <c r="C1094" s="14" t="s">
        <v>2559</v>
      </c>
      <c r="D1094" s="50" t="s">
        <v>2553</v>
      </c>
      <c r="E1094" s="65" t="s">
        <v>841</v>
      </c>
      <c r="F1094" s="54" t="s">
        <v>485</v>
      </c>
      <c r="G1094" s="54" t="s">
        <v>485</v>
      </c>
      <c r="H1094" s="54" t="s">
        <v>485</v>
      </c>
      <c r="I1094" s="43">
        <f>'01_PARÂMETROS'!$B$9</f>
        <v>50</v>
      </c>
      <c r="J1094" s="44">
        <f t="shared" si="51"/>
        <v>0.9</v>
      </c>
      <c r="K1094" s="62">
        <f>MAX('01_PARÂMETROS'!$B$11,MIN('01_PARÂMETROS'!$B$12,J1094))</f>
        <v>0.9</v>
      </c>
      <c r="L1094" s="63">
        <f t="shared" si="52"/>
        <v>-9.9999999999999978E-2</v>
      </c>
      <c r="M1094" s="17" t="str">
        <f>IF(K1094&lt;='01_PARÂMETROS'!$B$14,"Preferencial",IF(K1094&lt;='01_PARÂMETROS'!$B$15,"Baixo",IF(K1094&lt;='01_PARÂMETROS'!$B$16,"Médio",IF(K1094&lt;='01_PARÂMETROS'!$B$17,"Alto","Elevado"))))</f>
        <v>Baixo</v>
      </c>
      <c r="N1094" s="58" t="s">
        <v>486</v>
      </c>
      <c r="O1094" s="61"/>
    </row>
    <row r="1095" spans="1:15" ht="13.5" customHeight="1" x14ac:dyDescent="0.25">
      <c r="A1095" s="24" t="s">
        <v>2560</v>
      </c>
      <c r="B1095" s="38" t="s">
        <v>2551</v>
      </c>
      <c r="C1095" s="25" t="s">
        <v>2561</v>
      </c>
      <c r="D1095" s="39" t="s">
        <v>2553</v>
      </c>
      <c r="E1095" s="65" t="s">
        <v>841</v>
      </c>
      <c r="F1095" s="54" t="s">
        <v>485</v>
      </c>
      <c r="G1095" s="54" t="s">
        <v>485</v>
      </c>
      <c r="H1095" s="54" t="s">
        <v>485</v>
      </c>
      <c r="I1095" s="43">
        <f>'01_PARÂMETROS'!$B$9</f>
        <v>50</v>
      </c>
      <c r="J1095" s="44">
        <f t="shared" si="51"/>
        <v>0.9</v>
      </c>
      <c r="K1095" s="62">
        <f>MAX('01_PARÂMETROS'!$B$11,MIN('01_PARÂMETROS'!$B$12,J1095))</f>
        <v>0.9</v>
      </c>
      <c r="L1095" s="63">
        <f t="shared" si="52"/>
        <v>-9.9999999999999978E-2</v>
      </c>
      <c r="M1095" s="17" t="str">
        <f>IF(K1095&lt;='01_PARÂMETROS'!$B$14,"Preferencial",IF(K1095&lt;='01_PARÂMETROS'!$B$15,"Baixo",IF(K1095&lt;='01_PARÂMETROS'!$B$16,"Médio",IF(K1095&lt;='01_PARÂMETROS'!$B$17,"Alto","Elevado"))))</f>
        <v>Baixo</v>
      </c>
      <c r="N1095" s="58" t="s">
        <v>486</v>
      </c>
      <c r="O1095" s="54"/>
    </row>
    <row r="1096" spans="1:15" ht="13.5" customHeight="1" x14ac:dyDescent="0.25">
      <c r="A1096" s="13" t="s">
        <v>2562</v>
      </c>
      <c r="B1096" s="49" t="s">
        <v>2551</v>
      </c>
      <c r="C1096" s="14" t="s">
        <v>2563</v>
      </c>
      <c r="D1096" s="50" t="s">
        <v>2553</v>
      </c>
      <c r="E1096" s="65" t="s">
        <v>841</v>
      </c>
      <c r="F1096" s="54" t="s">
        <v>485</v>
      </c>
      <c r="G1096" s="54" t="s">
        <v>485</v>
      </c>
      <c r="H1096" s="54" t="s">
        <v>485</v>
      </c>
      <c r="I1096" s="43">
        <f>'01_PARÂMETROS'!$B$9</f>
        <v>50</v>
      </c>
      <c r="J1096" s="44">
        <f t="shared" si="51"/>
        <v>0.9</v>
      </c>
      <c r="K1096" s="62">
        <f>MAX('01_PARÂMETROS'!$B$11,MIN('01_PARÂMETROS'!$B$12,J1096))</f>
        <v>0.9</v>
      </c>
      <c r="L1096" s="63">
        <f t="shared" si="52"/>
        <v>-9.9999999999999978E-2</v>
      </c>
      <c r="M1096" s="17" t="str">
        <f>IF(K1096&lt;='01_PARÂMETROS'!$B$14,"Preferencial",IF(K1096&lt;='01_PARÂMETROS'!$B$15,"Baixo",IF(K1096&lt;='01_PARÂMETROS'!$B$16,"Médio",IF(K1096&lt;='01_PARÂMETROS'!$B$17,"Alto","Elevado"))))</f>
        <v>Baixo</v>
      </c>
      <c r="N1096" s="58" t="s">
        <v>486</v>
      </c>
      <c r="O1096" s="61"/>
    </row>
    <row r="1097" spans="1:15" ht="13.5" customHeight="1" x14ac:dyDescent="0.25">
      <c r="A1097" s="24" t="s">
        <v>2564</v>
      </c>
      <c r="B1097" s="38" t="s">
        <v>2551</v>
      </c>
      <c r="C1097" s="25" t="s">
        <v>2565</v>
      </c>
      <c r="D1097" s="39" t="s">
        <v>2405</v>
      </c>
      <c r="E1097" s="65" t="s">
        <v>841</v>
      </c>
      <c r="F1097" s="54" t="s">
        <v>485</v>
      </c>
      <c r="G1097" s="54" t="s">
        <v>485</v>
      </c>
      <c r="H1097" s="54" t="s">
        <v>485</v>
      </c>
      <c r="I1097" s="43">
        <f>'01_PARÂMETROS'!$B$9</f>
        <v>50</v>
      </c>
      <c r="J1097" s="44">
        <f t="shared" si="51"/>
        <v>0.9</v>
      </c>
      <c r="K1097" s="62">
        <f>MAX('01_PARÂMETROS'!$B$11,MIN('01_PARÂMETROS'!$B$12,J1097))</f>
        <v>0.9</v>
      </c>
      <c r="L1097" s="63">
        <f t="shared" si="52"/>
        <v>-9.9999999999999978E-2</v>
      </c>
      <c r="M1097" s="17" t="str">
        <f>IF(K1097&lt;='01_PARÂMETROS'!$B$14,"Preferencial",IF(K1097&lt;='01_PARÂMETROS'!$B$15,"Baixo",IF(K1097&lt;='01_PARÂMETROS'!$B$16,"Médio",IF(K1097&lt;='01_PARÂMETROS'!$B$17,"Alto","Elevado"))))</f>
        <v>Baixo</v>
      </c>
      <c r="N1097" s="58" t="s">
        <v>486</v>
      </c>
      <c r="O1097" s="54"/>
    </row>
    <row r="1098" spans="1:15" ht="13.5" customHeight="1" x14ac:dyDescent="0.25">
      <c r="A1098" s="13" t="s">
        <v>2566</v>
      </c>
      <c r="B1098" s="49" t="s">
        <v>2551</v>
      </c>
      <c r="C1098" s="14" t="s">
        <v>2567</v>
      </c>
      <c r="D1098" s="50" t="s">
        <v>2568</v>
      </c>
      <c r="E1098" s="40" t="s">
        <v>477</v>
      </c>
      <c r="F1098" s="54" t="s">
        <v>485</v>
      </c>
      <c r="G1098" s="54" t="s">
        <v>485</v>
      </c>
      <c r="H1098" s="54" t="s">
        <v>485</v>
      </c>
      <c r="I1098" s="43">
        <f>'01_PARÂMETROS'!$B$9</f>
        <v>50</v>
      </c>
      <c r="J1098" s="44">
        <f>1</f>
        <v>1</v>
      </c>
      <c r="K1098" s="55">
        <f>MAX('01_PARÂMETROS'!$B$11,MIN('01_PARÂMETROS'!$B$12,J1098))</f>
        <v>1</v>
      </c>
      <c r="L1098" s="56">
        <f t="shared" si="52"/>
        <v>0</v>
      </c>
      <c r="M1098" s="57" t="str">
        <f>IF(K1098&lt;='01_PARÂMETROS'!$B$14,"Preferencial",IF(K1098&lt;='01_PARÂMETROS'!$B$15,"Baixo",IF(K1098&lt;='01_PARÂMETROS'!$B$16,"Médio",IF(K1098&lt;='01_PARÂMETROS'!$B$17,"Alto","Elevado"))))</f>
        <v>Médio</v>
      </c>
      <c r="N1098" s="58" t="s">
        <v>486</v>
      </c>
      <c r="O1098" s="61"/>
    </row>
    <row r="1099" spans="1:15" ht="13.5" customHeight="1" x14ac:dyDescent="0.25">
      <c r="A1099" s="24" t="s">
        <v>2569</v>
      </c>
      <c r="B1099" s="38" t="s">
        <v>2551</v>
      </c>
      <c r="C1099" s="25" t="s">
        <v>2570</v>
      </c>
      <c r="D1099" s="39" t="s">
        <v>2568</v>
      </c>
      <c r="E1099" s="40" t="s">
        <v>477</v>
      </c>
      <c r="F1099" s="54" t="s">
        <v>485</v>
      </c>
      <c r="G1099" s="54" t="s">
        <v>485</v>
      </c>
      <c r="H1099" s="54" t="s">
        <v>485</v>
      </c>
      <c r="I1099" s="43">
        <f>'01_PARÂMETROS'!$B$9</f>
        <v>50</v>
      </c>
      <c r="J1099" s="44">
        <f>1</f>
        <v>1</v>
      </c>
      <c r="K1099" s="55">
        <f>MAX('01_PARÂMETROS'!$B$11,MIN('01_PARÂMETROS'!$B$12,J1099))</f>
        <v>1</v>
      </c>
      <c r="L1099" s="56">
        <f t="shared" si="52"/>
        <v>0</v>
      </c>
      <c r="M1099" s="57" t="str">
        <f>IF(K1099&lt;='01_PARÂMETROS'!$B$14,"Preferencial",IF(K1099&lt;='01_PARÂMETROS'!$B$15,"Baixo",IF(K1099&lt;='01_PARÂMETROS'!$B$16,"Médio",IF(K1099&lt;='01_PARÂMETROS'!$B$17,"Alto","Elevado"))))</f>
        <v>Médio</v>
      </c>
      <c r="N1099" s="58" t="s">
        <v>486</v>
      </c>
      <c r="O1099" s="54"/>
    </row>
    <row r="1100" spans="1:15" ht="13.5" customHeight="1" x14ac:dyDescent="0.25">
      <c r="A1100" s="13" t="s">
        <v>2571</v>
      </c>
      <c r="B1100" s="49" t="s">
        <v>2551</v>
      </c>
      <c r="C1100" s="14" t="s">
        <v>2572</v>
      </c>
      <c r="D1100" s="50" t="s">
        <v>2568</v>
      </c>
      <c r="E1100" s="40" t="s">
        <v>477</v>
      </c>
      <c r="F1100" s="54" t="s">
        <v>485</v>
      </c>
      <c r="G1100" s="54" t="s">
        <v>485</v>
      </c>
      <c r="H1100" s="54" t="s">
        <v>485</v>
      </c>
      <c r="I1100" s="43">
        <f>'01_PARÂMETROS'!$B$9</f>
        <v>50</v>
      </c>
      <c r="J1100" s="44">
        <f>1</f>
        <v>1</v>
      </c>
      <c r="K1100" s="55">
        <f>MAX('01_PARÂMETROS'!$B$11,MIN('01_PARÂMETROS'!$B$12,J1100))</f>
        <v>1</v>
      </c>
      <c r="L1100" s="56">
        <f t="shared" si="52"/>
        <v>0</v>
      </c>
      <c r="M1100" s="57" t="str">
        <f>IF(K1100&lt;='01_PARÂMETROS'!$B$14,"Preferencial",IF(K1100&lt;='01_PARÂMETROS'!$B$15,"Baixo",IF(K1100&lt;='01_PARÂMETROS'!$B$16,"Médio",IF(K1100&lt;='01_PARÂMETROS'!$B$17,"Alto","Elevado"))))</f>
        <v>Médio</v>
      </c>
      <c r="N1100" s="58" t="s">
        <v>486</v>
      </c>
      <c r="O1100" s="61"/>
    </row>
    <row r="1101" spans="1:15" ht="13.5" customHeight="1" x14ac:dyDescent="0.25">
      <c r="A1101" s="24" t="s">
        <v>2573</v>
      </c>
      <c r="B1101" s="38" t="s">
        <v>2551</v>
      </c>
      <c r="C1101" s="25" t="s">
        <v>2574</v>
      </c>
      <c r="D1101" s="39" t="s">
        <v>2568</v>
      </c>
      <c r="E1101" s="40" t="s">
        <v>477</v>
      </c>
      <c r="F1101" s="54" t="s">
        <v>485</v>
      </c>
      <c r="G1101" s="54" t="s">
        <v>485</v>
      </c>
      <c r="H1101" s="54" t="s">
        <v>485</v>
      </c>
      <c r="I1101" s="43">
        <f>'01_PARÂMETROS'!$B$9</f>
        <v>50</v>
      </c>
      <c r="J1101" s="44">
        <f>1</f>
        <v>1</v>
      </c>
      <c r="K1101" s="55">
        <f>MAX('01_PARÂMETROS'!$B$11,MIN('01_PARÂMETROS'!$B$12,J1101))</f>
        <v>1</v>
      </c>
      <c r="L1101" s="56">
        <f t="shared" si="52"/>
        <v>0</v>
      </c>
      <c r="M1101" s="57" t="str">
        <f>IF(K1101&lt;='01_PARÂMETROS'!$B$14,"Preferencial",IF(K1101&lt;='01_PARÂMETROS'!$B$15,"Baixo",IF(K1101&lt;='01_PARÂMETROS'!$B$16,"Médio",IF(K1101&lt;='01_PARÂMETROS'!$B$17,"Alto","Elevado"))))</f>
        <v>Médio</v>
      </c>
      <c r="N1101" s="58" t="s">
        <v>486</v>
      </c>
      <c r="O1101" s="54"/>
    </row>
    <row r="1102" spans="1:15" ht="13.5" customHeight="1" x14ac:dyDescent="0.25">
      <c r="A1102" s="13" t="s">
        <v>2575</v>
      </c>
      <c r="B1102" s="49" t="s">
        <v>2551</v>
      </c>
      <c r="C1102" s="14" t="s">
        <v>2576</v>
      </c>
      <c r="D1102" s="50" t="s">
        <v>2568</v>
      </c>
      <c r="E1102" s="40" t="s">
        <v>477</v>
      </c>
      <c r="F1102" s="54" t="s">
        <v>485</v>
      </c>
      <c r="G1102" s="54" t="s">
        <v>485</v>
      </c>
      <c r="H1102" s="54" t="s">
        <v>485</v>
      </c>
      <c r="I1102" s="43">
        <f>'01_PARÂMETROS'!$B$9</f>
        <v>50</v>
      </c>
      <c r="J1102" s="44">
        <f>1</f>
        <v>1</v>
      </c>
      <c r="K1102" s="55">
        <f>MAX('01_PARÂMETROS'!$B$11,MIN('01_PARÂMETROS'!$B$12,J1102))</f>
        <v>1</v>
      </c>
      <c r="L1102" s="56">
        <f t="shared" si="52"/>
        <v>0</v>
      </c>
      <c r="M1102" s="57" t="str">
        <f>IF(K1102&lt;='01_PARÂMETROS'!$B$14,"Preferencial",IF(K1102&lt;='01_PARÂMETROS'!$B$15,"Baixo",IF(K1102&lt;='01_PARÂMETROS'!$B$16,"Médio",IF(K1102&lt;='01_PARÂMETROS'!$B$17,"Alto","Elevado"))))</f>
        <v>Médio</v>
      </c>
      <c r="N1102" s="58" t="s">
        <v>486</v>
      </c>
      <c r="O1102" s="61"/>
    </row>
    <row r="1103" spans="1:15" ht="13.5" customHeight="1" x14ac:dyDescent="0.25">
      <c r="A1103" s="24" t="s">
        <v>2577</v>
      </c>
      <c r="B1103" s="38" t="s">
        <v>2551</v>
      </c>
      <c r="C1103" s="25" t="s">
        <v>2578</v>
      </c>
      <c r="D1103" s="39" t="s">
        <v>2568</v>
      </c>
      <c r="E1103" s="40" t="s">
        <v>477</v>
      </c>
      <c r="F1103" s="54" t="s">
        <v>485</v>
      </c>
      <c r="G1103" s="54" t="s">
        <v>485</v>
      </c>
      <c r="H1103" s="54" t="s">
        <v>485</v>
      </c>
      <c r="I1103" s="43">
        <f>'01_PARÂMETROS'!$B$9</f>
        <v>50</v>
      </c>
      <c r="J1103" s="44">
        <f>1</f>
        <v>1</v>
      </c>
      <c r="K1103" s="55">
        <f>MAX('01_PARÂMETROS'!$B$11,MIN('01_PARÂMETROS'!$B$12,J1103))</f>
        <v>1</v>
      </c>
      <c r="L1103" s="56">
        <f t="shared" si="52"/>
        <v>0</v>
      </c>
      <c r="M1103" s="57" t="str">
        <f>IF(K1103&lt;='01_PARÂMETROS'!$B$14,"Preferencial",IF(K1103&lt;='01_PARÂMETROS'!$B$15,"Baixo",IF(K1103&lt;='01_PARÂMETROS'!$B$16,"Médio",IF(K1103&lt;='01_PARÂMETROS'!$B$17,"Alto","Elevado"))))</f>
        <v>Médio</v>
      </c>
      <c r="N1103" s="58" t="s">
        <v>486</v>
      </c>
      <c r="O1103" s="54"/>
    </row>
    <row r="1104" spans="1:15" ht="13.5" customHeight="1" x14ac:dyDescent="0.25">
      <c r="A1104" s="13" t="s">
        <v>2579</v>
      </c>
      <c r="B1104" s="49" t="s">
        <v>2551</v>
      </c>
      <c r="C1104" s="14" t="s">
        <v>2580</v>
      </c>
      <c r="D1104" s="50" t="s">
        <v>2568</v>
      </c>
      <c r="E1104" s="40" t="s">
        <v>477</v>
      </c>
      <c r="F1104" s="54" t="s">
        <v>485</v>
      </c>
      <c r="G1104" s="54" t="s">
        <v>485</v>
      </c>
      <c r="H1104" s="54" t="s">
        <v>485</v>
      </c>
      <c r="I1104" s="43">
        <f>'01_PARÂMETROS'!$B$9</f>
        <v>50</v>
      </c>
      <c r="J1104" s="44">
        <f>1</f>
        <v>1</v>
      </c>
      <c r="K1104" s="55">
        <f>MAX('01_PARÂMETROS'!$B$11,MIN('01_PARÂMETROS'!$B$12,J1104))</f>
        <v>1</v>
      </c>
      <c r="L1104" s="56">
        <f t="shared" si="52"/>
        <v>0</v>
      </c>
      <c r="M1104" s="57" t="str">
        <f>IF(K1104&lt;='01_PARÂMETROS'!$B$14,"Preferencial",IF(K1104&lt;='01_PARÂMETROS'!$B$15,"Baixo",IF(K1104&lt;='01_PARÂMETROS'!$B$16,"Médio",IF(K1104&lt;='01_PARÂMETROS'!$B$17,"Alto","Elevado"))))</f>
        <v>Médio</v>
      </c>
      <c r="N1104" s="58" t="s">
        <v>486</v>
      </c>
      <c r="O1104" s="61"/>
    </row>
    <row r="1105" spans="1:15" ht="13.5" customHeight="1" x14ac:dyDescent="0.25">
      <c r="A1105" s="24" t="s">
        <v>2581</v>
      </c>
      <c r="B1105" s="38" t="s">
        <v>2551</v>
      </c>
      <c r="C1105" s="25" t="s">
        <v>2582</v>
      </c>
      <c r="D1105" s="39" t="s">
        <v>2568</v>
      </c>
      <c r="E1105" s="40" t="s">
        <v>477</v>
      </c>
      <c r="F1105" s="54" t="s">
        <v>485</v>
      </c>
      <c r="G1105" s="54" t="s">
        <v>485</v>
      </c>
      <c r="H1105" s="54" t="s">
        <v>485</v>
      </c>
      <c r="I1105" s="43">
        <f>'01_PARÂMETROS'!$B$9</f>
        <v>50</v>
      </c>
      <c r="J1105" s="44">
        <f>1</f>
        <v>1</v>
      </c>
      <c r="K1105" s="55">
        <f>MAX('01_PARÂMETROS'!$B$11,MIN('01_PARÂMETROS'!$B$12,J1105))</f>
        <v>1</v>
      </c>
      <c r="L1105" s="56">
        <f t="shared" si="52"/>
        <v>0</v>
      </c>
      <c r="M1105" s="57" t="str">
        <f>IF(K1105&lt;='01_PARÂMETROS'!$B$14,"Preferencial",IF(K1105&lt;='01_PARÂMETROS'!$B$15,"Baixo",IF(K1105&lt;='01_PARÂMETROS'!$B$16,"Médio",IF(K1105&lt;='01_PARÂMETROS'!$B$17,"Alto","Elevado"))))</f>
        <v>Médio</v>
      </c>
      <c r="N1105" s="58" t="s">
        <v>486</v>
      </c>
      <c r="O1105" s="54"/>
    </row>
    <row r="1106" spans="1:15" ht="13.5" customHeight="1" x14ac:dyDescent="0.25">
      <c r="A1106" s="13" t="s">
        <v>2583</v>
      </c>
      <c r="B1106" s="49" t="s">
        <v>2551</v>
      </c>
      <c r="C1106" s="14" t="s">
        <v>2584</v>
      </c>
      <c r="D1106" s="50" t="s">
        <v>2585</v>
      </c>
      <c r="E1106" s="40" t="s">
        <v>477</v>
      </c>
      <c r="F1106" s="54" t="s">
        <v>485</v>
      </c>
      <c r="G1106" s="54" t="s">
        <v>485</v>
      </c>
      <c r="H1106" s="54" t="s">
        <v>485</v>
      </c>
      <c r="I1106" s="43">
        <f>'01_PARÂMETROS'!$B$9</f>
        <v>50</v>
      </c>
      <c r="J1106" s="44">
        <f>1</f>
        <v>1</v>
      </c>
      <c r="K1106" s="55">
        <f>MAX('01_PARÂMETROS'!$B$11,MIN('01_PARÂMETROS'!$B$12,J1106))</f>
        <v>1</v>
      </c>
      <c r="L1106" s="56">
        <f t="shared" si="52"/>
        <v>0</v>
      </c>
      <c r="M1106" s="57" t="str">
        <f>IF(K1106&lt;='01_PARÂMETROS'!$B$14,"Preferencial",IF(K1106&lt;='01_PARÂMETROS'!$B$15,"Baixo",IF(K1106&lt;='01_PARÂMETROS'!$B$16,"Médio",IF(K1106&lt;='01_PARÂMETROS'!$B$17,"Alto","Elevado"))))</f>
        <v>Médio</v>
      </c>
      <c r="N1106" s="58" t="s">
        <v>486</v>
      </c>
      <c r="O1106" s="61"/>
    </row>
    <row r="1107" spans="1:15" ht="13.5" customHeight="1" x14ac:dyDescent="0.25">
      <c r="A1107" s="24" t="s">
        <v>2586</v>
      </c>
      <c r="B1107" s="38" t="s">
        <v>2551</v>
      </c>
      <c r="C1107" s="25" t="s">
        <v>2587</v>
      </c>
      <c r="D1107" s="39" t="s">
        <v>2585</v>
      </c>
      <c r="E1107" s="40" t="s">
        <v>477</v>
      </c>
      <c r="F1107" s="54" t="s">
        <v>485</v>
      </c>
      <c r="G1107" s="54" t="s">
        <v>485</v>
      </c>
      <c r="H1107" s="54" t="s">
        <v>485</v>
      </c>
      <c r="I1107" s="43">
        <f>'01_PARÂMETROS'!$B$9</f>
        <v>50</v>
      </c>
      <c r="J1107" s="44">
        <f>1</f>
        <v>1</v>
      </c>
      <c r="K1107" s="55">
        <f>MAX('01_PARÂMETROS'!$B$11,MIN('01_PARÂMETROS'!$B$12,J1107))</f>
        <v>1</v>
      </c>
      <c r="L1107" s="56">
        <f t="shared" si="52"/>
        <v>0</v>
      </c>
      <c r="M1107" s="57" t="str">
        <f>IF(K1107&lt;='01_PARÂMETROS'!$B$14,"Preferencial",IF(K1107&lt;='01_PARÂMETROS'!$B$15,"Baixo",IF(K1107&lt;='01_PARÂMETROS'!$B$16,"Médio",IF(K1107&lt;='01_PARÂMETROS'!$B$17,"Alto","Elevado"))))</f>
        <v>Médio</v>
      </c>
      <c r="N1107" s="58" t="s">
        <v>486</v>
      </c>
      <c r="O1107" s="54"/>
    </row>
    <row r="1108" spans="1:15" ht="13.5" customHeight="1" x14ac:dyDescent="0.25">
      <c r="A1108" s="13" t="s">
        <v>2588</v>
      </c>
      <c r="B1108" s="49" t="s">
        <v>2551</v>
      </c>
      <c r="C1108" s="14" t="s">
        <v>2589</v>
      </c>
      <c r="D1108" s="50" t="s">
        <v>2590</v>
      </c>
      <c r="E1108" s="65" t="s">
        <v>841</v>
      </c>
      <c r="F1108" s="54" t="s">
        <v>485</v>
      </c>
      <c r="G1108" s="54" t="s">
        <v>485</v>
      </c>
      <c r="H1108" s="54" t="s">
        <v>485</v>
      </c>
      <c r="I1108" s="43">
        <f>'01_PARÂMETROS'!$B$9</f>
        <v>50</v>
      </c>
      <c r="J1108" s="44">
        <f t="shared" ref="J1108:J1129" si="53">0.9</f>
        <v>0.9</v>
      </c>
      <c r="K1108" s="62">
        <f>MAX('01_PARÂMETROS'!$B$11,MIN('01_PARÂMETROS'!$B$12,J1108))</f>
        <v>0.9</v>
      </c>
      <c r="L1108" s="63">
        <f t="shared" si="52"/>
        <v>-9.9999999999999978E-2</v>
      </c>
      <c r="M1108" s="17" t="str">
        <f>IF(K1108&lt;='01_PARÂMETROS'!$B$14,"Preferencial",IF(K1108&lt;='01_PARÂMETROS'!$B$15,"Baixo",IF(K1108&lt;='01_PARÂMETROS'!$B$16,"Médio",IF(K1108&lt;='01_PARÂMETROS'!$B$17,"Alto","Elevado"))))</f>
        <v>Baixo</v>
      </c>
      <c r="N1108" s="58" t="s">
        <v>486</v>
      </c>
      <c r="O1108" s="61"/>
    </row>
    <row r="1109" spans="1:15" ht="13.5" customHeight="1" x14ac:dyDescent="0.25">
      <c r="A1109" s="24" t="s">
        <v>2591</v>
      </c>
      <c r="B1109" s="38" t="s">
        <v>2551</v>
      </c>
      <c r="C1109" s="25" t="s">
        <v>2592</v>
      </c>
      <c r="D1109" s="39" t="s">
        <v>2590</v>
      </c>
      <c r="E1109" s="65" t="s">
        <v>841</v>
      </c>
      <c r="F1109" s="54" t="s">
        <v>485</v>
      </c>
      <c r="G1109" s="54" t="s">
        <v>485</v>
      </c>
      <c r="H1109" s="54" t="s">
        <v>485</v>
      </c>
      <c r="I1109" s="43">
        <f>'01_PARÂMETROS'!$B$9</f>
        <v>50</v>
      </c>
      <c r="J1109" s="44">
        <f t="shared" si="53"/>
        <v>0.9</v>
      </c>
      <c r="K1109" s="62">
        <f>MAX('01_PARÂMETROS'!$B$11,MIN('01_PARÂMETROS'!$B$12,J1109))</f>
        <v>0.9</v>
      </c>
      <c r="L1109" s="63">
        <f t="shared" si="52"/>
        <v>-9.9999999999999978E-2</v>
      </c>
      <c r="M1109" s="17" t="str">
        <f>IF(K1109&lt;='01_PARÂMETROS'!$B$14,"Preferencial",IF(K1109&lt;='01_PARÂMETROS'!$B$15,"Baixo",IF(K1109&lt;='01_PARÂMETROS'!$B$16,"Médio",IF(K1109&lt;='01_PARÂMETROS'!$B$17,"Alto","Elevado"))))</f>
        <v>Baixo</v>
      </c>
      <c r="N1109" s="58" t="s">
        <v>486</v>
      </c>
      <c r="O1109" s="54"/>
    </row>
    <row r="1110" spans="1:15" ht="13.5" customHeight="1" x14ac:dyDescent="0.25">
      <c r="A1110" s="13" t="s">
        <v>2593</v>
      </c>
      <c r="B1110" s="49" t="s">
        <v>2551</v>
      </c>
      <c r="C1110" s="14" t="s">
        <v>2594</v>
      </c>
      <c r="D1110" s="50" t="s">
        <v>2590</v>
      </c>
      <c r="E1110" s="65" t="s">
        <v>841</v>
      </c>
      <c r="F1110" s="54" t="s">
        <v>485</v>
      </c>
      <c r="G1110" s="54" t="s">
        <v>485</v>
      </c>
      <c r="H1110" s="54" t="s">
        <v>485</v>
      </c>
      <c r="I1110" s="43">
        <f>'01_PARÂMETROS'!$B$9</f>
        <v>50</v>
      </c>
      <c r="J1110" s="44">
        <f t="shared" si="53"/>
        <v>0.9</v>
      </c>
      <c r="K1110" s="62">
        <f>MAX('01_PARÂMETROS'!$B$11,MIN('01_PARÂMETROS'!$B$12,J1110))</f>
        <v>0.9</v>
      </c>
      <c r="L1110" s="63">
        <f t="shared" si="52"/>
        <v>-9.9999999999999978E-2</v>
      </c>
      <c r="M1110" s="17" t="str">
        <f>IF(K1110&lt;='01_PARÂMETROS'!$B$14,"Preferencial",IF(K1110&lt;='01_PARÂMETROS'!$B$15,"Baixo",IF(K1110&lt;='01_PARÂMETROS'!$B$16,"Médio",IF(K1110&lt;='01_PARÂMETROS'!$B$17,"Alto","Elevado"))))</f>
        <v>Baixo</v>
      </c>
      <c r="N1110" s="58" t="s">
        <v>486</v>
      </c>
      <c r="O1110" s="61"/>
    </row>
    <row r="1111" spans="1:15" ht="13.5" customHeight="1" x14ac:dyDescent="0.25">
      <c r="A1111" s="24" t="s">
        <v>2595</v>
      </c>
      <c r="B1111" s="38" t="s">
        <v>2551</v>
      </c>
      <c r="C1111" s="25" t="s">
        <v>2596</v>
      </c>
      <c r="D1111" s="39" t="s">
        <v>2590</v>
      </c>
      <c r="E1111" s="65" t="s">
        <v>841</v>
      </c>
      <c r="F1111" s="54" t="s">
        <v>485</v>
      </c>
      <c r="G1111" s="54" t="s">
        <v>485</v>
      </c>
      <c r="H1111" s="54" t="s">
        <v>485</v>
      </c>
      <c r="I1111" s="43">
        <f>'01_PARÂMETROS'!$B$9</f>
        <v>50</v>
      </c>
      <c r="J1111" s="44">
        <f t="shared" si="53"/>
        <v>0.9</v>
      </c>
      <c r="K1111" s="62">
        <f>MAX('01_PARÂMETROS'!$B$11,MIN('01_PARÂMETROS'!$B$12,J1111))</f>
        <v>0.9</v>
      </c>
      <c r="L1111" s="63">
        <f t="shared" si="52"/>
        <v>-9.9999999999999978E-2</v>
      </c>
      <c r="M1111" s="17" t="str">
        <f>IF(K1111&lt;='01_PARÂMETROS'!$B$14,"Preferencial",IF(K1111&lt;='01_PARÂMETROS'!$B$15,"Baixo",IF(K1111&lt;='01_PARÂMETROS'!$B$16,"Médio",IF(K1111&lt;='01_PARÂMETROS'!$B$17,"Alto","Elevado"))))</f>
        <v>Baixo</v>
      </c>
      <c r="N1111" s="58" t="s">
        <v>486</v>
      </c>
      <c r="O1111" s="54"/>
    </row>
    <row r="1112" spans="1:15" ht="13.5" customHeight="1" x14ac:dyDescent="0.25">
      <c r="A1112" s="13" t="s">
        <v>2597</v>
      </c>
      <c r="B1112" s="49" t="s">
        <v>2551</v>
      </c>
      <c r="C1112" s="14" t="s">
        <v>2598</v>
      </c>
      <c r="D1112" s="50" t="s">
        <v>2590</v>
      </c>
      <c r="E1112" s="65" t="s">
        <v>841</v>
      </c>
      <c r="F1112" s="54" t="s">
        <v>485</v>
      </c>
      <c r="G1112" s="54" t="s">
        <v>485</v>
      </c>
      <c r="H1112" s="54" t="s">
        <v>485</v>
      </c>
      <c r="I1112" s="43">
        <f>'01_PARÂMETROS'!$B$9</f>
        <v>50</v>
      </c>
      <c r="J1112" s="44">
        <f t="shared" si="53"/>
        <v>0.9</v>
      </c>
      <c r="K1112" s="62">
        <f>MAX('01_PARÂMETROS'!$B$11,MIN('01_PARÂMETROS'!$B$12,J1112))</f>
        <v>0.9</v>
      </c>
      <c r="L1112" s="63">
        <f t="shared" si="52"/>
        <v>-9.9999999999999978E-2</v>
      </c>
      <c r="M1112" s="17" t="str">
        <f>IF(K1112&lt;='01_PARÂMETROS'!$B$14,"Preferencial",IF(K1112&lt;='01_PARÂMETROS'!$B$15,"Baixo",IF(K1112&lt;='01_PARÂMETROS'!$B$16,"Médio",IF(K1112&lt;='01_PARÂMETROS'!$B$17,"Alto","Elevado"))))</f>
        <v>Baixo</v>
      </c>
      <c r="N1112" s="58" t="s">
        <v>486</v>
      </c>
      <c r="O1112" s="61"/>
    </row>
    <row r="1113" spans="1:15" ht="13.5" customHeight="1" x14ac:dyDescent="0.25">
      <c r="A1113" s="24" t="s">
        <v>2599</v>
      </c>
      <c r="B1113" s="38" t="s">
        <v>2551</v>
      </c>
      <c r="C1113" s="25" t="s">
        <v>2600</v>
      </c>
      <c r="D1113" s="39" t="s">
        <v>2590</v>
      </c>
      <c r="E1113" s="65" t="s">
        <v>841</v>
      </c>
      <c r="F1113" s="54" t="s">
        <v>485</v>
      </c>
      <c r="G1113" s="54" t="s">
        <v>485</v>
      </c>
      <c r="H1113" s="54" t="s">
        <v>485</v>
      </c>
      <c r="I1113" s="43">
        <f>'01_PARÂMETROS'!$B$9</f>
        <v>50</v>
      </c>
      <c r="J1113" s="44">
        <f t="shared" si="53"/>
        <v>0.9</v>
      </c>
      <c r="K1113" s="62">
        <f>MAX('01_PARÂMETROS'!$B$11,MIN('01_PARÂMETROS'!$B$12,J1113))</f>
        <v>0.9</v>
      </c>
      <c r="L1113" s="63">
        <f t="shared" si="52"/>
        <v>-9.9999999999999978E-2</v>
      </c>
      <c r="M1113" s="17" t="str">
        <f>IF(K1113&lt;='01_PARÂMETROS'!$B$14,"Preferencial",IF(K1113&lt;='01_PARÂMETROS'!$B$15,"Baixo",IF(K1113&lt;='01_PARÂMETROS'!$B$16,"Médio",IF(K1113&lt;='01_PARÂMETROS'!$B$17,"Alto","Elevado"))))</f>
        <v>Baixo</v>
      </c>
      <c r="N1113" s="58" t="s">
        <v>486</v>
      </c>
      <c r="O1113" s="54"/>
    </row>
    <row r="1114" spans="1:15" ht="13.5" customHeight="1" x14ac:dyDescent="0.25">
      <c r="A1114" s="13" t="s">
        <v>2601</v>
      </c>
      <c r="B1114" s="49" t="s">
        <v>2551</v>
      </c>
      <c r="C1114" s="14" t="s">
        <v>2602</v>
      </c>
      <c r="D1114" s="50" t="s">
        <v>2590</v>
      </c>
      <c r="E1114" s="65" t="s">
        <v>841</v>
      </c>
      <c r="F1114" s="54" t="s">
        <v>485</v>
      </c>
      <c r="G1114" s="54" t="s">
        <v>485</v>
      </c>
      <c r="H1114" s="54" t="s">
        <v>485</v>
      </c>
      <c r="I1114" s="43">
        <f>'01_PARÂMETROS'!$B$9</f>
        <v>50</v>
      </c>
      <c r="J1114" s="44">
        <f t="shared" si="53"/>
        <v>0.9</v>
      </c>
      <c r="K1114" s="62">
        <f>MAX('01_PARÂMETROS'!$B$11,MIN('01_PARÂMETROS'!$B$12,J1114))</f>
        <v>0.9</v>
      </c>
      <c r="L1114" s="63">
        <f t="shared" si="52"/>
        <v>-9.9999999999999978E-2</v>
      </c>
      <c r="M1114" s="17" t="str">
        <f>IF(K1114&lt;='01_PARÂMETROS'!$B$14,"Preferencial",IF(K1114&lt;='01_PARÂMETROS'!$B$15,"Baixo",IF(K1114&lt;='01_PARÂMETROS'!$B$16,"Médio",IF(K1114&lt;='01_PARÂMETROS'!$B$17,"Alto","Elevado"))))</f>
        <v>Baixo</v>
      </c>
      <c r="N1114" s="58" t="s">
        <v>486</v>
      </c>
      <c r="O1114" s="61"/>
    </row>
    <row r="1115" spans="1:15" ht="13.5" customHeight="1" x14ac:dyDescent="0.25">
      <c r="A1115" s="24" t="s">
        <v>2603</v>
      </c>
      <c r="B1115" s="38" t="s">
        <v>2551</v>
      </c>
      <c r="C1115" s="25" t="s">
        <v>2604</v>
      </c>
      <c r="D1115" s="39" t="s">
        <v>2590</v>
      </c>
      <c r="E1115" s="65" t="s">
        <v>841</v>
      </c>
      <c r="F1115" s="54" t="s">
        <v>485</v>
      </c>
      <c r="G1115" s="54" t="s">
        <v>485</v>
      </c>
      <c r="H1115" s="54" t="s">
        <v>485</v>
      </c>
      <c r="I1115" s="43">
        <f>'01_PARÂMETROS'!$B$9</f>
        <v>50</v>
      </c>
      <c r="J1115" s="44">
        <f t="shared" si="53"/>
        <v>0.9</v>
      </c>
      <c r="K1115" s="62">
        <f>MAX('01_PARÂMETROS'!$B$11,MIN('01_PARÂMETROS'!$B$12,J1115))</f>
        <v>0.9</v>
      </c>
      <c r="L1115" s="63">
        <f t="shared" si="52"/>
        <v>-9.9999999999999978E-2</v>
      </c>
      <c r="M1115" s="17" t="str">
        <f>IF(K1115&lt;='01_PARÂMETROS'!$B$14,"Preferencial",IF(K1115&lt;='01_PARÂMETROS'!$B$15,"Baixo",IF(K1115&lt;='01_PARÂMETROS'!$B$16,"Médio",IF(K1115&lt;='01_PARÂMETROS'!$B$17,"Alto","Elevado"))))</f>
        <v>Baixo</v>
      </c>
      <c r="N1115" s="58" t="s">
        <v>486</v>
      </c>
      <c r="O1115" s="54"/>
    </row>
    <row r="1116" spans="1:15" ht="13.5" customHeight="1" x14ac:dyDescent="0.25">
      <c r="A1116" s="13" t="s">
        <v>2605</v>
      </c>
      <c r="B1116" s="49" t="s">
        <v>2551</v>
      </c>
      <c r="C1116" s="14" t="s">
        <v>2606</v>
      </c>
      <c r="D1116" s="50" t="s">
        <v>2607</v>
      </c>
      <c r="E1116" s="65" t="s">
        <v>841</v>
      </c>
      <c r="F1116" s="54" t="s">
        <v>485</v>
      </c>
      <c r="G1116" s="54" t="s">
        <v>485</v>
      </c>
      <c r="H1116" s="54" t="s">
        <v>485</v>
      </c>
      <c r="I1116" s="43">
        <f>'01_PARÂMETROS'!$B$9</f>
        <v>50</v>
      </c>
      <c r="J1116" s="44">
        <f t="shared" si="53"/>
        <v>0.9</v>
      </c>
      <c r="K1116" s="62">
        <f>MAX('01_PARÂMETROS'!$B$11,MIN('01_PARÂMETROS'!$B$12,J1116))</f>
        <v>0.9</v>
      </c>
      <c r="L1116" s="63">
        <f t="shared" si="52"/>
        <v>-9.9999999999999978E-2</v>
      </c>
      <c r="M1116" s="17" t="str">
        <f>IF(K1116&lt;='01_PARÂMETROS'!$B$14,"Preferencial",IF(K1116&lt;='01_PARÂMETROS'!$B$15,"Baixo",IF(K1116&lt;='01_PARÂMETROS'!$B$16,"Médio",IF(K1116&lt;='01_PARÂMETROS'!$B$17,"Alto","Elevado"))))</f>
        <v>Baixo</v>
      </c>
      <c r="N1116" s="58" t="s">
        <v>486</v>
      </c>
      <c r="O1116" s="61"/>
    </row>
    <row r="1117" spans="1:15" ht="13.5" customHeight="1" x14ac:dyDescent="0.25">
      <c r="A1117" s="24" t="s">
        <v>2608</v>
      </c>
      <c r="B1117" s="38" t="s">
        <v>2551</v>
      </c>
      <c r="C1117" s="25" t="s">
        <v>2609</v>
      </c>
      <c r="D1117" s="39" t="s">
        <v>2607</v>
      </c>
      <c r="E1117" s="65" t="s">
        <v>841</v>
      </c>
      <c r="F1117" s="54" t="s">
        <v>485</v>
      </c>
      <c r="G1117" s="54" t="s">
        <v>485</v>
      </c>
      <c r="H1117" s="54" t="s">
        <v>485</v>
      </c>
      <c r="I1117" s="43">
        <f>'01_PARÂMETROS'!$B$9</f>
        <v>50</v>
      </c>
      <c r="J1117" s="44">
        <f t="shared" si="53"/>
        <v>0.9</v>
      </c>
      <c r="K1117" s="62">
        <f>MAX('01_PARÂMETROS'!$B$11,MIN('01_PARÂMETROS'!$B$12,J1117))</f>
        <v>0.9</v>
      </c>
      <c r="L1117" s="63">
        <f t="shared" si="52"/>
        <v>-9.9999999999999978E-2</v>
      </c>
      <c r="M1117" s="17" t="str">
        <f>IF(K1117&lt;='01_PARÂMETROS'!$B$14,"Preferencial",IF(K1117&lt;='01_PARÂMETROS'!$B$15,"Baixo",IF(K1117&lt;='01_PARÂMETROS'!$B$16,"Médio",IF(K1117&lt;='01_PARÂMETROS'!$B$17,"Alto","Elevado"))))</f>
        <v>Baixo</v>
      </c>
      <c r="N1117" s="58" t="s">
        <v>486</v>
      </c>
      <c r="O1117" s="54"/>
    </row>
    <row r="1118" spans="1:15" ht="13.5" customHeight="1" x14ac:dyDescent="0.25">
      <c r="A1118" s="13" t="s">
        <v>2610</v>
      </c>
      <c r="B1118" s="49" t="s">
        <v>2551</v>
      </c>
      <c r="C1118" s="14" t="s">
        <v>2611</v>
      </c>
      <c r="D1118" s="50" t="s">
        <v>2607</v>
      </c>
      <c r="E1118" s="65" t="s">
        <v>841</v>
      </c>
      <c r="F1118" s="54" t="s">
        <v>485</v>
      </c>
      <c r="G1118" s="54" t="s">
        <v>485</v>
      </c>
      <c r="H1118" s="54" t="s">
        <v>485</v>
      </c>
      <c r="I1118" s="43">
        <f>'01_PARÂMETROS'!$B$9</f>
        <v>50</v>
      </c>
      <c r="J1118" s="44">
        <f t="shared" si="53"/>
        <v>0.9</v>
      </c>
      <c r="K1118" s="62">
        <f>MAX('01_PARÂMETROS'!$B$11,MIN('01_PARÂMETROS'!$B$12,J1118))</f>
        <v>0.9</v>
      </c>
      <c r="L1118" s="63">
        <f t="shared" si="52"/>
        <v>-9.9999999999999978E-2</v>
      </c>
      <c r="M1118" s="17" t="str">
        <f>IF(K1118&lt;='01_PARÂMETROS'!$B$14,"Preferencial",IF(K1118&lt;='01_PARÂMETROS'!$B$15,"Baixo",IF(K1118&lt;='01_PARÂMETROS'!$B$16,"Médio",IF(K1118&lt;='01_PARÂMETROS'!$B$17,"Alto","Elevado"))))</f>
        <v>Baixo</v>
      </c>
      <c r="N1118" s="58" t="s">
        <v>486</v>
      </c>
      <c r="O1118" s="61"/>
    </row>
    <row r="1119" spans="1:15" ht="13.5" customHeight="1" x14ac:dyDescent="0.25">
      <c r="A1119" s="24" t="s">
        <v>2612</v>
      </c>
      <c r="B1119" s="38" t="s">
        <v>2551</v>
      </c>
      <c r="C1119" s="25" t="s">
        <v>2613</v>
      </c>
      <c r="D1119" s="39" t="s">
        <v>2607</v>
      </c>
      <c r="E1119" s="65" t="s">
        <v>841</v>
      </c>
      <c r="F1119" s="54" t="s">
        <v>485</v>
      </c>
      <c r="G1119" s="54" t="s">
        <v>485</v>
      </c>
      <c r="H1119" s="54" t="s">
        <v>485</v>
      </c>
      <c r="I1119" s="43">
        <f>'01_PARÂMETROS'!$B$9</f>
        <v>50</v>
      </c>
      <c r="J1119" s="44">
        <f t="shared" si="53"/>
        <v>0.9</v>
      </c>
      <c r="K1119" s="62">
        <f>MAX('01_PARÂMETROS'!$B$11,MIN('01_PARÂMETROS'!$B$12,J1119))</f>
        <v>0.9</v>
      </c>
      <c r="L1119" s="63">
        <f t="shared" si="52"/>
        <v>-9.9999999999999978E-2</v>
      </c>
      <c r="M1119" s="17" t="str">
        <f>IF(K1119&lt;='01_PARÂMETROS'!$B$14,"Preferencial",IF(K1119&lt;='01_PARÂMETROS'!$B$15,"Baixo",IF(K1119&lt;='01_PARÂMETROS'!$B$16,"Médio",IF(K1119&lt;='01_PARÂMETROS'!$B$17,"Alto","Elevado"))))</f>
        <v>Baixo</v>
      </c>
      <c r="N1119" s="58" t="s">
        <v>486</v>
      </c>
      <c r="O1119" s="54"/>
    </row>
    <row r="1120" spans="1:15" ht="13.5" customHeight="1" x14ac:dyDescent="0.25">
      <c r="A1120" s="13" t="s">
        <v>2614</v>
      </c>
      <c r="B1120" s="49" t="s">
        <v>2551</v>
      </c>
      <c r="C1120" s="14" t="s">
        <v>2615</v>
      </c>
      <c r="D1120" s="50" t="s">
        <v>2607</v>
      </c>
      <c r="E1120" s="65" t="s">
        <v>841</v>
      </c>
      <c r="F1120" s="54" t="s">
        <v>485</v>
      </c>
      <c r="G1120" s="54" t="s">
        <v>485</v>
      </c>
      <c r="H1120" s="54" t="s">
        <v>485</v>
      </c>
      <c r="I1120" s="43">
        <f>'01_PARÂMETROS'!$B$9</f>
        <v>50</v>
      </c>
      <c r="J1120" s="44">
        <f t="shared" si="53"/>
        <v>0.9</v>
      </c>
      <c r="K1120" s="62">
        <f>MAX('01_PARÂMETROS'!$B$11,MIN('01_PARÂMETROS'!$B$12,J1120))</f>
        <v>0.9</v>
      </c>
      <c r="L1120" s="63">
        <f t="shared" si="52"/>
        <v>-9.9999999999999978E-2</v>
      </c>
      <c r="M1120" s="17" t="str">
        <f>IF(K1120&lt;='01_PARÂMETROS'!$B$14,"Preferencial",IF(K1120&lt;='01_PARÂMETROS'!$B$15,"Baixo",IF(K1120&lt;='01_PARÂMETROS'!$B$16,"Médio",IF(K1120&lt;='01_PARÂMETROS'!$B$17,"Alto","Elevado"))))</f>
        <v>Baixo</v>
      </c>
      <c r="N1120" s="58" t="s">
        <v>486</v>
      </c>
      <c r="O1120" s="61"/>
    </row>
    <row r="1121" spans="1:15" ht="13.5" customHeight="1" x14ac:dyDescent="0.25">
      <c r="A1121" s="24" t="s">
        <v>2616</v>
      </c>
      <c r="B1121" s="38" t="s">
        <v>2551</v>
      </c>
      <c r="C1121" s="25" t="s">
        <v>2617</v>
      </c>
      <c r="D1121" s="39" t="s">
        <v>2607</v>
      </c>
      <c r="E1121" s="65" t="s">
        <v>841</v>
      </c>
      <c r="F1121" s="54" t="s">
        <v>485</v>
      </c>
      <c r="G1121" s="54" t="s">
        <v>485</v>
      </c>
      <c r="H1121" s="54" t="s">
        <v>485</v>
      </c>
      <c r="I1121" s="43">
        <f>'01_PARÂMETROS'!$B$9</f>
        <v>50</v>
      </c>
      <c r="J1121" s="44">
        <f t="shared" si="53"/>
        <v>0.9</v>
      </c>
      <c r="K1121" s="62">
        <f>MAX('01_PARÂMETROS'!$B$11,MIN('01_PARÂMETROS'!$B$12,J1121))</f>
        <v>0.9</v>
      </c>
      <c r="L1121" s="63">
        <f t="shared" si="52"/>
        <v>-9.9999999999999978E-2</v>
      </c>
      <c r="M1121" s="17" t="str">
        <f>IF(K1121&lt;='01_PARÂMETROS'!$B$14,"Preferencial",IF(K1121&lt;='01_PARÂMETROS'!$B$15,"Baixo",IF(K1121&lt;='01_PARÂMETROS'!$B$16,"Médio",IF(K1121&lt;='01_PARÂMETROS'!$B$17,"Alto","Elevado"))))</f>
        <v>Baixo</v>
      </c>
      <c r="N1121" s="58" t="s">
        <v>486</v>
      </c>
      <c r="O1121" s="54"/>
    </row>
    <row r="1122" spans="1:15" ht="13.5" customHeight="1" x14ac:dyDescent="0.25">
      <c r="A1122" s="13" t="s">
        <v>2618</v>
      </c>
      <c r="B1122" s="49" t="s">
        <v>2551</v>
      </c>
      <c r="C1122" s="14" t="s">
        <v>2619</v>
      </c>
      <c r="D1122" s="50" t="s">
        <v>2607</v>
      </c>
      <c r="E1122" s="65" t="s">
        <v>841</v>
      </c>
      <c r="F1122" s="54" t="s">
        <v>485</v>
      </c>
      <c r="G1122" s="54" t="s">
        <v>485</v>
      </c>
      <c r="H1122" s="54" t="s">
        <v>485</v>
      </c>
      <c r="I1122" s="43">
        <f>'01_PARÂMETROS'!$B$9</f>
        <v>50</v>
      </c>
      <c r="J1122" s="44">
        <f t="shared" si="53"/>
        <v>0.9</v>
      </c>
      <c r="K1122" s="62">
        <f>MAX('01_PARÂMETROS'!$B$11,MIN('01_PARÂMETROS'!$B$12,J1122))</f>
        <v>0.9</v>
      </c>
      <c r="L1122" s="63">
        <f t="shared" si="52"/>
        <v>-9.9999999999999978E-2</v>
      </c>
      <c r="M1122" s="17" t="str">
        <f>IF(K1122&lt;='01_PARÂMETROS'!$B$14,"Preferencial",IF(K1122&lt;='01_PARÂMETROS'!$B$15,"Baixo",IF(K1122&lt;='01_PARÂMETROS'!$B$16,"Médio",IF(K1122&lt;='01_PARÂMETROS'!$B$17,"Alto","Elevado"))))</f>
        <v>Baixo</v>
      </c>
      <c r="N1122" s="58" t="s">
        <v>486</v>
      </c>
      <c r="O1122" s="61"/>
    </row>
    <row r="1123" spans="1:15" ht="13.5" customHeight="1" x14ac:dyDescent="0.25">
      <c r="A1123" s="24" t="s">
        <v>2620</v>
      </c>
      <c r="B1123" s="38" t="s">
        <v>2551</v>
      </c>
      <c r="C1123" s="25" t="s">
        <v>2621</v>
      </c>
      <c r="D1123" s="39" t="s">
        <v>2607</v>
      </c>
      <c r="E1123" s="65" t="s">
        <v>841</v>
      </c>
      <c r="F1123" s="54" t="s">
        <v>485</v>
      </c>
      <c r="G1123" s="54" t="s">
        <v>485</v>
      </c>
      <c r="H1123" s="54" t="s">
        <v>485</v>
      </c>
      <c r="I1123" s="43">
        <f>'01_PARÂMETROS'!$B$9</f>
        <v>50</v>
      </c>
      <c r="J1123" s="44">
        <f t="shared" si="53"/>
        <v>0.9</v>
      </c>
      <c r="K1123" s="62">
        <f>MAX('01_PARÂMETROS'!$B$11,MIN('01_PARÂMETROS'!$B$12,J1123))</f>
        <v>0.9</v>
      </c>
      <c r="L1123" s="63">
        <f t="shared" si="52"/>
        <v>-9.9999999999999978E-2</v>
      </c>
      <c r="M1123" s="17" t="str">
        <f>IF(K1123&lt;='01_PARÂMETROS'!$B$14,"Preferencial",IF(K1123&lt;='01_PARÂMETROS'!$B$15,"Baixo",IF(K1123&lt;='01_PARÂMETROS'!$B$16,"Médio",IF(K1123&lt;='01_PARÂMETROS'!$B$17,"Alto","Elevado"))))</f>
        <v>Baixo</v>
      </c>
      <c r="N1123" s="58" t="s">
        <v>486</v>
      </c>
      <c r="O1123" s="54"/>
    </row>
    <row r="1124" spans="1:15" ht="13.5" customHeight="1" x14ac:dyDescent="0.25">
      <c r="A1124" s="13" t="s">
        <v>2622</v>
      </c>
      <c r="B1124" s="49" t="s">
        <v>2551</v>
      </c>
      <c r="C1124" s="14" t="s">
        <v>2623</v>
      </c>
      <c r="D1124" s="50" t="s">
        <v>2607</v>
      </c>
      <c r="E1124" s="65" t="s">
        <v>841</v>
      </c>
      <c r="F1124" s="54" t="s">
        <v>485</v>
      </c>
      <c r="G1124" s="54" t="s">
        <v>485</v>
      </c>
      <c r="H1124" s="54" t="s">
        <v>485</v>
      </c>
      <c r="I1124" s="43">
        <f>'01_PARÂMETROS'!$B$9</f>
        <v>50</v>
      </c>
      <c r="J1124" s="44">
        <f t="shared" si="53"/>
        <v>0.9</v>
      </c>
      <c r="K1124" s="62">
        <f>MAX('01_PARÂMETROS'!$B$11,MIN('01_PARÂMETROS'!$B$12,J1124))</f>
        <v>0.9</v>
      </c>
      <c r="L1124" s="63">
        <f t="shared" si="52"/>
        <v>-9.9999999999999978E-2</v>
      </c>
      <c r="M1124" s="17" t="str">
        <f>IF(K1124&lt;='01_PARÂMETROS'!$B$14,"Preferencial",IF(K1124&lt;='01_PARÂMETROS'!$B$15,"Baixo",IF(K1124&lt;='01_PARÂMETROS'!$B$16,"Médio",IF(K1124&lt;='01_PARÂMETROS'!$B$17,"Alto","Elevado"))))</f>
        <v>Baixo</v>
      </c>
      <c r="N1124" s="58" t="s">
        <v>486</v>
      </c>
      <c r="O1124" s="61"/>
    </row>
    <row r="1125" spans="1:15" ht="13.5" customHeight="1" x14ac:dyDescent="0.25">
      <c r="A1125" s="24" t="s">
        <v>2624</v>
      </c>
      <c r="B1125" s="38" t="s">
        <v>2551</v>
      </c>
      <c r="C1125" s="25" t="s">
        <v>2625</v>
      </c>
      <c r="D1125" s="39" t="s">
        <v>2607</v>
      </c>
      <c r="E1125" s="65" t="s">
        <v>841</v>
      </c>
      <c r="F1125" s="54" t="s">
        <v>485</v>
      </c>
      <c r="G1125" s="54" t="s">
        <v>485</v>
      </c>
      <c r="H1125" s="54" t="s">
        <v>485</v>
      </c>
      <c r="I1125" s="43">
        <f>'01_PARÂMETROS'!$B$9</f>
        <v>50</v>
      </c>
      <c r="J1125" s="44">
        <f t="shared" si="53"/>
        <v>0.9</v>
      </c>
      <c r="K1125" s="62">
        <f>MAX('01_PARÂMETROS'!$B$11,MIN('01_PARÂMETROS'!$B$12,J1125))</f>
        <v>0.9</v>
      </c>
      <c r="L1125" s="63">
        <f t="shared" si="52"/>
        <v>-9.9999999999999978E-2</v>
      </c>
      <c r="M1125" s="17" t="str">
        <f>IF(K1125&lt;='01_PARÂMETROS'!$B$14,"Preferencial",IF(K1125&lt;='01_PARÂMETROS'!$B$15,"Baixo",IF(K1125&lt;='01_PARÂMETROS'!$B$16,"Médio",IF(K1125&lt;='01_PARÂMETROS'!$B$17,"Alto","Elevado"))))</f>
        <v>Baixo</v>
      </c>
      <c r="N1125" s="58" t="s">
        <v>486</v>
      </c>
      <c r="O1125" s="54"/>
    </row>
    <row r="1126" spans="1:15" ht="13.5" customHeight="1" x14ac:dyDescent="0.25">
      <c r="A1126" s="13" t="s">
        <v>2626</v>
      </c>
      <c r="B1126" s="49" t="s">
        <v>2551</v>
      </c>
      <c r="C1126" s="14" t="s">
        <v>2627</v>
      </c>
      <c r="D1126" s="50" t="s">
        <v>2607</v>
      </c>
      <c r="E1126" s="65" t="s">
        <v>841</v>
      </c>
      <c r="F1126" s="54" t="s">
        <v>485</v>
      </c>
      <c r="G1126" s="54" t="s">
        <v>485</v>
      </c>
      <c r="H1126" s="54" t="s">
        <v>485</v>
      </c>
      <c r="I1126" s="43">
        <f>'01_PARÂMETROS'!$B$9</f>
        <v>50</v>
      </c>
      <c r="J1126" s="44">
        <f t="shared" si="53"/>
        <v>0.9</v>
      </c>
      <c r="K1126" s="62">
        <f>MAX('01_PARÂMETROS'!$B$11,MIN('01_PARÂMETROS'!$B$12,J1126))</f>
        <v>0.9</v>
      </c>
      <c r="L1126" s="63">
        <f t="shared" si="52"/>
        <v>-9.9999999999999978E-2</v>
      </c>
      <c r="M1126" s="17" t="str">
        <f>IF(K1126&lt;='01_PARÂMETROS'!$B$14,"Preferencial",IF(K1126&lt;='01_PARÂMETROS'!$B$15,"Baixo",IF(K1126&lt;='01_PARÂMETROS'!$B$16,"Médio",IF(K1126&lt;='01_PARÂMETROS'!$B$17,"Alto","Elevado"))))</f>
        <v>Baixo</v>
      </c>
      <c r="N1126" s="58" t="s">
        <v>486</v>
      </c>
      <c r="O1126" s="61"/>
    </row>
    <row r="1127" spans="1:15" ht="13.5" customHeight="1" x14ac:dyDescent="0.25">
      <c r="A1127" s="24" t="s">
        <v>2628</v>
      </c>
      <c r="B1127" s="38" t="s">
        <v>2551</v>
      </c>
      <c r="C1127" s="25" t="s">
        <v>2629</v>
      </c>
      <c r="D1127" s="39" t="s">
        <v>2607</v>
      </c>
      <c r="E1127" s="65" t="s">
        <v>841</v>
      </c>
      <c r="F1127" s="54" t="s">
        <v>485</v>
      </c>
      <c r="G1127" s="54" t="s">
        <v>485</v>
      </c>
      <c r="H1127" s="54" t="s">
        <v>485</v>
      </c>
      <c r="I1127" s="43">
        <f>'01_PARÂMETROS'!$B$9</f>
        <v>50</v>
      </c>
      <c r="J1127" s="44">
        <f t="shared" si="53"/>
        <v>0.9</v>
      </c>
      <c r="K1127" s="62">
        <f>MAX('01_PARÂMETROS'!$B$11,MIN('01_PARÂMETROS'!$B$12,J1127))</f>
        <v>0.9</v>
      </c>
      <c r="L1127" s="63">
        <f t="shared" si="52"/>
        <v>-9.9999999999999978E-2</v>
      </c>
      <c r="M1127" s="17" t="str">
        <f>IF(K1127&lt;='01_PARÂMETROS'!$B$14,"Preferencial",IF(K1127&lt;='01_PARÂMETROS'!$B$15,"Baixo",IF(K1127&lt;='01_PARÂMETROS'!$B$16,"Médio",IF(K1127&lt;='01_PARÂMETROS'!$B$17,"Alto","Elevado"))))</f>
        <v>Baixo</v>
      </c>
      <c r="N1127" s="58" t="s">
        <v>486</v>
      </c>
      <c r="O1127" s="54"/>
    </row>
    <row r="1128" spans="1:15" ht="13.5" customHeight="1" x14ac:dyDescent="0.25">
      <c r="A1128" s="13" t="s">
        <v>2630</v>
      </c>
      <c r="B1128" s="49" t="s">
        <v>2551</v>
      </c>
      <c r="C1128" s="14" t="s">
        <v>2631</v>
      </c>
      <c r="D1128" s="50" t="s">
        <v>2607</v>
      </c>
      <c r="E1128" s="65" t="s">
        <v>841</v>
      </c>
      <c r="F1128" s="54" t="s">
        <v>485</v>
      </c>
      <c r="G1128" s="54" t="s">
        <v>485</v>
      </c>
      <c r="H1128" s="54" t="s">
        <v>485</v>
      </c>
      <c r="I1128" s="43">
        <f>'01_PARÂMETROS'!$B$9</f>
        <v>50</v>
      </c>
      <c r="J1128" s="44">
        <f t="shared" si="53"/>
        <v>0.9</v>
      </c>
      <c r="K1128" s="62">
        <f>MAX('01_PARÂMETROS'!$B$11,MIN('01_PARÂMETROS'!$B$12,J1128))</f>
        <v>0.9</v>
      </c>
      <c r="L1128" s="63">
        <f t="shared" si="52"/>
        <v>-9.9999999999999978E-2</v>
      </c>
      <c r="M1128" s="17" t="str">
        <f>IF(K1128&lt;='01_PARÂMETROS'!$B$14,"Preferencial",IF(K1128&lt;='01_PARÂMETROS'!$B$15,"Baixo",IF(K1128&lt;='01_PARÂMETROS'!$B$16,"Médio",IF(K1128&lt;='01_PARÂMETROS'!$B$17,"Alto","Elevado"))))</f>
        <v>Baixo</v>
      </c>
      <c r="N1128" s="58" t="s">
        <v>486</v>
      </c>
      <c r="O1128" s="61"/>
    </row>
    <row r="1129" spans="1:15" ht="13.5" customHeight="1" x14ac:dyDescent="0.25">
      <c r="A1129" s="24" t="s">
        <v>2632</v>
      </c>
      <c r="B1129" s="38" t="s">
        <v>2551</v>
      </c>
      <c r="C1129" s="25" t="s">
        <v>2633</v>
      </c>
      <c r="D1129" s="39" t="s">
        <v>2607</v>
      </c>
      <c r="E1129" s="65" t="s">
        <v>841</v>
      </c>
      <c r="F1129" s="54" t="s">
        <v>485</v>
      </c>
      <c r="G1129" s="54" t="s">
        <v>485</v>
      </c>
      <c r="H1129" s="54" t="s">
        <v>485</v>
      </c>
      <c r="I1129" s="43">
        <f>'01_PARÂMETROS'!$B$9</f>
        <v>50</v>
      </c>
      <c r="J1129" s="44">
        <f t="shared" si="53"/>
        <v>0.9</v>
      </c>
      <c r="K1129" s="62">
        <f>MAX('01_PARÂMETROS'!$B$11,MIN('01_PARÂMETROS'!$B$12,J1129))</f>
        <v>0.9</v>
      </c>
      <c r="L1129" s="63">
        <f t="shared" si="52"/>
        <v>-9.9999999999999978E-2</v>
      </c>
      <c r="M1129" s="17" t="str">
        <f>IF(K1129&lt;='01_PARÂMETROS'!$B$14,"Preferencial",IF(K1129&lt;='01_PARÂMETROS'!$B$15,"Baixo",IF(K1129&lt;='01_PARÂMETROS'!$B$16,"Médio",IF(K1129&lt;='01_PARÂMETROS'!$B$17,"Alto","Elevado"))))</f>
        <v>Baixo</v>
      </c>
      <c r="N1129" s="58" t="s">
        <v>486</v>
      </c>
      <c r="O1129" s="54"/>
    </row>
    <row r="1130" spans="1:15" ht="13.5" customHeight="1" x14ac:dyDescent="0.25">
      <c r="A1130" s="13" t="s">
        <v>2634</v>
      </c>
      <c r="B1130" s="49" t="s">
        <v>2551</v>
      </c>
      <c r="C1130" s="14" t="s">
        <v>2635</v>
      </c>
      <c r="D1130" s="50" t="s">
        <v>2636</v>
      </c>
      <c r="E1130" s="40" t="s">
        <v>477</v>
      </c>
      <c r="F1130" s="54" t="s">
        <v>485</v>
      </c>
      <c r="G1130" s="54" t="s">
        <v>485</v>
      </c>
      <c r="H1130" s="54" t="s">
        <v>485</v>
      </c>
      <c r="I1130" s="43">
        <f>'01_PARÂMETROS'!$B$9</f>
        <v>50</v>
      </c>
      <c r="J1130" s="44">
        <f>1</f>
        <v>1</v>
      </c>
      <c r="K1130" s="55">
        <f>MAX('01_PARÂMETROS'!$B$11,MIN('01_PARÂMETROS'!$B$12,J1130))</f>
        <v>1</v>
      </c>
      <c r="L1130" s="56">
        <f t="shared" si="52"/>
        <v>0</v>
      </c>
      <c r="M1130" s="57" t="str">
        <f>IF(K1130&lt;='01_PARÂMETROS'!$B$14,"Preferencial",IF(K1130&lt;='01_PARÂMETROS'!$B$15,"Baixo",IF(K1130&lt;='01_PARÂMETROS'!$B$16,"Médio",IF(K1130&lt;='01_PARÂMETROS'!$B$17,"Alto","Elevado"))))</f>
        <v>Médio</v>
      </c>
      <c r="N1130" s="58" t="s">
        <v>486</v>
      </c>
      <c r="O1130" s="61"/>
    </row>
    <row r="1131" spans="1:15" ht="13.5" customHeight="1" x14ac:dyDescent="0.25">
      <c r="A1131" s="24" t="s">
        <v>2637</v>
      </c>
      <c r="B1131" s="38" t="s">
        <v>2638</v>
      </c>
      <c r="C1131" s="25" t="s">
        <v>2639</v>
      </c>
      <c r="D1131" s="39" t="s">
        <v>2640</v>
      </c>
      <c r="E1131" s="65" t="s">
        <v>841</v>
      </c>
      <c r="F1131" s="54" t="s">
        <v>485</v>
      </c>
      <c r="G1131" s="54" t="s">
        <v>485</v>
      </c>
      <c r="H1131" s="54" t="s">
        <v>485</v>
      </c>
      <c r="I1131" s="43">
        <f>'01_PARÂMETROS'!$B$9</f>
        <v>50</v>
      </c>
      <c r="J1131" s="44">
        <f t="shared" ref="J1131:J1156" si="54">0.9</f>
        <v>0.9</v>
      </c>
      <c r="K1131" s="62">
        <f>MAX('01_PARÂMETROS'!$B$11,MIN('01_PARÂMETROS'!$B$12,J1131))</f>
        <v>0.9</v>
      </c>
      <c r="L1131" s="63">
        <f t="shared" si="52"/>
        <v>-9.9999999999999978E-2</v>
      </c>
      <c r="M1131" s="17" t="str">
        <f>IF(K1131&lt;='01_PARÂMETROS'!$B$14,"Preferencial",IF(K1131&lt;='01_PARÂMETROS'!$B$15,"Baixo",IF(K1131&lt;='01_PARÂMETROS'!$B$16,"Médio",IF(K1131&lt;='01_PARÂMETROS'!$B$17,"Alto","Elevado"))))</f>
        <v>Baixo</v>
      </c>
      <c r="N1131" s="58" t="s">
        <v>486</v>
      </c>
      <c r="O1131" s="54"/>
    </row>
    <row r="1132" spans="1:15" ht="13.5" customHeight="1" x14ac:dyDescent="0.25">
      <c r="A1132" s="13" t="s">
        <v>2641</v>
      </c>
      <c r="B1132" s="49" t="s">
        <v>2638</v>
      </c>
      <c r="C1132" s="14" t="s">
        <v>2642</v>
      </c>
      <c r="D1132" s="50" t="s">
        <v>2640</v>
      </c>
      <c r="E1132" s="65" t="s">
        <v>841</v>
      </c>
      <c r="F1132" s="54" t="s">
        <v>485</v>
      </c>
      <c r="G1132" s="54" t="s">
        <v>485</v>
      </c>
      <c r="H1132" s="54" t="s">
        <v>485</v>
      </c>
      <c r="I1132" s="43">
        <f>'01_PARÂMETROS'!$B$9</f>
        <v>50</v>
      </c>
      <c r="J1132" s="44">
        <f t="shared" si="54"/>
        <v>0.9</v>
      </c>
      <c r="K1132" s="62">
        <f>MAX('01_PARÂMETROS'!$B$11,MIN('01_PARÂMETROS'!$B$12,J1132))</f>
        <v>0.9</v>
      </c>
      <c r="L1132" s="63">
        <f t="shared" si="52"/>
        <v>-9.9999999999999978E-2</v>
      </c>
      <c r="M1132" s="17" t="str">
        <f>IF(K1132&lt;='01_PARÂMETROS'!$B$14,"Preferencial",IF(K1132&lt;='01_PARÂMETROS'!$B$15,"Baixo",IF(K1132&lt;='01_PARÂMETROS'!$B$16,"Médio",IF(K1132&lt;='01_PARÂMETROS'!$B$17,"Alto","Elevado"))))</f>
        <v>Baixo</v>
      </c>
      <c r="N1132" s="58" t="s">
        <v>486</v>
      </c>
      <c r="O1132" s="61"/>
    </row>
    <row r="1133" spans="1:15" ht="13.5" customHeight="1" x14ac:dyDescent="0.25">
      <c r="A1133" s="24" t="s">
        <v>2643</v>
      </c>
      <c r="B1133" s="38" t="s">
        <v>2638</v>
      </c>
      <c r="C1133" s="25" t="s">
        <v>2644</v>
      </c>
      <c r="D1133" s="39" t="s">
        <v>2640</v>
      </c>
      <c r="E1133" s="65" t="s">
        <v>841</v>
      </c>
      <c r="F1133" s="54" t="s">
        <v>485</v>
      </c>
      <c r="G1133" s="54" t="s">
        <v>485</v>
      </c>
      <c r="H1133" s="54" t="s">
        <v>485</v>
      </c>
      <c r="I1133" s="43">
        <f>'01_PARÂMETROS'!$B$9</f>
        <v>50</v>
      </c>
      <c r="J1133" s="44">
        <f t="shared" si="54"/>
        <v>0.9</v>
      </c>
      <c r="K1133" s="62">
        <f>MAX('01_PARÂMETROS'!$B$11,MIN('01_PARÂMETROS'!$B$12,J1133))</f>
        <v>0.9</v>
      </c>
      <c r="L1133" s="63">
        <f t="shared" si="52"/>
        <v>-9.9999999999999978E-2</v>
      </c>
      <c r="M1133" s="17" t="str">
        <f>IF(K1133&lt;='01_PARÂMETROS'!$B$14,"Preferencial",IF(K1133&lt;='01_PARÂMETROS'!$B$15,"Baixo",IF(K1133&lt;='01_PARÂMETROS'!$B$16,"Médio",IF(K1133&lt;='01_PARÂMETROS'!$B$17,"Alto","Elevado"))))</f>
        <v>Baixo</v>
      </c>
      <c r="N1133" s="58" t="s">
        <v>486</v>
      </c>
      <c r="O1133" s="54"/>
    </row>
    <row r="1134" spans="1:15" ht="13.5" customHeight="1" x14ac:dyDescent="0.25">
      <c r="A1134" s="13" t="s">
        <v>2645</v>
      </c>
      <c r="B1134" s="49" t="s">
        <v>2638</v>
      </c>
      <c r="C1134" s="14" t="s">
        <v>2646</v>
      </c>
      <c r="D1134" s="50" t="s">
        <v>2640</v>
      </c>
      <c r="E1134" s="65" t="s">
        <v>841</v>
      </c>
      <c r="F1134" s="54" t="s">
        <v>485</v>
      </c>
      <c r="G1134" s="54" t="s">
        <v>485</v>
      </c>
      <c r="H1134" s="54" t="s">
        <v>485</v>
      </c>
      <c r="I1134" s="43">
        <f>'01_PARÂMETROS'!$B$9</f>
        <v>50</v>
      </c>
      <c r="J1134" s="44">
        <f t="shared" si="54"/>
        <v>0.9</v>
      </c>
      <c r="K1134" s="62">
        <f>MAX('01_PARÂMETROS'!$B$11,MIN('01_PARÂMETROS'!$B$12,J1134))</f>
        <v>0.9</v>
      </c>
      <c r="L1134" s="63">
        <f t="shared" si="52"/>
        <v>-9.9999999999999978E-2</v>
      </c>
      <c r="M1134" s="17" t="str">
        <f>IF(K1134&lt;='01_PARÂMETROS'!$B$14,"Preferencial",IF(K1134&lt;='01_PARÂMETROS'!$B$15,"Baixo",IF(K1134&lt;='01_PARÂMETROS'!$B$16,"Médio",IF(K1134&lt;='01_PARÂMETROS'!$B$17,"Alto","Elevado"))))</f>
        <v>Baixo</v>
      </c>
      <c r="N1134" s="58" t="s">
        <v>486</v>
      </c>
      <c r="O1134" s="61"/>
    </row>
    <row r="1135" spans="1:15" ht="13.5" customHeight="1" x14ac:dyDescent="0.25">
      <c r="A1135" s="24" t="s">
        <v>2647</v>
      </c>
      <c r="B1135" s="38" t="s">
        <v>2638</v>
      </c>
      <c r="C1135" s="25" t="s">
        <v>2648</v>
      </c>
      <c r="D1135" s="39" t="s">
        <v>2640</v>
      </c>
      <c r="E1135" s="65" t="s">
        <v>841</v>
      </c>
      <c r="F1135" s="54" t="s">
        <v>485</v>
      </c>
      <c r="G1135" s="54" t="s">
        <v>485</v>
      </c>
      <c r="H1135" s="54" t="s">
        <v>485</v>
      </c>
      <c r="I1135" s="43">
        <f>'01_PARÂMETROS'!$B$9</f>
        <v>50</v>
      </c>
      <c r="J1135" s="44">
        <f t="shared" si="54"/>
        <v>0.9</v>
      </c>
      <c r="K1135" s="62">
        <f>MAX('01_PARÂMETROS'!$B$11,MIN('01_PARÂMETROS'!$B$12,J1135))</f>
        <v>0.9</v>
      </c>
      <c r="L1135" s="63">
        <f t="shared" si="52"/>
        <v>-9.9999999999999978E-2</v>
      </c>
      <c r="M1135" s="17" t="str">
        <f>IF(K1135&lt;='01_PARÂMETROS'!$B$14,"Preferencial",IF(K1135&lt;='01_PARÂMETROS'!$B$15,"Baixo",IF(K1135&lt;='01_PARÂMETROS'!$B$16,"Médio",IF(K1135&lt;='01_PARÂMETROS'!$B$17,"Alto","Elevado"))))</f>
        <v>Baixo</v>
      </c>
      <c r="N1135" s="58" t="s">
        <v>486</v>
      </c>
      <c r="O1135" s="54"/>
    </row>
    <row r="1136" spans="1:15" ht="13.5" customHeight="1" x14ac:dyDescent="0.25">
      <c r="A1136" s="13" t="s">
        <v>2649</v>
      </c>
      <c r="B1136" s="49" t="s">
        <v>2638</v>
      </c>
      <c r="C1136" s="14" t="s">
        <v>2650</v>
      </c>
      <c r="D1136" s="50" t="s">
        <v>2640</v>
      </c>
      <c r="E1136" s="65" t="s">
        <v>841</v>
      </c>
      <c r="F1136" s="54" t="s">
        <v>485</v>
      </c>
      <c r="G1136" s="54" t="s">
        <v>485</v>
      </c>
      <c r="H1136" s="54" t="s">
        <v>485</v>
      </c>
      <c r="I1136" s="43">
        <f>'01_PARÂMETROS'!$B$9</f>
        <v>50</v>
      </c>
      <c r="J1136" s="44">
        <f t="shared" si="54"/>
        <v>0.9</v>
      </c>
      <c r="K1136" s="62">
        <f>MAX('01_PARÂMETROS'!$B$11,MIN('01_PARÂMETROS'!$B$12,J1136))</f>
        <v>0.9</v>
      </c>
      <c r="L1136" s="63">
        <f t="shared" si="52"/>
        <v>-9.9999999999999978E-2</v>
      </c>
      <c r="M1136" s="17" t="str">
        <f>IF(K1136&lt;='01_PARÂMETROS'!$B$14,"Preferencial",IF(K1136&lt;='01_PARÂMETROS'!$B$15,"Baixo",IF(K1136&lt;='01_PARÂMETROS'!$B$16,"Médio",IF(K1136&lt;='01_PARÂMETROS'!$B$17,"Alto","Elevado"))))</f>
        <v>Baixo</v>
      </c>
      <c r="N1136" s="58" t="s">
        <v>486</v>
      </c>
      <c r="O1136" s="61"/>
    </row>
    <row r="1137" spans="1:15" ht="13.5" customHeight="1" x14ac:dyDescent="0.25">
      <c r="A1137" s="24" t="s">
        <v>2651</v>
      </c>
      <c r="B1137" s="38" t="s">
        <v>2638</v>
      </c>
      <c r="C1137" s="25" t="s">
        <v>2652</v>
      </c>
      <c r="D1137" s="39" t="s">
        <v>2640</v>
      </c>
      <c r="E1137" s="65" t="s">
        <v>841</v>
      </c>
      <c r="F1137" s="54" t="s">
        <v>485</v>
      </c>
      <c r="G1137" s="54" t="s">
        <v>485</v>
      </c>
      <c r="H1137" s="54" t="s">
        <v>485</v>
      </c>
      <c r="I1137" s="43">
        <f>'01_PARÂMETROS'!$B$9</f>
        <v>50</v>
      </c>
      <c r="J1137" s="44">
        <f t="shared" si="54"/>
        <v>0.9</v>
      </c>
      <c r="K1137" s="62">
        <f>MAX('01_PARÂMETROS'!$B$11,MIN('01_PARÂMETROS'!$B$12,J1137))</f>
        <v>0.9</v>
      </c>
      <c r="L1137" s="63">
        <f t="shared" si="52"/>
        <v>-9.9999999999999978E-2</v>
      </c>
      <c r="M1137" s="17" t="str">
        <f>IF(K1137&lt;='01_PARÂMETROS'!$B$14,"Preferencial",IF(K1137&lt;='01_PARÂMETROS'!$B$15,"Baixo",IF(K1137&lt;='01_PARÂMETROS'!$B$16,"Médio",IF(K1137&lt;='01_PARÂMETROS'!$B$17,"Alto","Elevado"))))</f>
        <v>Baixo</v>
      </c>
      <c r="N1137" s="58" t="s">
        <v>486</v>
      </c>
      <c r="O1137" s="54"/>
    </row>
    <row r="1138" spans="1:15" ht="13.5" customHeight="1" x14ac:dyDescent="0.25">
      <c r="A1138" s="13" t="s">
        <v>2653</v>
      </c>
      <c r="B1138" s="49" t="s">
        <v>2638</v>
      </c>
      <c r="C1138" s="14" t="s">
        <v>2654</v>
      </c>
      <c r="D1138" s="50" t="s">
        <v>2640</v>
      </c>
      <c r="E1138" s="65" t="s">
        <v>841</v>
      </c>
      <c r="F1138" s="54" t="s">
        <v>485</v>
      </c>
      <c r="G1138" s="54" t="s">
        <v>485</v>
      </c>
      <c r="H1138" s="54" t="s">
        <v>485</v>
      </c>
      <c r="I1138" s="43">
        <f>'01_PARÂMETROS'!$B$9</f>
        <v>50</v>
      </c>
      <c r="J1138" s="44">
        <f t="shared" si="54"/>
        <v>0.9</v>
      </c>
      <c r="K1138" s="62">
        <f>MAX('01_PARÂMETROS'!$B$11,MIN('01_PARÂMETROS'!$B$12,J1138))</f>
        <v>0.9</v>
      </c>
      <c r="L1138" s="63">
        <f t="shared" si="52"/>
        <v>-9.9999999999999978E-2</v>
      </c>
      <c r="M1138" s="17" t="str">
        <f>IF(K1138&lt;='01_PARÂMETROS'!$B$14,"Preferencial",IF(K1138&lt;='01_PARÂMETROS'!$B$15,"Baixo",IF(K1138&lt;='01_PARÂMETROS'!$B$16,"Médio",IF(K1138&lt;='01_PARÂMETROS'!$B$17,"Alto","Elevado"))))</f>
        <v>Baixo</v>
      </c>
      <c r="N1138" s="58" t="s">
        <v>486</v>
      </c>
      <c r="O1138" s="61"/>
    </row>
    <row r="1139" spans="1:15" ht="13.5" customHeight="1" x14ac:dyDescent="0.25">
      <c r="A1139" s="24" t="s">
        <v>2655</v>
      </c>
      <c r="B1139" s="38" t="s">
        <v>2638</v>
      </c>
      <c r="C1139" s="25" t="s">
        <v>2656</v>
      </c>
      <c r="D1139" s="39" t="s">
        <v>2640</v>
      </c>
      <c r="E1139" s="65" t="s">
        <v>841</v>
      </c>
      <c r="F1139" s="54" t="s">
        <v>485</v>
      </c>
      <c r="G1139" s="54" t="s">
        <v>485</v>
      </c>
      <c r="H1139" s="54" t="s">
        <v>485</v>
      </c>
      <c r="I1139" s="43">
        <f>'01_PARÂMETROS'!$B$9</f>
        <v>50</v>
      </c>
      <c r="J1139" s="44">
        <f t="shared" si="54"/>
        <v>0.9</v>
      </c>
      <c r="K1139" s="62">
        <f>MAX('01_PARÂMETROS'!$B$11,MIN('01_PARÂMETROS'!$B$12,J1139))</f>
        <v>0.9</v>
      </c>
      <c r="L1139" s="63">
        <f t="shared" si="52"/>
        <v>-9.9999999999999978E-2</v>
      </c>
      <c r="M1139" s="17" t="str">
        <f>IF(K1139&lt;='01_PARÂMETROS'!$B$14,"Preferencial",IF(K1139&lt;='01_PARÂMETROS'!$B$15,"Baixo",IF(K1139&lt;='01_PARÂMETROS'!$B$16,"Médio",IF(K1139&lt;='01_PARÂMETROS'!$B$17,"Alto","Elevado"))))</f>
        <v>Baixo</v>
      </c>
      <c r="N1139" s="58" t="s">
        <v>486</v>
      </c>
      <c r="O1139" s="54"/>
    </row>
    <row r="1140" spans="1:15" ht="13.5" customHeight="1" x14ac:dyDescent="0.25">
      <c r="A1140" s="13" t="s">
        <v>2657</v>
      </c>
      <c r="B1140" s="49" t="s">
        <v>2638</v>
      </c>
      <c r="C1140" s="14" t="s">
        <v>2658</v>
      </c>
      <c r="D1140" s="50" t="s">
        <v>2640</v>
      </c>
      <c r="E1140" s="65" t="s">
        <v>841</v>
      </c>
      <c r="F1140" s="54" t="s">
        <v>485</v>
      </c>
      <c r="G1140" s="54" t="s">
        <v>485</v>
      </c>
      <c r="H1140" s="54" t="s">
        <v>485</v>
      </c>
      <c r="I1140" s="43">
        <f>'01_PARÂMETROS'!$B$9</f>
        <v>50</v>
      </c>
      <c r="J1140" s="44">
        <f t="shared" si="54"/>
        <v>0.9</v>
      </c>
      <c r="K1140" s="62">
        <f>MAX('01_PARÂMETROS'!$B$11,MIN('01_PARÂMETROS'!$B$12,J1140))</f>
        <v>0.9</v>
      </c>
      <c r="L1140" s="63">
        <f t="shared" si="52"/>
        <v>-9.9999999999999978E-2</v>
      </c>
      <c r="M1140" s="17" t="str">
        <f>IF(K1140&lt;='01_PARÂMETROS'!$B$14,"Preferencial",IF(K1140&lt;='01_PARÂMETROS'!$B$15,"Baixo",IF(K1140&lt;='01_PARÂMETROS'!$B$16,"Médio",IF(K1140&lt;='01_PARÂMETROS'!$B$17,"Alto","Elevado"))))</f>
        <v>Baixo</v>
      </c>
      <c r="N1140" s="58" t="s">
        <v>486</v>
      </c>
      <c r="O1140" s="61"/>
    </row>
    <row r="1141" spans="1:15" ht="13.5" customHeight="1" x14ac:dyDescent="0.25">
      <c r="A1141" s="24" t="s">
        <v>2659</v>
      </c>
      <c r="B1141" s="38" t="s">
        <v>2638</v>
      </c>
      <c r="C1141" s="25" t="s">
        <v>2660</v>
      </c>
      <c r="D1141" s="39" t="s">
        <v>2640</v>
      </c>
      <c r="E1141" s="65" t="s">
        <v>841</v>
      </c>
      <c r="F1141" s="54" t="s">
        <v>485</v>
      </c>
      <c r="G1141" s="54" t="s">
        <v>485</v>
      </c>
      <c r="H1141" s="54" t="s">
        <v>485</v>
      </c>
      <c r="I1141" s="43">
        <f>'01_PARÂMETROS'!$B$9</f>
        <v>50</v>
      </c>
      <c r="J1141" s="44">
        <f t="shared" si="54"/>
        <v>0.9</v>
      </c>
      <c r="K1141" s="62">
        <f>MAX('01_PARÂMETROS'!$B$11,MIN('01_PARÂMETROS'!$B$12,J1141))</f>
        <v>0.9</v>
      </c>
      <c r="L1141" s="63">
        <f t="shared" si="52"/>
        <v>-9.9999999999999978E-2</v>
      </c>
      <c r="M1141" s="17" t="str">
        <f>IF(K1141&lt;='01_PARÂMETROS'!$B$14,"Preferencial",IF(K1141&lt;='01_PARÂMETROS'!$B$15,"Baixo",IF(K1141&lt;='01_PARÂMETROS'!$B$16,"Médio",IF(K1141&lt;='01_PARÂMETROS'!$B$17,"Alto","Elevado"))))</f>
        <v>Baixo</v>
      </c>
      <c r="N1141" s="58" t="s">
        <v>486</v>
      </c>
      <c r="O1141" s="54"/>
    </row>
    <row r="1142" spans="1:15" ht="13.5" customHeight="1" x14ac:dyDescent="0.25">
      <c r="A1142" s="13" t="s">
        <v>2661</v>
      </c>
      <c r="B1142" s="49" t="s">
        <v>2638</v>
      </c>
      <c r="C1142" s="14" t="s">
        <v>2662</v>
      </c>
      <c r="D1142" s="50" t="s">
        <v>2640</v>
      </c>
      <c r="E1142" s="65" t="s">
        <v>841</v>
      </c>
      <c r="F1142" s="54" t="s">
        <v>485</v>
      </c>
      <c r="G1142" s="54" t="s">
        <v>485</v>
      </c>
      <c r="H1142" s="54" t="s">
        <v>485</v>
      </c>
      <c r="I1142" s="43">
        <f>'01_PARÂMETROS'!$B$9</f>
        <v>50</v>
      </c>
      <c r="J1142" s="44">
        <f t="shared" si="54"/>
        <v>0.9</v>
      </c>
      <c r="K1142" s="62">
        <f>MAX('01_PARÂMETROS'!$B$11,MIN('01_PARÂMETROS'!$B$12,J1142))</f>
        <v>0.9</v>
      </c>
      <c r="L1142" s="63">
        <f t="shared" si="52"/>
        <v>-9.9999999999999978E-2</v>
      </c>
      <c r="M1142" s="17" t="str">
        <f>IF(K1142&lt;='01_PARÂMETROS'!$B$14,"Preferencial",IF(K1142&lt;='01_PARÂMETROS'!$B$15,"Baixo",IF(K1142&lt;='01_PARÂMETROS'!$B$16,"Médio",IF(K1142&lt;='01_PARÂMETROS'!$B$17,"Alto","Elevado"))))</f>
        <v>Baixo</v>
      </c>
      <c r="N1142" s="58" t="s">
        <v>486</v>
      </c>
      <c r="O1142" s="61"/>
    </row>
    <row r="1143" spans="1:15" ht="13.5" customHeight="1" x14ac:dyDescent="0.25">
      <c r="A1143" s="24" t="s">
        <v>2663</v>
      </c>
      <c r="B1143" s="38" t="s">
        <v>2638</v>
      </c>
      <c r="C1143" s="25" t="s">
        <v>2664</v>
      </c>
      <c r="D1143" s="39" t="s">
        <v>2640</v>
      </c>
      <c r="E1143" s="65" t="s">
        <v>841</v>
      </c>
      <c r="F1143" s="54" t="s">
        <v>485</v>
      </c>
      <c r="G1143" s="54" t="s">
        <v>485</v>
      </c>
      <c r="H1143" s="54" t="s">
        <v>485</v>
      </c>
      <c r="I1143" s="43">
        <f>'01_PARÂMETROS'!$B$9</f>
        <v>50</v>
      </c>
      <c r="J1143" s="44">
        <f t="shared" si="54"/>
        <v>0.9</v>
      </c>
      <c r="K1143" s="62">
        <f>MAX('01_PARÂMETROS'!$B$11,MIN('01_PARÂMETROS'!$B$12,J1143))</f>
        <v>0.9</v>
      </c>
      <c r="L1143" s="63">
        <f t="shared" si="52"/>
        <v>-9.9999999999999978E-2</v>
      </c>
      <c r="M1143" s="17" t="str">
        <f>IF(K1143&lt;='01_PARÂMETROS'!$B$14,"Preferencial",IF(K1143&lt;='01_PARÂMETROS'!$B$15,"Baixo",IF(K1143&lt;='01_PARÂMETROS'!$B$16,"Médio",IF(K1143&lt;='01_PARÂMETROS'!$B$17,"Alto","Elevado"))))</f>
        <v>Baixo</v>
      </c>
      <c r="N1143" s="58" t="s">
        <v>486</v>
      </c>
      <c r="O1143" s="54"/>
    </row>
    <row r="1144" spans="1:15" ht="13.5" customHeight="1" x14ac:dyDescent="0.25">
      <c r="A1144" s="13" t="s">
        <v>2665</v>
      </c>
      <c r="B1144" s="49" t="s">
        <v>2638</v>
      </c>
      <c r="C1144" s="14" t="s">
        <v>2666</v>
      </c>
      <c r="D1144" s="50" t="s">
        <v>2640</v>
      </c>
      <c r="E1144" s="65" t="s">
        <v>841</v>
      </c>
      <c r="F1144" s="54" t="s">
        <v>485</v>
      </c>
      <c r="G1144" s="54" t="s">
        <v>485</v>
      </c>
      <c r="H1144" s="54" t="s">
        <v>485</v>
      </c>
      <c r="I1144" s="43">
        <f>'01_PARÂMETROS'!$B$9</f>
        <v>50</v>
      </c>
      <c r="J1144" s="44">
        <f t="shared" si="54"/>
        <v>0.9</v>
      </c>
      <c r="K1144" s="62">
        <f>MAX('01_PARÂMETROS'!$B$11,MIN('01_PARÂMETROS'!$B$12,J1144))</f>
        <v>0.9</v>
      </c>
      <c r="L1144" s="63">
        <f t="shared" si="52"/>
        <v>-9.9999999999999978E-2</v>
      </c>
      <c r="M1144" s="17" t="str">
        <f>IF(K1144&lt;='01_PARÂMETROS'!$B$14,"Preferencial",IF(K1144&lt;='01_PARÂMETROS'!$B$15,"Baixo",IF(K1144&lt;='01_PARÂMETROS'!$B$16,"Médio",IF(K1144&lt;='01_PARÂMETROS'!$B$17,"Alto","Elevado"))))</f>
        <v>Baixo</v>
      </c>
      <c r="N1144" s="58" t="s">
        <v>486</v>
      </c>
      <c r="O1144" s="61"/>
    </row>
    <row r="1145" spans="1:15" ht="13.5" customHeight="1" x14ac:dyDescent="0.25">
      <c r="A1145" s="24" t="s">
        <v>2667</v>
      </c>
      <c r="B1145" s="38" t="s">
        <v>2638</v>
      </c>
      <c r="C1145" s="25" t="s">
        <v>2668</v>
      </c>
      <c r="D1145" s="39" t="s">
        <v>2640</v>
      </c>
      <c r="E1145" s="65" t="s">
        <v>841</v>
      </c>
      <c r="F1145" s="54" t="s">
        <v>485</v>
      </c>
      <c r="G1145" s="54" t="s">
        <v>485</v>
      </c>
      <c r="H1145" s="54" t="s">
        <v>485</v>
      </c>
      <c r="I1145" s="43">
        <f>'01_PARÂMETROS'!$B$9</f>
        <v>50</v>
      </c>
      <c r="J1145" s="44">
        <f t="shared" si="54"/>
        <v>0.9</v>
      </c>
      <c r="K1145" s="62">
        <f>MAX('01_PARÂMETROS'!$B$11,MIN('01_PARÂMETROS'!$B$12,J1145))</f>
        <v>0.9</v>
      </c>
      <c r="L1145" s="63">
        <f t="shared" si="52"/>
        <v>-9.9999999999999978E-2</v>
      </c>
      <c r="M1145" s="17" t="str">
        <f>IF(K1145&lt;='01_PARÂMETROS'!$B$14,"Preferencial",IF(K1145&lt;='01_PARÂMETROS'!$B$15,"Baixo",IF(K1145&lt;='01_PARÂMETROS'!$B$16,"Médio",IF(K1145&lt;='01_PARÂMETROS'!$B$17,"Alto","Elevado"))))</f>
        <v>Baixo</v>
      </c>
      <c r="N1145" s="58" t="s">
        <v>486</v>
      </c>
      <c r="O1145" s="54"/>
    </row>
    <row r="1146" spans="1:15" ht="13.5" customHeight="1" x14ac:dyDescent="0.25">
      <c r="A1146" s="13" t="s">
        <v>2669</v>
      </c>
      <c r="B1146" s="49" t="s">
        <v>2638</v>
      </c>
      <c r="C1146" s="14" t="s">
        <v>2670</v>
      </c>
      <c r="D1146" s="50" t="s">
        <v>2640</v>
      </c>
      <c r="E1146" s="65" t="s">
        <v>841</v>
      </c>
      <c r="F1146" s="54" t="s">
        <v>485</v>
      </c>
      <c r="G1146" s="54" t="s">
        <v>485</v>
      </c>
      <c r="H1146" s="54" t="s">
        <v>485</v>
      </c>
      <c r="I1146" s="43">
        <f>'01_PARÂMETROS'!$B$9</f>
        <v>50</v>
      </c>
      <c r="J1146" s="44">
        <f t="shared" si="54"/>
        <v>0.9</v>
      </c>
      <c r="K1146" s="62">
        <f>MAX('01_PARÂMETROS'!$B$11,MIN('01_PARÂMETROS'!$B$12,J1146))</f>
        <v>0.9</v>
      </c>
      <c r="L1146" s="63">
        <f t="shared" si="52"/>
        <v>-9.9999999999999978E-2</v>
      </c>
      <c r="M1146" s="17" t="str">
        <f>IF(K1146&lt;='01_PARÂMETROS'!$B$14,"Preferencial",IF(K1146&lt;='01_PARÂMETROS'!$B$15,"Baixo",IF(K1146&lt;='01_PARÂMETROS'!$B$16,"Médio",IF(K1146&lt;='01_PARÂMETROS'!$B$17,"Alto","Elevado"))))</f>
        <v>Baixo</v>
      </c>
      <c r="N1146" s="58" t="s">
        <v>486</v>
      </c>
      <c r="O1146" s="61"/>
    </row>
    <row r="1147" spans="1:15" ht="13.5" customHeight="1" x14ac:dyDescent="0.25">
      <c r="A1147" s="24" t="s">
        <v>2671</v>
      </c>
      <c r="B1147" s="38" t="s">
        <v>2638</v>
      </c>
      <c r="C1147" s="25" t="s">
        <v>2672</v>
      </c>
      <c r="D1147" s="39" t="s">
        <v>2640</v>
      </c>
      <c r="E1147" s="65" t="s">
        <v>841</v>
      </c>
      <c r="F1147" s="54" t="s">
        <v>485</v>
      </c>
      <c r="G1147" s="54" t="s">
        <v>485</v>
      </c>
      <c r="H1147" s="54" t="s">
        <v>485</v>
      </c>
      <c r="I1147" s="43">
        <f>'01_PARÂMETROS'!$B$9</f>
        <v>50</v>
      </c>
      <c r="J1147" s="44">
        <f t="shared" si="54"/>
        <v>0.9</v>
      </c>
      <c r="K1147" s="62">
        <f>MAX('01_PARÂMETROS'!$B$11,MIN('01_PARÂMETROS'!$B$12,J1147))</f>
        <v>0.9</v>
      </c>
      <c r="L1147" s="63">
        <f t="shared" si="52"/>
        <v>-9.9999999999999978E-2</v>
      </c>
      <c r="M1147" s="17" t="str">
        <f>IF(K1147&lt;='01_PARÂMETROS'!$B$14,"Preferencial",IF(K1147&lt;='01_PARÂMETROS'!$B$15,"Baixo",IF(K1147&lt;='01_PARÂMETROS'!$B$16,"Médio",IF(K1147&lt;='01_PARÂMETROS'!$B$17,"Alto","Elevado"))))</f>
        <v>Baixo</v>
      </c>
      <c r="N1147" s="58" t="s">
        <v>486</v>
      </c>
      <c r="O1147" s="54"/>
    </row>
    <row r="1148" spans="1:15" ht="13.5" customHeight="1" x14ac:dyDescent="0.25">
      <c r="A1148" s="13" t="s">
        <v>2673</v>
      </c>
      <c r="B1148" s="49" t="s">
        <v>2638</v>
      </c>
      <c r="C1148" s="14" t="s">
        <v>2674</v>
      </c>
      <c r="D1148" s="50" t="s">
        <v>2640</v>
      </c>
      <c r="E1148" s="65" t="s">
        <v>841</v>
      </c>
      <c r="F1148" s="54" t="s">
        <v>485</v>
      </c>
      <c r="G1148" s="54" t="s">
        <v>485</v>
      </c>
      <c r="H1148" s="54" t="s">
        <v>485</v>
      </c>
      <c r="I1148" s="43">
        <f>'01_PARÂMETROS'!$B$9</f>
        <v>50</v>
      </c>
      <c r="J1148" s="44">
        <f t="shared" si="54"/>
        <v>0.9</v>
      </c>
      <c r="K1148" s="62">
        <f>MAX('01_PARÂMETROS'!$B$11,MIN('01_PARÂMETROS'!$B$12,J1148))</f>
        <v>0.9</v>
      </c>
      <c r="L1148" s="63">
        <f t="shared" si="52"/>
        <v>-9.9999999999999978E-2</v>
      </c>
      <c r="M1148" s="17" t="str">
        <f>IF(K1148&lt;='01_PARÂMETROS'!$B$14,"Preferencial",IF(K1148&lt;='01_PARÂMETROS'!$B$15,"Baixo",IF(K1148&lt;='01_PARÂMETROS'!$B$16,"Médio",IF(K1148&lt;='01_PARÂMETROS'!$B$17,"Alto","Elevado"))))</f>
        <v>Baixo</v>
      </c>
      <c r="N1148" s="58" t="s">
        <v>486</v>
      </c>
      <c r="O1148" s="61"/>
    </row>
    <row r="1149" spans="1:15" ht="13.5" customHeight="1" x14ac:dyDescent="0.25">
      <c r="A1149" s="24" t="s">
        <v>2675</v>
      </c>
      <c r="B1149" s="38" t="s">
        <v>2638</v>
      </c>
      <c r="C1149" s="25" t="s">
        <v>2676</v>
      </c>
      <c r="D1149" s="39" t="s">
        <v>2640</v>
      </c>
      <c r="E1149" s="65" t="s">
        <v>841</v>
      </c>
      <c r="F1149" s="54" t="s">
        <v>485</v>
      </c>
      <c r="G1149" s="54" t="s">
        <v>485</v>
      </c>
      <c r="H1149" s="54" t="s">
        <v>485</v>
      </c>
      <c r="I1149" s="43">
        <f>'01_PARÂMETROS'!$B$9</f>
        <v>50</v>
      </c>
      <c r="J1149" s="44">
        <f t="shared" si="54"/>
        <v>0.9</v>
      </c>
      <c r="K1149" s="62">
        <f>MAX('01_PARÂMETROS'!$B$11,MIN('01_PARÂMETROS'!$B$12,J1149))</f>
        <v>0.9</v>
      </c>
      <c r="L1149" s="63">
        <f t="shared" si="52"/>
        <v>-9.9999999999999978E-2</v>
      </c>
      <c r="M1149" s="17" t="str">
        <f>IF(K1149&lt;='01_PARÂMETROS'!$B$14,"Preferencial",IF(K1149&lt;='01_PARÂMETROS'!$B$15,"Baixo",IF(K1149&lt;='01_PARÂMETROS'!$B$16,"Médio",IF(K1149&lt;='01_PARÂMETROS'!$B$17,"Alto","Elevado"))))</f>
        <v>Baixo</v>
      </c>
      <c r="N1149" s="58" t="s">
        <v>486</v>
      </c>
      <c r="O1149" s="54"/>
    </row>
    <row r="1150" spans="1:15" ht="13.5" customHeight="1" x14ac:dyDescent="0.25">
      <c r="A1150" s="13" t="s">
        <v>2677</v>
      </c>
      <c r="B1150" s="49" t="s">
        <v>2638</v>
      </c>
      <c r="C1150" s="14" t="s">
        <v>2678</v>
      </c>
      <c r="D1150" s="50" t="s">
        <v>2640</v>
      </c>
      <c r="E1150" s="65" t="s">
        <v>841</v>
      </c>
      <c r="F1150" s="54" t="s">
        <v>485</v>
      </c>
      <c r="G1150" s="54" t="s">
        <v>485</v>
      </c>
      <c r="H1150" s="54" t="s">
        <v>485</v>
      </c>
      <c r="I1150" s="43">
        <f>'01_PARÂMETROS'!$B$9</f>
        <v>50</v>
      </c>
      <c r="J1150" s="44">
        <f t="shared" si="54"/>
        <v>0.9</v>
      </c>
      <c r="K1150" s="62">
        <f>MAX('01_PARÂMETROS'!$B$11,MIN('01_PARÂMETROS'!$B$12,J1150))</f>
        <v>0.9</v>
      </c>
      <c r="L1150" s="63">
        <f t="shared" si="52"/>
        <v>-9.9999999999999978E-2</v>
      </c>
      <c r="M1150" s="17" t="str">
        <f>IF(K1150&lt;='01_PARÂMETROS'!$B$14,"Preferencial",IF(K1150&lt;='01_PARÂMETROS'!$B$15,"Baixo",IF(K1150&lt;='01_PARÂMETROS'!$B$16,"Médio",IF(K1150&lt;='01_PARÂMETROS'!$B$17,"Alto","Elevado"))))</f>
        <v>Baixo</v>
      </c>
      <c r="N1150" s="58" t="s">
        <v>486</v>
      </c>
      <c r="O1150" s="61"/>
    </row>
    <row r="1151" spans="1:15" ht="13.5" customHeight="1" x14ac:dyDescent="0.25">
      <c r="A1151" s="24" t="s">
        <v>2679</v>
      </c>
      <c r="B1151" s="38" t="s">
        <v>2638</v>
      </c>
      <c r="C1151" s="25" t="s">
        <v>2680</v>
      </c>
      <c r="D1151" s="39" t="s">
        <v>2681</v>
      </c>
      <c r="E1151" s="65" t="s">
        <v>841</v>
      </c>
      <c r="F1151" s="54" t="s">
        <v>485</v>
      </c>
      <c r="G1151" s="54" t="s">
        <v>485</v>
      </c>
      <c r="H1151" s="54" t="s">
        <v>485</v>
      </c>
      <c r="I1151" s="43">
        <f>'01_PARÂMETROS'!$B$9</f>
        <v>50</v>
      </c>
      <c r="J1151" s="44">
        <f t="shared" si="54"/>
        <v>0.9</v>
      </c>
      <c r="K1151" s="62">
        <f>MAX('01_PARÂMETROS'!$B$11,MIN('01_PARÂMETROS'!$B$12,J1151))</f>
        <v>0.9</v>
      </c>
      <c r="L1151" s="63">
        <f t="shared" si="52"/>
        <v>-9.9999999999999978E-2</v>
      </c>
      <c r="M1151" s="17" t="str">
        <f>IF(K1151&lt;='01_PARÂMETROS'!$B$14,"Preferencial",IF(K1151&lt;='01_PARÂMETROS'!$B$15,"Baixo",IF(K1151&lt;='01_PARÂMETROS'!$B$16,"Médio",IF(K1151&lt;='01_PARÂMETROS'!$B$17,"Alto","Elevado"))))</f>
        <v>Baixo</v>
      </c>
      <c r="N1151" s="58" t="s">
        <v>486</v>
      </c>
      <c r="O1151" s="54"/>
    </row>
    <row r="1152" spans="1:15" ht="13.5" customHeight="1" x14ac:dyDescent="0.25">
      <c r="A1152" s="13" t="s">
        <v>2682</v>
      </c>
      <c r="B1152" s="49" t="s">
        <v>2638</v>
      </c>
      <c r="C1152" s="14" t="s">
        <v>2683</v>
      </c>
      <c r="D1152" s="50" t="s">
        <v>2681</v>
      </c>
      <c r="E1152" s="65" t="s">
        <v>841</v>
      </c>
      <c r="F1152" s="54" t="s">
        <v>485</v>
      </c>
      <c r="G1152" s="54" t="s">
        <v>485</v>
      </c>
      <c r="H1152" s="54" t="s">
        <v>485</v>
      </c>
      <c r="I1152" s="43">
        <f>'01_PARÂMETROS'!$B$9</f>
        <v>50</v>
      </c>
      <c r="J1152" s="44">
        <f t="shared" si="54"/>
        <v>0.9</v>
      </c>
      <c r="K1152" s="62">
        <f>MAX('01_PARÂMETROS'!$B$11,MIN('01_PARÂMETROS'!$B$12,J1152))</f>
        <v>0.9</v>
      </c>
      <c r="L1152" s="63">
        <f t="shared" si="52"/>
        <v>-9.9999999999999978E-2</v>
      </c>
      <c r="M1152" s="17" t="str">
        <f>IF(K1152&lt;='01_PARÂMETROS'!$B$14,"Preferencial",IF(K1152&lt;='01_PARÂMETROS'!$B$15,"Baixo",IF(K1152&lt;='01_PARÂMETROS'!$B$16,"Médio",IF(K1152&lt;='01_PARÂMETROS'!$B$17,"Alto","Elevado"))))</f>
        <v>Baixo</v>
      </c>
      <c r="N1152" s="58" t="s">
        <v>486</v>
      </c>
      <c r="O1152" s="61"/>
    </row>
    <row r="1153" spans="1:15" ht="13.5" customHeight="1" x14ac:dyDescent="0.25">
      <c r="A1153" s="24" t="s">
        <v>2684</v>
      </c>
      <c r="B1153" s="38" t="s">
        <v>2638</v>
      </c>
      <c r="C1153" s="25" t="s">
        <v>2685</v>
      </c>
      <c r="D1153" s="39" t="s">
        <v>2681</v>
      </c>
      <c r="E1153" s="65" t="s">
        <v>841</v>
      </c>
      <c r="F1153" s="54" t="s">
        <v>485</v>
      </c>
      <c r="G1153" s="54" t="s">
        <v>485</v>
      </c>
      <c r="H1153" s="54" t="s">
        <v>485</v>
      </c>
      <c r="I1153" s="43">
        <f>'01_PARÂMETROS'!$B$9</f>
        <v>50</v>
      </c>
      <c r="J1153" s="44">
        <f t="shared" si="54"/>
        <v>0.9</v>
      </c>
      <c r="K1153" s="62">
        <f>MAX('01_PARÂMETROS'!$B$11,MIN('01_PARÂMETROS'!$B$12,J1153))</f>
        <v>0.9</v>
      </c>
      <c r="L1153" s="63">
        <f t="shared" si="52"/>
        <v>-9.9999999999999978E-2</v>
      </c>
      <c r="M1153" s="17" t="str">
        <f>IF(K1153&lt;='01_PARÂMETROS'!$B$14,"Preferencial",IF(K1153&lt;='01_PARÂMETROS'!$B$15,"Baixo",IF(K1153&lt;='01_PARÂMETROS'!$B$16,"Médio",IF(K1153&lt;='01_PARÂMETROS'!$B$17,"Alto","Elevado"))))</f>
        <v>Baixo</v>
      </c>
      <c r="N1153" s="58" t="s">
        <v>486</v>
      </c>
      <c r="O1153" s="54"/>
    </row>
    <row r="1154" spans="1:15" ht="13.5" customHeight="1" x14ac:dyDescent="0.25">
      <c r="A1154" s="13" t="s">
        <v>2686</v>
      </c>
      <c r="B1154" s="49" t="s">
        <v>2638</v>
      </c>
      <c r="C1154" s="14" t="s">
        <v>2687</v>
      </c>
      <c r="D1154" s="50" t="s">
        <v>2688</v>
      </c>
      <c r="E1154" s="65" t="s">
        <v>841</v>
      </c>
      <c r="F1154" s="54" t="s">
        <v>485</v>
      </c>
      <c r="G1154" s="54" t="s">
        <v>485</v>
      </c>
      <c r="H1154" s="54" t="s">
        <v>485</v>
      </c>
      <c r="I1154" s="43">
        <f>'01_PARÂMETROS'!$B$9</f>
        <v>50</v>
      </c>
      <c r="J1154" s="44">
        <f t="shared" si="54"/>
        <v>0.9</v>
      </c>
      <c r="K1154" s="62">
        <f>MAX('01_PARÂMETROS'!$B$11,MIN('01_PARÂMETROS'!$B$12,J1154))</f>
        <v>0.9</v>
      </c>
      <c r="L1154" s="63">
        <f t="shared" si="52"/>
        <v>-9.9999999999999978E-2</v>
      </c>
      <c r="M1154" s="17" t="str">
        <f>IF(K1154&lt;='01_PARÂMETROS'!$B$14,"Preferencial",IF(K1154&lt;='01_PARÂMETROS'!$B$15,"Baixo",IF(K1154&lt;='01_PARÂMETROS'!$B$16,"Médio",IF(K1154&lt;='01_PARÂMETROS'!$B$17,"Alto","Elevado"))))</f>
        <v>Baixo</v>
      </c>
      <c r="N1154" s="58" t="s">
        <v>486</v>
      </c>
      <c r="O1154" s="61"/>
    </row>
    <row r="1155" spans="1:15" ht="13.5" customHeight="1" x14ac:dyDescent="0.25">
      <c r="A1155" s="24" t="s">
        <v>2689</v>
      </c>
      <c r="B1155" s="38" t="s">
        <v>2638</v>
      </c>
      <c r="C1155" s="25" t="s">
        <v>2690</v>
      </c>
      <c r="D1155" s="39" t="s">
        <v>2688</v>
      </c>
      <c r="E1155" s="65" t="s">
        <v>841</v>
      </c>
      <c r="F1155" s="54" t="s">
        <v>485</v>
      </c>
      <c r="G1155" s="54" t="s">
        <v>485</v>
      </c>
      <c r="H1155" s="54" t="s">
        <v>485</v>
      </c>
      <c r="I1155" s="43">
        <f>'01_PARÂMETROS'!$B$9</f>
        <v>50</v>
      </c>
      <c r="J1155" s="44">
        <f t="shared" si="54"/>
        <v>0.9</v>
      </c>
      <c r="K1155" s="62">
        <f>MAX('01_PARÂMETROS'!$B$11,MIN('01_PARÂMETROS'!$B$12,J1155))</f>
        <v>0.9</v>
      </c>
      <c r="L1155" s="63">
        <f t="shared" si="52"/>
        <v>-9.9999999999999978E-2</v>
      </c>
      <c r="M1155" s="17" t="str">
        <f>IF(K1155&lt;='01_PARÂMETROS'!$B$14,"Preferencial",IF(K1155&lt;='01_PARÂMETROS'!$B$15,"Baixo",IF(K1155&lt;='01_PARÂMETROS'!$B$16,"Médio",IF(K1155&lt;='01_PARÂMETROS'!$B$17,"Alto","Elevado"))))</f>
        <v>Baixo</v>
      </c>
      <c r="N1155" s="58" t="s">
        <v>486</v>
      </c>
      <c r="O1155" s="54"/>
    </row>
    <row r="1156" spans="1:15" ht="13.5" customHeight="1" x14ac:dyDescent="0.25">
      <c r="A1156" s="13" t="s">
        <v>2691</v>
      </c>
      <c r="B1156" s="49" t="s">
        <v>2638</v>
      </c>
      <c r="C1156" s="14" t="s">
        <v>2692</v>
      </c>
      <c r="D1156" s="50" t="s">
        <v>2688</v>
      </c>
      <c r="E1156" s="65" t="s">
        <v>841</v>
      </c>
      <c r="F1156" s="54" t="s">
        <v>485</v>
      </c>
      <c r="G1156" s="54" t="s">
        <v>485</v>
      </c>
      <c r="H1156" s="54" t="s">
        <v>485</v>
      </c>
      <c r="I1156" s="43">
        <f>'01_PARÂMETROS'!$B$9</f>
        <v>50</v>
      </c>
      <c r="J1156" s="44">
        <f t="shared" si="54"/>
        <v>0.9</v>
      </c>
      <c r="K1156" s="62">
        <f>MAX('01_PARÂMETROS'!$B$11,MIN('01_PARÂMETROS'!$B$12,J1156))</f>
        <v>0.9</v>
      </c>
      <c r="L1156" s="63">
        <f t="shared" si="52"/>
        <v>-9.9999999999999978E-2</v>
      </c>
      <c r="M1156" s="17" t="str">
        <f>IF(K1156&lt;='01_PARÂMETROS'!$B$14,"Preferencial",IF(K1156&lt;='01_PARÂMETROS'!$B$15,"Baixo",IF(K1156&lt;='01_PARÂMETROS'!$B$16,"Médio",IF(K1156&lt;='01_PARÂMETROS'!$B$17,"Alto","Elevado"))))</f>
        <v>Baixo</v>
      </c>
      <c r="N1156" s="58" t="s">
        <v>486</v>
      </c>
      <c r="O1156" s="61"/>
    </row>
    <row r="1157" spans="1:15" ht="13.5" customHeight="1" x14ac:dyDescent="0.25">
      <c r="A1157" s="24" t="s">
        <v>2693</v>
      </c>
      <c r="B1157" s="38" t="s">
        <v>2638</v>
      </c>
      <c r="C1157" s="25" t="s">
        <v>2694</v>
      </c>
      <c r="D1157" s="39" t="s">
        <v>2695</v>
      </c>
      <c r="E1157" s="64" t="s">
        <v>566</v>
      </c>
      <c r="F1157" s="54" t="s">
        <v>485</v>
      </c>
      <c r="G1157" s="54" t="s">
        <v>485</v>
      </c>
      <c r="H1157" s="54" t="s">
        <v>485</v>
      </c>
      <c r="I1157" s="43">
        <f>'01_PARÂMETROS'!$B$9</f>
        <v>50</v>
      </c>
      <c r="J1157" s="44">
        <f>1.15</f>
        <v>1.1499999999999999</v>
      </c>
      <c r="K1157" s="45">
        <f>MAX('01_PARÂMETROS'!$B$11,MIN('01_PARÂMETROS'!$B$12,J1157))</f>
        <v>1.1499999999999999</v>
      </c>
      <c r="L1157" s="46">
        <f t="shared" ref="L1157:L1220" si="55">(K1157-1)</f>
        <v>0.14999999999999991</v>
      </c>
      <c r="M1157" s="47" t="str">
        <f>IF(K1157&lt;='01_PARÂMETROS'!$B$14,"Preferencial",IF(K1157&lt;='01_PARÂMETROS'!$B$15,"Baixo",IF(K1157&lt;='01_PARÂMETROS'!$B$16,"Médio",IF(K1157&lt;='01_PARÂMETROS'!$B$17,"Alto","Elevado"))))</f>
        <v>Alto</v>
      </c>
      <c r="N1157" s="58" t="s">
        <v>486</v>
      </c>
      <c r="O1157" s="54"/>
    </row>
    <row r="1158" spans="1:15" ht="13.5" customHeight="1" x14ac:dyDescent="0.25">
      <c r="A1158" s="13" t="s">
        <v>2696</v>
      </c>
      <c r="B1158" s="49" t="s">
        <v>2638</v>
      </c>
      <c r="C1158" s="14" t="s">
        <v>2697</v>
      </c>
      <c r="D1158" s="50" t="s">
        <v>2695</v>
      </c>
      <c r="E1158" s="64" t="s">
        <v>566</v>
      </c>
      <c r="F1158" s="54" t="s">
        <v>485</v>
      </c>
      <c r="G1158" s="54" t="s">
        <v>485</v>
      </c>
      <c r="H1158" s="54" t="s">
        <v>485</v>
      </c>
      <c r="I1158" s="43">
        <f>'01_PARÂMETROS'!$B$9</f>
        <v>50</v>
      </c>
      <c r="J1158" s="44">
        <f>1.15</f>
        <v>1.1499999999999999</v>
      </c>
      <c r="K1158" s="45">
        <f>MAX('01_PARÂMETROS'!$B$11,MIN('01_PARÂMETROS'!$B$12,J1158))</f>
        <v>1.1499999999999999</v>
      </c>
      <c r="L1158" s="46">
        <f t="shared" si="55"/>
        <v>0.14999999999999991</v>
      </c>
      <c r="M1158" s="47" t="str">
        <f>IF(K1158&lt;='01_PARÂMETROS'!$B$14,"Preferencial",IF(K1158&lt;='01_PARÂMETROS'!$B$15,"Baixo",IF(K1158&lt;='01_PARÂMETROS'!$B$16,"Médio",IF(K1158&lt;='01_PARÂMETROS'!$B$17,"Alto","Elevado"))))</f>
        <v>Alto</v>
      </c>
      <c r="N1158" s="58" t="s">
        <v>486</v>
      </c>
      <c r="O1158" s="61"/>
    </row>
    <row r="1159" spans="1:15" ht="13.5" customHeight="1" x14ac:dyDescent="0.25">
      <c r="A1159" s="24" t="s">
        <v>2698</v>
      </c>
      <c r="B1159" s="38" t="s">
        <v>2638</v>
      </c>
      <c r="C1159" s="25" t="s">
        <v>2699</v>
      </c>
      <c r="D1159" s="39" t="s">
        <v>2695</v>
      </c>
      <c r="E1159" s="64" t="s">
        <v>566</v>
      </c>
      <c r="F1159" s="54" t="s">
        <v>485</v>
      </c>
      <c r="G1159" s="54" t="s">
        <v>485</v>
      </c>
      <c r="H1159" s="54" t="s">
        <v>485</v>
      </c>
      <c r="I1159" s="43">
        <f>'01_PARÂMETROS'!$B$9</f>
        <v>50</v>
      </c>
      <c r="J1159" s="44">
        <f>1.15</f>
        <v>1.1499999999999999</v>
      </c>
      <c r="K1159" s="45">
        <f>MAX('01_PARÂMETROS'!$B$11,MIN('01_PARÂMETROS'!$B$12,J1159))</f>
        <v>1.1499999999999999</v>
      </c>
      <c r="L1159" s="46">
        <f t="shared" si="55"/>
        <v>0.14999999999999991</v>
      </c>
      <c r="M1159" s="47" t="str">
        <f>IF(K1159&lt;='01_PARÂMETROS'!$B$14,"Preferencial",IF(K1159&lt;='01_PARÂMETROS'!$B$15,"Baixo",IF(K1159&lt;='01_PARÂMETROS'!$B$16,"Médio",IF(K1159&lt;='01_PARÂMETROS'!$B$17,"Alto","Elevado"))))</f>
        <v>Alto</v>
      </c>
      <c r="N1159" s="58" t="s">
        <v>486</v>
      </c>
      <c r="O1159" s="54"/>
    </row>
    <row r="1160" spans="1:15" ht="13.5" customHeight="1" x14ac:dyDescent="0.25">
      <c r="A1160" s="13" t="s">
        <v>2700</v>
      </c>
      <c r="B1160" s="49" t="s">
        <v>2638</v>
      </c>
      <c r="C1160" s="14" t="s">
        <v>2701</v>
      </c>
      <c r="D1160" s="50" t="s">
        <v>2695</v>
      </c>
      <c r="E1160" s="40" t="s">
        <v>477</v>
      </c>
      <c r="F1160" s="54" t="s">
        <v>485</v>
      </c>
      <c r="G1160" s="54" t="s">
        <v>485</v>
      </c>
      <c r="H1160" s="54" t="s">
        <v>485</v>
      </c>
      <c r="I1160" s="43">
        <f>'01_PARÂMETROS'!$B$9</f>
        <v>50</v>
      </c>
      <c r="J1160" s="44">
        <f>1</f>
        <v>1</v>
      </c>
      <c r="K1160" s="55">
        <f>MAX('01_PARÂMETROS'!$B$11,MIN('01_PARÂMETROS'!$B$12,J1160))</f>
        <v>1</v>
      </c>
      <c r="L1160" s="56">
        <f t="shared" si="55"/>
        <v>0</v>
      </c>
      <c r="M1160" s="57" t="str">
        <f>IF(K1160&lt;='01_PARÂMETROS'!$B$14,"Preferencial",IF(K1160&lt;='01_PARÂMETROS'!$B$15,"Baixo",IF(K1160&lt;='01_PARÂMETROS'!$B$16,"Médio",IF(K1160&lt;='01_PARÂMETROS'!$B$17,"Alto","Elevado"))))</f>
        <v>Médio</v>
      </c>
      <c r="N1160" s="58" t="s">
        <v>486</v>
      </c>
      <c r="O1160" s="61"/>
    </row>
    <row r="1161" spans="1:15" ht="13.5" customHeight="1" x14ac:dyDescent="0.25">
      <c r="A1161" s="24" t="s">
        <v>2702</v>
      </c>
      <c r="B1161" s="38" t="s">
        <v>2638</v>
      </c>
      <c r="C1161" s="25" t="s">
        <v>2703</v>
      </c>
      <c r="D1161" s="39" t="s">
        <v>2695</v>
      </c>
      <c r="E1161" s="40" t="s">
        <v>477</v>
      </c>
      <c r="F1161" s="54" t="s">
        <v>485</v>
      </c>
      <c r="G1161" s="54" t="s">
        <v>485</v>
      </c>
      <c r="H1161" s="54" t="s">
        <v>485</v>
      </c>
      <c r="I1161" s="43">
        <f>'01_PARÂMETROS'!$B$9</f>
        <v>50</v>
      </c>
      <c r="J1161" s="44">
        <f>1</f>
        <v>1</v>
      </c>
      <c r="K1161" s="55">
        <f>MAX('01_PARÂMETROS'!$B$11,MIN('01_PARÂMETROS'!$B$12,J1161))</f>
        <v>1</v>
      </c>
      <c r="L1161" s="56">
        <f t="shared" si="55"/>
        <v>0</v>
      </c>
      <c r="M1161" s="57" t="str">
        <f>IF(K1161&lt;='01_PARÂMETROS'!$B$14,"Preferencial",IF(K1161&lt;='01_PARÂMETROS'!$B$15,"Baixo",IF(K1161&lt;='01_PARÂMETROS'!$B$16,"Médio",IF(K1161&lt;='01_PARÂMETROS'!$B$17,"Alto","Elevado"))))</f>
        <v>Médio</v>
      </c>
      <c r="N1161" s="58" t="s">
        <v>486</v>
      </c>
      <c r="O1161" s="54"/>
    </row>
    <row r="1162" spans="1:15" ht="13.5" customHeight="1" x14ac:dyDescent="0.25">
      <c r="A1162" s="13" t="s">
        <v>2704</v>
      </c>
      <c r="B1162" s="49" t="s">
        <v>2638</v>
      </c>
      <c r="C1162" s="14" t="s">
        <v>2705</v>
      </c>
      <c r="D1162" s="50" t="s">
        <v>2695</v>
      </c>
      <c r="E1162" s="40" t="s">
        <v>477</v>
      </c>
      <c r="F1162" s="54" t="s">
        <v>485</v>
      </c>
      <c r="G1162" s="54" t="s">
        <v>485</v>
      </c>
      <c r="H1162" s="54" t="s">
        <v>485</v>
      </c>
      <c r="I1162" s="43">
        <f>'01_PARÂMETROS'!$B$9</f>
        <v>50</v>
      </c>
      <c r="J1162" s="44">
        <f>1</f>
        <v>1</v>
      </c>
      <c r="K1162" s="55">
        <f>MAX('01_PARÂMETROS'!$B$11,MIN('01_PARÂMETROS'!$B$12,J1162))</f>
        <v>1</v>
      </c>
      <c r="L1162" s="56">
        <f t="shared" si="55"/>
        <v>0</v>
      </c>
      <c r="M1162" s="57" t="str">
        <f>IF(K1162&lt;='01_PARÂMETROS'!$B$14,"Preferencial",IF(K1162&lt;='01_PARÂMETROS'!$B$15,"Baixo",IF(K1162&lt;='01_PARÂMETROS'!$B$16,"Médio",IF(K1162&lt;='01_PARÂMETROS'!$B$17,"Alto","Elevado"))))</f>
        <v>Médio</v>
      </c>
      <c r="N1162" s="58" t="s">
        <v>486</v>
      </c>
      <c r="O1162" s="61"/>
    </row>
    <row r="1163" spans="1:15" ht="13.5" customHeight="1" x14ac:dyDescent="0.25">
      <c r="A1163" s="24" t="s">
        <v>2706</v>
      </c>
      <c r="B1163" s="38" t="s">
        <v>2638</v>
      </c>
      <c r="C1163" s="25" t="s">
        <v>2707</v>
      </c>
      <c r="D1163" s="39" t="s">
        <v>2708</v>
      </c>
      <c r="E1163" s="40" t="s">
        <v>477</v>
      </c>
      <c r="F1163" s="54" t="s">
        <v>485</v>
      </c>
      <c r="G1163" s="54" t="s">
        <v>485</v>
      </c>
      <c r="H1163" s="54" t="s">
        <v>485</v>
      </c>
      <c r="I1163" s="43">
        <f>'01_PARÂMETROS'!$B$9</f>
        <v>50</v>
      </c>
      <c r="J1163" s="44">
        <f>1</f>
        <v>1</v>
      </c>
      <c r="K1163" s="55">
        <f>MAX('01_PARÂMETROS'!$B$11,MIN('01_PARÂMETROS'!$B$12,J1163))</f>
        <v>1</v>
      </c>
      <c r="L1163" s="56">
        <f t="shared" si="55"/>
        <v>0</v>
      </c>
      <c r="M1163" s="57" t="str">
        <f>IF(K1163&lt;='01_PARÂMETROS'!$B$14,"Preferencial",IF(K1163&lt;='01_PARÂMETROS'!$B$15,"Baixo",IF(K1163&lt;='01_PARÂMETROS'!$B$16,"Médio",IF(K1163&lt;='01_PARÂMETROS'!$B$17,"Alto","Elevado"))))</f>
        <v>Médio</v>
      </c>
      <c r="N1163" s="58" t="s">
        <v>486</v>
      </c>
      <c r="O1163" s="54"/>
    </row>
    <row r="1164" spans="1:15" ht="13.5" customHeight="1" x14ac:dyDescent="0.25">
      <c r="A1164" s="13" t="s">
        <v>2709</v>
      </c>
      <c r="B1164" s="49" t="s">
        <v>2638</v>
      </c>
      <c r="C1164" s="14" t="s">
        <v>2710</v>
      </c>
      <c r="D1164" s="50" t="s">
        <v>2708</v>
      </c>
      <c r="E1164" s="40" t="s">
        <v>477</v>
      </c>
      <c r="F1164" s="54" t="s">
        <v>485</v>
      </c>
      <c r="G1164" s="54" t="s">
        <v>485</v>
      </c>
      <c r="H1164" s="54" t="s">
        <v>485</v>
      </c>
      <c r="I1164" s="43">
        <f>'01_PARÂMETROS'!$B$9</f>
        <v>50</v>
      </c>
      <c r="J1164" s="44">
        <f>1</f>
        <v>1</v>
      </c>
      <c r="K1164" s="55">
        <f>MAX('01_PARÂMETROS'!$B$11,MIN('01_PARÂMETROS'!$B$12,J1164))</f>
        <v>1</v>
      </c>
      <c r="L1164" s="56">
        <f t="shared" si="55"/>
        <v>0</v>
      </c>
      <c r="M1164" s="57" t="str">
        <f>IF(K1164&lt;='01_PARÂMETROS'!$B$14,"Preferencial",IF(K1164&lt;='01_PARÂMETROS'!$B$15,"Baixo",IF(K1164&lt;='01_PARÂMETROS'!$B$16,"Médio",IF(K1164&lt;='01_PARÂMETROS'!$B$17,"Alto","Elevado"))))</f>
        <v>Médio</v>
      </c>
      <c r="N1164" s="58" t="s">
        <v>486</v>
      </c>
      <c r="O1164" s="61"/>
    </row>
    <row r="1165" spans="1:15" ht="13.5" customHeight="1" x14ac:dyDescent="0.25">
      <c r="A1165" s="24" t="s">
        <v>2711</v>
      </c>
      <c r="B1165" s="38" t="s">
        <v>2638</v>
      </c>
      <c r="C1165" s="25" t="s">
        <v>2712</v>
      </c>
      <c r="D1165" s="39" t="s">
        <v>2708</v>
      </c>
      <c r="E1165" s="40" t="s">
        <v>477</v>
      </c>
      <c r="F1165" s="54" t="s">
        <v>485</v>
      </c>
      <c r="G1165" s="54" t="s">
        <v>485</v>
      </c>
      <c r="H1165" s="54" t="s">
        <v>485</v>
      </c>
      <c r="I1165" s="43">
        <f>'01_PARÂMETROS'!$B$9</f>
        <v>50</v>
      </c>
      <c r="J1165" s="44">
        <f>1</f>
        <v>1</v>
      </c>
      <c r="K1165" s="55">
        <f>MAX('01_PARÂMETROS'!$B$11,MIN('01_PARÂMETROS'!$B$12,J1165))</f>
        <v>1</v>
      </c>
      <c r="L1165" s="56">
        <f t="shared" si="55"/>
        <v>0</v>
      </c>
      <c r="M1165" s="57" t="str">
        <f>IF(K1165&lt;='01_PARÂMETROS'!$B$14,"Preferencial",IF(K1165&lt;='01_PARÂMETROS'!$B$15,"Baixo",IF(K1165&lt;='01_PARÂMETROS'!$B$16,"Médio",IF(K1165&lt;='01_PARÂMETROS'!$B$17,"Alto","Elevado"))))</f>
        <v>Médio</v>
      </c>
      <c r="N1165" s="58" t="s">
        <v>486</v>
      </c>
      <c r="O1165" s="54"/>
    </row>
    <row r="1166" spans="1:15" ht="13.5" customHeight="1" x14ac:dyDescent="0.25">
      <c r="A1166" s="13" t="s">
        <v>2713</v>
      </c>
      <c r="B1166" s="49" t="s">
        <v>2638</v>
      </c>
      <c r="C1166" s="14" t="s">
        <v>2714</v>
      </c>
      <c r="D1166" s="50" t="s">
        <v>2708</v>
      </c>
      <c r="E1166" s="40" t="s">
        <v>477</v>
      </c>
      <c r="F1166" s="54" t="s">
        <v>485</v>
      </c>
      <c r="G1166" s="54" t="s">
        <v>485</v>
      </c>
      <c r="H1166" s="54" t="s">
        <v>485</v>
      </c>
      <c r="I1166" s="43">
        <f>'01_PARÂMETROS'!$B$9</f>
        <v>50</v>
      </c>
      <c r="J1166" s="44">
        <f>1</f>
        <v>1</v>
      </c>
      <c r="K1166" s="55">
        <f>MAX('01_PARÂMETROS'!$B$11,MIN('01_PARÂMETROS'!$B$12,J1166))</f>
        <v>1</v>
      </c>
      <c r="L1166" s="56">
        <f t="shared" si="55"/>
        <v>0</v>
      </c>
      <c r="M1166" s="57" t="str">
        <f>IF(K1166&lt;='01_PARÂMETROS'!$B$14,"Preferencial",IF(K1166&lt;='01_PARÂMETROS'!$B$15,"Baixo",IF(K1166&lt;='01_PARÂMETROS'!$B$16,"Médio",IF(K1166&lt;='01_PARÂMETROS'!$B$17,"Alto","Elevado"))))</f>
        <v>Médio</v>
      </c>
      <c r="N1166" s="58" t="s">
        <v>486</v>
      </c>
      <c r="O1166" s="61"/>
    </row>
    <row r="1167" spans="1:15" ht="13.5" customHeight="1" x14ac:dyDescent="0.25">
      <c r="A1167" s="24" t="s">
        <v>2715</v>
      </c>
      <c r="B1167" s="38" t="s">
        <v>2638</v>
      </c>
      <c r="C1167" s="25" t="s">
        <v>2716</v>
      </c>
      <c r="D1167" s="39" t="s">
        <v>2708</v>
      </c>
      <c r="E1167" s="40" t="s">
        <v>477</v>
      </c>
      <c r="F1167" s="54" t="s">
        <v>485</v>
      </c>
      <c r="G1167" s="54" t="s">
        <v>485</v>
      </c>
      <c r="H1167" s="54" t="s">
        <v>485</v>
      </c>
      <c r="I1167" s="43">
        <f>'01_PARÂMETROS'!$B$9</f>
        <v>50</v>
      </c>
      <c r="J1167" s="44">
        <f>1</f>
        <v>1</v>
      </c>
      <c r="K1167" s="55">
        <f>MAX('01_PARÂMETROS'!$B$11,MIN('01_PARÂMETROS'!$B$12,J1167))</f>
        <v>1</v>
      </c>
      <c r="L1167" s="56">
        <f t="shared" si="55"/>
        <v>0</v>
      </c>
      <c r="M1167" s="57" t="str">
        <f>IF(K1167&lt;='01_PARÂMETROS'!$B$14,"Preferencial",IF(K1167&lt;='01_PARÂMETROS'!$B$15,"Baixo",IF(K1167&lt;='01_PARÂMETROS'!$B$16,"Médio",IF(K1167&lt;='01_PARÂMETROS'!$B$17,"Alto","Elevado"))))</f>
        <v>Médio</v>
      </c>
      <c r="N1167" s="58" t="s">
        <v>486</v>
      </c>
      <c r="O1167" s="54"/>
    </row>
    <row r="1168" spans="1:15" ht="13.5" customHeight="1" x14ac:dyDescent="0.25">
      <c r="A1168" s="13" t="s">
        <v>2717</v>
      </c>
      <c r="B1168" s="49" t="s">
        <v>2638</v>
      </c>
      <c r="C1168" s="14" t="s">
        <v>2718</v>
      </c>
      <c r="D1168" s="50" t="s">
        <v>2708</v>
      </c>
      <c r="E1168" s="40" t="s">
        <v>477</v>
      </c>
      <c r="F1168" s="54" t="s">
        <v>485</v>
      </c>
      <c r="G1168" s="54" t="s">
        <v>485</v>
      </c>
      <c r="H1168" s="54" t="s">
        <v>485</v>
      </c>
      <c r="I1168" s="43">
        <f>'01_PARÂMETROS'!$B$9</f>
        <v>50</v>
      </c>
      <c r="J1168" s="44">
        <f>1</f>
        <v>1</v>
      </c>
      <c r="K1168" s="55">
        <f>MAX('01_PARÂMETROS'!$B$11,MIN('01_PARÂMETROS'!$B$12,J1168))</f>
        <v>1</v>
      </c>
      <c r="L1168" s="56">
        <f t="shared" si="55"/>
        <v>0</v>
      </c>
      <c r="M1168" s="57" t="str">
        <f>IF(K1168&lt;='01_PARÂMETROS'!$B$14,"Preferencial",IF(K1168&lt;='01_PARÂMETROS'!$B$15,"Baixo",IF(K1168&lt;='01_PARÂMETROS'!$B$16,"Médio",IF(K1168&lt;='01_PARÂMETROS'!$B$17,"Alto","Elevado"))))</f>
        <v>Médio</v>
      </c>
      <c r="N1168" s="58" t="s">
        <v>486</v>
      </c>
      <c r="O1168" s="61"/>
    </row>
    <row r="1169" spans="1:15" ht="13.5" customHeight="1" x14ac:dyDescent="0.25">
      <c r="A1169" s="24" t="s">
        <v>2719</v>
      </c>
      <c r="B1169" s="38" t="s">
        <v>2638</v>
      </c>
      <c r="C1169" s="25" t="s">
        <v>2720</v>
      </c>
      <c r="D1169" s="39" t="s">
        <v>2721</v>
      </c>
      <c r="E1169" s="65" t="s">
        <v>841</v>
      </c>
      <c r="F1169" s="54" t="s">
        <v>485</v>
      </c>
      <c r="G1169" s="54" t="s">
        <v>485</v>
      </c>
      <c r="H1169" s="54" t="s">
        <v>485</v>
      </c>
      <c r="I1169" s="43">
        <f>'01_PARÂMETROS'!$B$9</f>
        <v>50</v>
      </c>
      <c r="J1169" s="44">
        <f t="shared" ref="J1169:J1216" si="56">0.9</f>
        <v>0.9</v>
      </c>
      <c r="K1169" s="62">
        <f>MAX('01_PARÂMETROS'!$B$11,MIN('01_PARÂMETROS'!$B$12,J1169))</f>
        <v>0.9</v>
      </c>
      <c r="L1169" s="63">
        <f t="shared" si="55"/>
        <v>-9.9999999999999978E-2</v>
      </c>
      <c r="M1169" s="17" t="str">
        <f>IF(K1169&lt;='01_PARÂMETROS'!$B$14,"Preferencial",IF(K1169&lt;='01_PARÂMETROS'!$B$15,"Baixo",IF(K1169&lt;='01_PARÂMETROS'!$B$16,"Médio",IF(K1169&lt;='01_PARÂMETROS'!$B$17,"Alto","Elevado"))))</f>
        <v>Baixo</v>
      </c>
      <c r="N1169" s="58" t="s">
        <v>486</v>
      </c>
      <c r="O1169" s="54"/>
    </row>
    <row r="1170" spans="1:15" ht="13.5" customHeight="1" x14ac:dyDescent="0.25">
      <c r="A1170" s="13" t="s">
        <v>2722</v>
      </c>
      <c r="B1170" s="49" t="s">
        <v>2638</v>
      </c>
      <c r="C1170" s="14" t="s">
        <v>2723</v>
      </c>
      <c r="D1170" s="50" t="s">
        <v>2721</v>
      </c>
      <c r="E1170" s="65" t="s">
        <v>841</v>
      </c>
      <c r="F1170" s="54" t="s">
        <v>485</v>
      </c>
      <c r="G1170" s="54" t="s">
        <v>485</v>
      </c>
      <c r="H1170" s="54" t="s">
        <v>485</v>
      </c>
      <c r="I1170" s="43">
        <f>'01_PARÂMETROS'!$B$9</f>
        <v>50</v>
      </c>
      <c r="J1170" s="44">
        <f t="shared" si="56"/>
        <v>0.9</v>
      </c>
      <c r="K1170" s="62">
        <f>MAX('01_PARÂMETROS'!$B$11,MIN('01_PARÂMETROS'!$B$12,J1170))</f>
        <v>0.9</v>
      </c>
      <c r="L1170" s="63">
        <f t="shared" si="55"/>
        <v>-9.9999999999999978E-2</v>
      </c>
      <c r="M1170" s="17" t="str">
        <f>IF(K1170&lt;='01_PARÂMETROS'!$B$14,"Preferencial",IF(K1170&lt;='01_PARÂMETROS'!$B$15,"Baixo",IF(K1170&lt;='01_PARÂMETROS'!$B$16,"Médio",IF(K1170&lt;='01_PARÂMETROS'!$B$17,"Alto","Elevado"))))</f>
        <v>Baixo</v>
      </c>
      <c r="N1170" s="58" t="s">
        <v>486</v>
      </c>
      <c r="O1170" s="61"/>
    </row>
    <row r="1171" spans="1:15" ht="13.5" customHeight="1" x14ac:dyDescent="0.25">
      <c r="A1171" s="24" t="s">
        <v>2724</v>
      </c>
      <c r="B1171" s="38" t="s">
        <v>2638</v>
      </c>
      <c r="C1171" s="25" t="s">
        <v>2725</v>
      </c>
      <c r="D1171" s="39" t="s">
        <v>2721</v>
      </c>
      <c r="E1171" s="65" t="s">
        <v>841</v>
      </c>
      <c r="F1171" s="54" t="s">
        <v>485</v>
      </c>
      <c r="G1171" s="54" t="s">
        <v>485</v>
      </c>
      <c r="H1171" s="54" t="s">
        <v>485</v>
      </c>
      <c r="I1171" s="43">
        <f>'01_PARÂMETROS'!$B$9</f>
        <v>50</v>
      </c>
      <c r="J1171" s="44">
        <f t="shared" si="56"/>
        <v>0.9</v>
      </c>
      <c r="K1171" s="62">
        <f>MAX('01_PARÂMETROS'!$B$11,MIN('01_PARÂMETROS'!$B$12,J1171))</f>
        <v>0.9</v>
      </c>
      <c r="L1171" s="63">
        <f t="shared" si="55"/>
        <v>-9.9999999999999978E-2</v>
      </c>
      <c r="M1171" s="17" t="str">
        <f>IF(K1171&lt;='01_PARÂMETROS'!$B$14,"Preferencial",IF(K1171&lt;='01_PARÂMETROS'!$B$15,"Baixo",IF(K1171&lt;='01_PARÂMETROS'!$B$16,"Médio",IF(K1171&lt;='01_PARÂMETROS'!$B$17,"Alto","Elevado"))))</f>
        <v>Baixo</v>
      </c>
      <c r="N1171" s="58" t="s">
        <v>486</v>
      </c>
      <c r="O1171" s="54"/>
    </row>
    <row r="1172" spans="1:15" ht="13.5" customHeight="1" x14ac:dyDescent="0.25">
      <c r="A1172" s="13" t="s">
        <v>2726</v>
      </c>
      <c r="B1172" s="49" t="s">
        <v>2638</v>
      </c>
      <c r="C1172" s="14" t="s">
        <v>2727</v>
      </c>
      <c r="D1172" s="50" t="s">
        <v>2721</v>
      </c>
      <c r="E1172" s="65" t="s">
        <v>841</v>
      </c>
      <c r="F1172" s="54" t="s">
        <v>485</v>
      </c>
      <c r="G1172" s="54" t="s">
        <v>485</v>
      </c>
      <c r="H1172" s="54" t="s">
        <v>485</v>
      </c>
      <c r="I1172" s="43">
        <f>'01_PARÂMETROS'!$B$9</f>
        <v>50</v>
      </c>
      <c r="J1172" s="44">
        <f t="shared" si="56"/>
        <v>0.9</v>
      </c>
      <c r="K1172" s="62">
        <f>MAX('01_PARÂMETROS'!$B$11,MIN('01_PARÂMETROS'!$B$12,J1172))</f>
        <v>0.9</v>
      </c>
      <c r="L1172" s="63">
        <f t="shared" si="55"/>
        <v>-9.9999999999999978E-2</v>
      </c>
      <c r="M1172" s="17" t="str">
        <f>IF(K1172&lt;='01_PARÂMETROS'!$B$14,"Preferencial",IF(K1172&lt;='01_PARÂMETROS'!$B$15,"Baixo",IF(K1172&lt;='01_PARÂMETROS'!$B$16,"Médio",IF(K1172&lt;='01_PARÂMETROS'!$B$17,"Alto","Elevado"))))</f>
        <v>Baixo</v>
      </c>
      <c r="N1172" s="58" t="s">
        <v>486</v>
      </c>
      <c r="O1172" s="61"/>
    </row>
    <row r="1173" spans="1:15" ht="13.5" customHeight="1" x14ac:dyDescent="0.25">
      <c r="A1173" s="24" t="s">
        <v>2728</v>
      </c>
      <c r="B1173" s="38" t="s">
        <v>2638</v>
      </c>
      <c r="C1173" s="25" t="s">
        <v>2729</v>
      </c>
      <c r="D1173" s="39" t="s">
        <v>2721</v>
      </c>
      <c r="E1173" s="65" t="s">
        <v>841</v>
      </c>
      <c r="F1173" s="54" t="s">
        <v>485</v>
      </c>
      <c r="G1173" s="54" t="s">
        <v>485</v>
      </c>
      <c r="H1173" s="54" t="s">
        <v>485</v>
      </c>
      <c r="I1173" s="43">
        <f>'01_PARÂMETROS'!$B$9</f>
        <v>50</v>
      </c>
      <c r="J1173" s="44">
        <f t="shared" si="56"/>
        <v>0.9</v>
      </c>
      <c r="K1173" s="62">
        <f>MAX('01_PARÂMETROS'!$B$11,MIN('01_PARÂMETROS'!$B$12,J1173))</f>
        <v>0.9</v>
      </c>
      <c r="L1173" s="63">
        <f t="shared" si="55"/>
        <v>-9.9999999999999978E-2</v>
      </c>
      <c r="M1173" s="17" t="str">
        <f>IF(K1173&lt;='01_PARÂMETROS'!$B$14,"Preferencial",IF(K1173&lt;='01_PARÂMETROS'!$B$15,"Baixo",IF(K1173&lt;='01_PARÂMETROS'!$B$16,"Médio",IF(K1173&lt;='01_PARÂMETROS'!$B$17,"Alto","Elevado"))))</f>
        <v>Baixo</v>
      </c>
      <c r="N1173" s="58" t="s">
        <v>486</v>
      </c>
      <c r="O1173" s="54"/>
    </row>
    <row r="1174" spans="1:15" ht="13.5" customHeight="1" x14ac:dyDescent="0.25">
      <c r="A1174" s="13" t="s">
        <v>2730</v>
      </c>
      <c r="B1174" s="49" t="s">
        <v>2638</v>
      </c>
      <c r="C1174" s="14" t="s">
        <v>2731</v>
      </c>
      <c r="D1174" s="50" t="s">
        <v>2721</v>
      </c>
      <c r="E1174" s="65" t="s">
        <v>841</v>
      </c>
      <c r="F1174" s="54" t="s">
        <v>485</v>
      </c>
      <c r="G1174" s="54" t="s">
        <v>485</v>
      </c>
      <c r="H1174" s="54" t="s">
        <v>485</v>
      </c>
      <c r="I1174" s="43">
        <f>'01_PARÂMETROS'!$B$9</f>
        <v>50</v>
      </c>
      <c r="J1174" s="44">
        <f t="shared" si="56"/>
        <v>0.9</v>
      </c>
      <c r="K1174" s="62">
        <f>MAX('01_PARÂMETROS'!$B$11,MIN('01_PARÂMETROS'!$B$12,J1174))</f>
        <v>0.9</v>
      </c>
      <c r="L1174" s="63">
        <f t="shared" si="55"/>
        <v>-9.9999999999999978E-2</v>
      </c>
      <c r="M1174" s="17" t="str">
        <f>IF(K1174&lt;='01_PARÂMETROS'!$B$14,"Preferencial",IF(K1174&lt;='01_PARÂMETROS'!$B$15,"Baixo",IF(K1174&lt;='01_PARÂMETROS'!$B$16,"Médio",IF(K1174&lt;='01_PARÂMETROS'!$B$17,"Alto","Elevado"))))</f>
        <v>Baixo</v>
      </c>
      <c r="N1174" s="58" t="s">
        <v>486</v>
      </c>
      <c r="O1174" s="61"/>
    </row>
    <row r="1175" spans="1:15" ht="13.5" customHeight="1" x14ac:dyDescent="0.25">
      <c r="A1175" s="24" t="s">
        <v>2732</v>
      </c>
      <c r="B1175" s="38" t="s">
        <v>2638</v>
      </c>
      <c r="C1175" s="25" t="s">
        <v>2733</v>
      </c>
      <c r="D1175" s="39" t="s">
        <v>2721</v>
      </c>
      <c r="E1175" s="65" t="s">
        <v>841</v>
      </c>
      <c r="F1175" s="54" t="s">
        <v>485</v>
      </c>
      <c r="G1175" s="54" t="s">
        <v>485</v>
      </c>
      <c r="H1175" s="54" t="s">
        <v>485</v>
      </c>
      <c r="I1175" s="43">
        <f>'01_PARÂMETROS'!$B$9</f>
        <v>50</v>
      </c>
      <c r="J1175" s="44">
        <f t="shared" si="56"/>
        <v>0.9</v>
      </c>
      <c r="K1175" s="62">
        <f>MAX('01_PARÂMETROS'!$B$11,MIN('01_PARÂMETROS'!$B$12,J1175))</f>
        <v>0.9</v>
      </c>
      <c r="L1175" s="63">
        <f t="shared" si="55"/>
        <v>-9.9999999999999978E-2</v>
      </c>
      <c r="M1175" s="17" t="str">
        <f>IF(K1175&lt;='01_PARÂMETROS'!$B$14,"Preferencial",IF(K1175&lt;='01_PARÂMETROS'!$B$15,"Baixo",IF(K1175&lt;='01_PARÂMETROS'!$B$16,"Médio",IF(K1175&lt;='01_PARÂMETROS'!$B$17,"Alto","Elevado"))))</f>
        <v>Baixo</v>
      </c>
      <c r="N1175" s="58" t="s">
        <v>486</v>
      </c>
      <c r="O1175" s="54"/>
    </row>
    <row r="1176" spans="1:15" ht="13.5" customHeight="1" x14ac:dyDescent="0.25">
      <c r="A1176" s="13" t="s">
        <v>2734</v>
      </c>
      <c r="B1176" s="49" t="s">
        <v>2638</v>
      </c>
      <c r="C1176" s="14" t="s">
        <v>2735</v>
      </c>
      <c r="D1176" s="50" t="s">
        <v>2721</v>
      </c>
      <c r="E1176" s="65" t="s">
        <v>841</v>
      </c>
      <c r="F1176" s="54" t="s">
        <v>485</v>
      </c>
      <c r="G1176" s="54" t="s">
        <v>485</v>
      </c>
      <c r="H1176" s="54" t="s">
        <v>485</v>
      </c>
      <c r="I1176" s="43">
        <f>'01_PARÂMETROS'!$B$9</f>
        <v>50</v>
      </c>
      <c r="J1176" s="44">
        <f t="shared" si="56"/>
        <v>0.9</v>
      </c>
      <c r="K1176" s="62">
        <f>MAX('01_PARÂMETROS'!$B$11,MIN('01_PARÂMETROS'!$B$12,J1176))</f>
        <v>0.9</v>
      </c>
      <c r="L1176" s="63">
        <f t="shared" si="55"/>
        <v>-9.9999999999999978E-2</v>
      </c>
      <c r="M1176" s="17" t="str">
        <f>IF(K1176&lt;='01_PARÂMETROS'!$B$14,"Preferencial",IF(K1176&lt;='01_PARÂMETROS'!$B$15,"Baixo",IF(K1176&lt;='01_PARÂMETROS'!$B$16,"Médio",IF(K1176&lt;='01_PARÂMETROS'!$B$17,"Alto","Elevado"))))</f>
        <v>Baixo</v>
      </c>
      <c r="N1176" s="58" t="s">
        <v>486</v>
      </c>
      <c r="O1176" s="61"/>
    </row>
    <row r="1177" spans="1:15" ht="13.5" customHeight="1" x14ac:dyDescent="0.25">
      <c r="A1177" s="24" t="s">
        <v>2736</v>
      </c>
      <c r="B1177" s="38" t="s">
        <v>2638</v>
      </c>
      <c r="C1177" s="25" t="s">
        <v>2737</v>
      </c>
      <c r="D1177" s="39" t="s">
        <v>2721</v>
      </c>
      <c r="E1177" s="65" t="s">
        <v>841</v>
      </c>
      <c r="F1177" s="54" t="s">
        <v>485</v>
      </c>
      <c r="G1177" s="54" t="s">
        <v>485</v>
      </c>
      <c r="H1177" s="54" t="s">
        <v>485</v>
      </c>
      <c r="I1177" s="43">
        <f>'01_PARÂMETROS'!$B$9</f>
        <v>50</v>
      </c>
      <c r="J1177" s="44">
        <f t="shared" si="56"/>
        <v>0.9</v>
      </c>
      <c r="K1177" s="62">
        <f>MAX('01_PARÂMETROS'!$B$11,MIN('01_PARÂMETROS'!$B$12,J1177))</f>
        <v>0.9</v>
      </c>
      <c r="L1177" s="63">
        <f t="shared" si="55"/>
        <v>-9.9999999999999978E-2</v>
      </c>
      <c r="M1177" s="17" t="str">
        <f>IF(K1177&lt;='01_PARÂMETROS'!$B$14,"Preferencial",IF(K1177&lt;='01_PARÂMETROS'!$B$15,"Baixo",IF(K1177&lt;='01_PARÂMETROS'!$B$16,"Médio",IF(K1177&lt;='01_PARÂMETROS'!$B$17,"Alto","Elevado"))))</f>
        <v>Baixo</v>
      </c>
      <c r="N1177" s="58" t="s">
        <v>486</v>
      </c>
      <c r="O1177" s="54"/>
    </row>
    <row r="1178" spans="1:15" ht="13.5" customHeight="1" x14ac:dyDescent="0.25">
      <c r="A1178" s="13" t="s">
        <v>2738</v>
      </c>
      <c r="B1178" s="49" t="s">
        <v>2638</v>
      </c>
      <c r="C1178" s="14" t="s">
        <v>2739</v>
      </c>
      <c r="D1178" s="50" t="s">
        <v>2721</v>
      </c>
      <c r="E1178" s="65" t="s">
        <v>841</v>
      </c>
      <c r="F1178" s="54" t="s">
        <v>485</v>
      </c>
      <c r="G1178" s="54" t="s">
        <v>485</v>
      </c>
      <c r="H1178" s="54" t="s">
        <v>485</v>
      </c>
      <c r="I1178" s="43">
        <f>'01_PARÂMETROS'!$B$9</f>
        <v>50</v>
      </c>
      <c r="J1178" s="44">
        <f t="shared" si="56"/>
        <v>0.9</v>
      </c>
      <c r="K1178" s="62">
        <f>MAX('01_PARÂMETROS'!$B$11,MIN('01_PARÂMETROS'!$B$12,J1178))</f>
        <v>0.9</v>
      </c>
      <c r="L1178" s="63">
        <f t="shared" si="55"/>
        <v>-9.9999999999999978E-2</v>
      </c>
      <c r="M1178" s="17" t="str">
        <f>IF(K1178&lt;='01_PARÂMETROS'!$B$14,"Preferencial",IF(K1178&lt;='01_PARÂMETROS'!$B$15,"Baixo",IF(K1178&lt;='01_PARÂMETROS'!$B$16,"Médio",IF(K1178&lt;='01_PARÂMETROS'!$B$17,"Alto","Elevado"))))</f>
        <v>Baixo</v>
      </c>
      <c r="N1178" s="58" t="s">
        <v>486</v>
      </c>
      <c r="O1178" s="61"/>
    </row>
    <row r="1179" spans="1:15" ht="13.5" customHeight="1" x14ac:dyDescent="0.25">
      <c r="A1179" s="24" t="s">
        <v>2740</v>
      </c>
      <c r="B1179" s="38" t="s">
        <v>2638</v>
      </c>
      <c r="C1179" s="25" t="s">
        <v>2741</v>
      </c>
      <c r="D1179" s="39" t="s">
        <v>2721</v>
      </c>
      <c r="E1179" s="65" t="s">
        <v>841</v>
      </c>
      <c r="F1179" s="54" t="s">
        <v>485</v>
      </c>
      <c r="G1179" s="54" t="s">
        <v>485</v>
      </c>
      <c r="H1179" s="54" t="s">
        <v>485</v>
      </c>
      <c r="I1179" s="43">
        <f>'01_PARÂMETROS'!$B$9</f>
        <v>50</v>
      </c>
      <c r="J1179" s="44">
        <f t="shared" si="56"/>
        <v>0.9</v>
      </c>
      <c r="K1179" s="62">
        <f>MAX('01_PARÂMETROS'!$B$11,MIN('01_PARÂMETROS'!$B$12,J1179))</f>
        <v>0.9</v>
      </c>
      <c r="L1179" s="63">
        <f t="shared" si="55"/>
        <v>-9.9999999999999978E-2</v>
      </c>
      <c r="M1179" s="17" t="str">
        <f>IF(K1179&lt;='01_PARÂMETROS'!$B$14,"Preferencial",IF(K1179&lt;='01_PARÂMETROS'!$B$15,"Baixo",IF(K1179&lt;='01_PARÂMETROS'!$B$16,"Médio",IF(K1179&lt;='01_PARÂMETROS'!$B$17,"Alto","Elevado"))))</f>
        <v>Baixo</v>
      </c>
      <c r="N1179" s="58" t="s">
        <v>486</v>
      </c>
      <c r="O1179" s="54"/>
    </row>
    <row r="1180" spans="1:15" ht="13.5" customHeight="1" x14ac:dyDescent="0.25">
      <c r="A1180" s="13" t="s">
        <v>2742</v>
      </c>
      <c r="B1180" s="49" t="s">
        <v>2638</v>
      </c>
      <c r="C1180" s="14" t="s">
        <v>2743</v>
      </c>
      <c r="D1180" s="50" t="s">
        <v>2721</v>
      </c>
      <c r="E1180" s="65" t="s">
        <v>841</v>
      </c>
      <c r="F1180" s="54" t="s">
        <v>485</v>
      </c>
      <c r="G1180" s="54" t="s">
        <v>485</v>
      </c>
      <c r="H1180" s="54" t="s">
        <v>485</v>
      </c>
      <c r="I1180" s="43">
        <f>'01_PARÂMETROS'!$B$9</f>
        <v>50</v>
      </c>
      <c r="J1180" s="44">
        <f t="shared" si="56"/>
        <v>0.9</v>
      </c>
      <c r="K1180" s="62">
        <f>MAX('01_PARÂMETROS'!$B$11,MIN('01_PARÂMETROS'!$B$12,J1180))</f>
        <v>0.9</v>
      </c>
      <c r="L1180" s="63">
        <f t="shared" si="55"/>
        <v>-9.9999999999999978E-2</v>
      </c>
      <c r="M1180" s="17" t="str">
        <f>IF(K1180&lt;='01_PARÂMETROS'!$B$14,"Preferencial",IF(K1180&lt;='01_PARÂMETROS'!$B$15,"Baixo",IF(K1180&lt;='01_PARÂMETROS'!$B$16,"Médio",IF(K1180&lt;='01_PARÂMETROS'!$B$17,"Alto","Elevado"))))</f>
        <v>Baixo</v>
      </c>
      <c r="N1180" s="58" t="s">
        <v>486</v>
      </c>
      <c r="O1180" s="61"/>
    </row>
    <row r="1181" spans="1:15" ht="13.5" customHeight="1" x14ac:dyDescent="0.25">
      <c r="A1181" s="24" t="s">
        <v>2744</v>
      </c>
      <c r="B1181" s="38" t="s">
        <v>2638</v>
      </c>
      <c r="C1181" s="25" t="s">
        <v>2745</v>
      </c>
      <c r="D1181" s="39" t="s">
        <v>2721</v>
      </c>
      <c r="E1181" s="65" t="s">
        <v>841</v>
      </c>
      <c r="F1181" s="54" t="s">
        <v>485</v>
      </c>
      <c r="G1181" s="54" t="s">
        <v>485</v>
      </c>
      <c r="H1181" s="54" t="s">
        <v>485</v>
      </c>
      <c r="I1181" s="43">
        <f>'01_PARÂMETROS'!$B$9</f>
        <v>50</v>
      </c>
      <c r="J1181" s="44">
        <f t="shared" si="56"/>
        <v>0.9</v>
      </c>
      <c r="K1181" s="62">
        <f>MAX('01_PARÂMETROS'!$B$11,MIN('01_PARÂMETROS'!$B$12,J1181))</f>
        <v>0.9</v>
      </c>
      <c r="L1181" s="63">
        <f t="shared" si="55"/>
        <v>-9.9999999999999978E-2</v>
      </c>
      <c r="M1181" s="17" t="str">
        <f>IF(K1181&lt;='01_PARÂMETROS'!$B$14,"Preferencial",IF(K1181&lt;='01_PARÂMETROS'!$B$15,"Baixo",IF(K1181&lt;='01_PARÂMETROS'!$B$16,"Médio",IF(K1181&lt;='01_PARÂMETROS'!$B$17,"Alto","Elevado"))))</f>
        <v>Baixo</v>
      </c>
      <c r="N1181" s="58" t="s">
        <v>486</v>
      </c>
      <c r="O1181" s="54"/>
    </row>
    <row r="1182" spans="1:15" ht="13.5" customHeight="1" x14ac:dyDescent="0.25">
      <c r="A1182" s="13" t="s">
        <v>2746</v>
      </c>
      <c r="B1182" s="49" t="s">
        <v>2638</v>
      </c>
      <c r="C1182" s="14" t="s">
        <v>2747</v>
      </c>
      <c r="D1182" s="50" t="s">
        <v>2721</v>
      </c>
      <c r="E1182" s="65" t="s">
        <v>841</v>
      </c>
      <c r="F1182" s="54" t="s">
        <v>485</v>
      </c>
      <c r="G1182" s="54" t="s">
        <v>485</v>
      </c>
      <c r="H1182" s="54" t="s">
        <v>485</v>
      </c>
      <c r="I1182" s="43">
        <f>'01_PARÂMETROS'!$B$9</f>
        <v>50</v>
      </c>
      <c r="J1182" s="44">
        <f t="shared" si="56"/>
        <v>0.9</v>
      </c>
      <c r="K1182" s="62">
        <f>MAX('01_PARÂMETROS'!$B$11,MIN('01_PARÂMETROS'!$B$12,J1182))</f>
        <v>0.9</v>
      </c>
      <c r="L1182" s="63">
        <f t="shared" si="55"/>
        <v>-9.9999999999999978E-2</v>
      </c>
      <c r="M1182" s="17" t="str">
        <f>IF(K1182&lt;='01_PARÂMETROS'!$B$14,"Preferencial",IF(K1182&lt;='01_PARÂMETROS'!$B$15,"Baixo",IF(K1182&lt;='01_PARÂMETROS'!$B$16,"Médio",IF(K1182&lt;='01_PARÂMETROS'!$B$17,"Alto","Elevado"))))</f>
        <v>Baixo</v>
      </c>
      <c r="N1182" s="58" t="s">
        <v>486</v>
      </c>
      <c r="O1182" s="61"/>
    </row>
    <row r="1183" spans="1:15" ht="13.5" customHeight="1" x14ac:dyDescent="0.25">
      <c r="A1183" s="24" t="s">
        <v>2748</v>
      </c>
      <c r="B1183" s="38" t="s">
        <v>2638</v>
      </c>
      <c r="C1183" s="25" t="s">
        <v>2749</v>
      </c>
      <c r="D1183" s="39" t="s">
        <v>2721</v>
      </c>
      <c r="E1183" s="65" t="s">
        <v>841</v>
      </c>
      <c r="F1183" s="54" t="s">
        <v>485</v>
      </c>
      <c r="G1183" s="54" t="s">
        <v>485</v>
      </c>
      <c r="H1183" s="54" t="s">
        <v>485</v>
      </c>
      <c r="I1183" s="43">
        <f>'01_PARÂMETROS'!$B$9</f>
        <v>50</v>
      </c>
      <c r="J1183" s="44">
        <f t="shared" si="56"/>
        <v>0.9</v>
      </c>
      <c r="K1183" s="62">
        <f>MAX('01_PARÂMETROS'!$B$11,MIN('01_PARÂMETROS'!$B$12,J1183))</f>
        <v>0.9</v>
      </c>
      <c r="L1183" s="63">
        <f t="shared" si="55"/>
        <v>-9.9999999999999978E-2</v>
      </c>
      <c r="M1183" s="17" t="str">
        <f>IF(K1183&lt;='01_PARÂMETROS'!$B$14,"Preferencial",IF(K1183&lt;='01_PARÂMETROS'!$B$15,"Baixo",IF(K1183&lt;='01_PARÂMETROS'!$B$16,"Médio",IF(K1183&lt;='01_PARÂMETROS'!$B$17,"Alto","Elevado"))))</f>
        <v>Baixo</v>
      </c>
      <c r="N1183" s="58" t="s">
        <v>486</v>
      </c>
      <c r="O1183" s="54"/>
    </row>
    <row r="1184" spans="1:15" ht="13.5" customHeight="1" x14ac:dyDescent="0.25">
      <c r="A1184" s="13" t="s">
        <v>2750</v>
      </c>
      <c r="B1184" s="49" t="s">
        <v>2638</v>
      </c>
      <c r="C1184" s="14" t="s">
        <v>2751</v>
      </c>
      <c r="D1184" s="50" t="s">
        <v>2721</v>
      </c>
      <c r="E1184" s="65" t="s">
        <v>841</v>
      </c>
      <c r="F1184" s="54" t="s">
        <v>485</v>
      </c>
      <c r="G1184" s="54" t="s">
        <v>485</v>
      </c>
      <c r="H1184" s="54" t="s">
        <v>485</v>
      </c>
      <c r="I1184" s="43">
        <f>'01_PARÂMETROS'!$B$9</f>
        <v>50</v>
      </c>
      <c r="J1184" s="44">
        <f t="shared" si="56"/>
        <v>0.9</v>
      </c>
      <c r="K1184" s="62">
        <f>MAX('01_PARÂMETROS'!$B$11,MIN('01_PARÂMETROS'!$B$12,J1184))</f>
        <v>0.9</v>
      </c>
      <c r="L1184" s="63">
        <f t="shared" si="55"/>
        <v>-9.9999999999999978E-2</v>
      </c>
      <c r="M1184" s="17" t="str">
        <f>IF(K1184&lt;='01_PARÂMETROS'!$B$14,"Preferencial",IF(K1184&lt;='01_PARÂMETROS'!$B$15,"Baixo",IF(K1184&lt;='01_PARÂMETROS'!$B$16,"Médio",IF(K1184&lt;='01_PARÂMETROS'!$B$17,"Alto","Elevado"))))</f>
        <v>Baixo</v>
      </c>
      <c r="N1184" s="58" t="s">
        <v>486</v>
      </c>
      <c r="O1184" s="61"/>
    </row>
    <row r="1185" spans="1:15" ht="13.5" customHeight="1" x14ac:dyDescent="0.25">
      <c r="A1185" s="24" t="s">
        <v>2752</v>
      </c>
      <c r="B1185" s="38" t="s">
        <v>2753</v>
      </c>
      <c r="C1185" s="25" t="s">
        <v>2754</v>
      </c>
      <c r="D1185" s="39" t="s">
        <v>2755</v>
      </c>
      <c r="E1185" s="65" t="s">
        <v>841</v>
      </c>
      <c r="F1185" s="54" t="s">
        <v>485</v>
      </c>
      <c r="G1185" s="54" t="s">
        <v>485</v>
      </c>
      <c r="H1185" s="54" t="s">
        <v>485</v>
      </c>
      <c r="I1185" s="43">
        <f>'01_PARÂMETROS'!$B$9</f>
        <v>50</v>
      </c>
      <c r="J1185" s="44">
        <f t="shared" si="56"/>
        <v>0.9</v>
      </c>
      <c r="K1185" s="62">
        <f>MAX('01_PARÂMETROS'!$B$11,MIN('01_PARÂMETROS'!$B$12,J1185))</f>
        <v>0.9</v>
      </c>
      <c r="L1185" s="63">
        <f t="shared" si="55"/>
        <v>-9.9999999999999978E-2</v>
      </c>
      <c r="M1185" s="17" t="str">
        <f>IF(K1185&lt;='01_PARÂMETROS'!$B$14,"Preferencial",IF(K1185&lt;='01_PARÂMETROS'!$B$15,"Baixo",IF(K1185&lt;='01_PARÂMETROS'!$B$16,"Médio",IF(K1185&lt;='01_PARÂMETROS'!$B$17,"Alto","Elevado"))))</f>
        <v>Baixo</v>
      </c>
      <c r="N1185" s="58" t="s">
        <v>486</v>
      </c>
      <c r="O1185" s="54"/>
    </row>
    <row r="1186" spans="1:15" ht="13.5" customHeight="1" x14ac:dyDescent="0.25">
      <c r="A1186" s="13" t="s">
        <v>2756</v>
      </c>
      <c r="B1186" s="49" t="s">
        <v>2753</v>
      </c>
      <c r="C1186" s="14" t="s">
        <v>2757</v>
      </c>
      <c r="D1186" s="50" t="s">
        <v>2755</v>
      </c>
      <c r="E1186" s="65" t="s">
        <v>841</v>
      </c>
      <c r="F1186" s="54" t="s">
        <v>485</v>
      </c>
      <c r="G1186" s="54" t="s">
        <v>485</v>
      </c>
      <c r="H1186" s="54" t="s">
        <v>485</v>
      </c>
      <c r="I1186" s="43">
        <f>'01_PARÂMETROS'!$B$9</f>
        <v>50</v>
      </c>
      <c r="J1186" s="44">
        <f t="shared" si="56"/>
        <v>0.9</v>
      </c>
      <c r="K1186" s="62">
        <f>MAX('01_PARÂMETROS'!$B$11,MIN('01_PARÂMETROS'!$B$12,J1186))</f>
        <v>0.9</v>
      </c>
      <c r="L1186" s="63">
        <f t="shared" si="55"/>
        <v>-9.9999999999999978E-2</v>
      </c>
      <c r="M1186" s="17" t="str">
        <f>IF(K1186&lt;='01_PARÂMETROS'!$B$14,"Preferencial",IF(K1186&lt;='01_PARÂMETROS'!$B$15,"Baixo",IF(K1186&lt;='01_PARÂMETROS'!$B$16,"Médio",IF(K1186&lt;='01_PARÂMETROS'!$B$17,"Alto","Elevado"))))</f>
        <v>Baixo</v>
      </c>
      <c r="N1186" s="58" t="s">
        <v>486</v>
      </c>
      <c r="O1186" s="61"/>
    </row>
    <row r="1187" spans="1:15" ht="13.5" customHeight="1" x14ac:dyDescent="0.25">
      <c r="A1187" s="24" t="s">
        <v>2758</v>
      </c>
      <c r="B1187" s="38" t="s">
        <v>2753</v>
      </c>
      <c r="C1187" s="25" t="s">
        <v>2759</v>
      </c>
      <c r="D1187" s="39" t="s">
        <v>2755</v>
      </c>
      <c r="E1187" s="65" t="s">
        <v>841</v>
      </c>
      <c r="F1187" s="54" t="s">
        <v>485</v>
      </c>
      <c r="G1187" s="54" t="s">
        <v>485</v>
      </c>
      <c r="H1187" s="54" t="s">
        <v>485</v>
      </c>
      <c r="I1187" s="43">
        <f>'01_PARÂMETROS'!$B$9</f>
        <v>50</v>
      </c>
      <c r="J1187" s="44">
        <f t="shared" si="56"/>
        <v>0.9</v>
      </c>
      <c r="K1187" s="62">
        <f>MAX('01_PARÂMETROS'!$B$11,MIN('01_PARÂMETROS'!$B$12,J1187))</f>
        <v>0.9</v>
      </c>
      <c r="L1187" s="63">
        <f t="shared" si="55"/>
        <v>-9.9999999999999978E-2</v>
      </c>
      <c r="M1187" s="17" t="str">
        <f>IF(K1187&lt;='01_PARÂMETROS'!$B$14,"Preferencial",IF(K1187&lt;='01_PARÂMETROS'!$B$15,"Baixo",IF(K1187&lt;='01_PARÂMETROS'!$B$16,"Médio",IF(K1187&lt;='01_PARÂMETROS'!$B$17,"Alto","Elevado"))))</f>
        <v>Baixo</v>
      </c>
      <c r="N1187" s="58" t="s">
        <v>486</v>
      </c>
      <c r="O1187" s="54"/>
    </row>
    <row r="1188" spans="1:15" ht="13.5" customHeight="1" x14ac:dyDescent="0.25">
      <c r="A1188" s="13" t="s">
        <v>2760</v>
      </c>
      <c r="B1188" s="49" t="s">
        <v>2753</v>
      </c>
      <c r="C1188" s="14" t="s">
        <v>2761</v>
      </c>
      <c r="D1188" s="50" t="s">
        <v>2755</v>
      </c>
      <c r="E1188" s="65" t="s">
        <v>841</v>
      </c>
      <c r="F1188" s="54" t="s">
        <v>485</v>
      </c>
      <c r="G1188" s="54" t="s">
        <v>485</v>
      </c>
      <c r="H1188" s="54" t="s">
        <v>485</v>
      </c>
      <c r="I1188" s="43">
        <f>'01_PARÂMETROS'!$B$9</f>
        <v>50</v>
      </c>
      <c r="J1188" s="44">
        <f t="shared" si="56"/>
        <v>0.9</v>
      </c>
      <c r="K1188" s="62">
        <f>MAX('01_PARÂMETROS'!$B$11,MIN('01_PARÂMETROS'!$B$12,J1188))</f>
        <v>0.9</v>
      </c>
      <c r="L1188" s="63">
        <f t="shared" si="55"/>
        <v>-9.9999999999999978E-2</v>
      </c>
      <c r="M1188" s="17" t="str">
        <f>IF(K1188&lt;='01_PARÂMETROS'!$B$14,"Preferencial",IF(K1188&lt;='01_PARÂMETROS'!$B$15,"Baixo",IF(K1188&lt;='01_PARÂMETROS'!$B$16,"Médio",IF(K1188&lt;='01_PARÂMETROS'!$B$17,"Alto","Elevado"))))</f>
        <v>Baixo</v>
      </c>
      <c r="N1188" s="58" t="s">
        <v>486</v>
      </c>
      <c r="O1188" s="61"/>
    </row>
    <row r="1189" spans="1:15" ht="13.5" customHeight="1" x14ac:dyDescent="0.25">
      <c r="A1189" s="24" t="s">
        <v>2762</v>
      </c>
      <c r="B1189" s="38" t="s">
        <v>2753</v>
      </c>
      <c r="C1189" s="25" t="s">
        <v>2763</v>
      </c>
      <c r="D1189" s="39" t="s">
        <v>2755</v>
      </c>
      <c r="E1189" s="65" t="s">
        <v>841</v>
      </c>
      <c r="F1189" s="54" t="s">
        <v>485</v>
      </c>
      <c r="G1189" s="54" t="s">
        <v>485</v>
      </c>
      <c r="H1189" s="54" t="s">
        <v>485</v>
      </c>
      <c r="I1189" s="43">
        <f>'01_PARÂMETROS'!$B$9</f>
        <v>50</v>
      </c>
      <c r="J1189" s="44">
        <f t="shared" si="56"/>
        <v>0.9</v>
      </c>
      <c r="K1189" s="62">
        <f>MAX('01_PARÂMETROS'!$B$11,MIN('01_PARÂMETROS'!$B$12,J1189))</f>
        <v>0.9</v>
      </c>
      <c r="L1189" s="63">
        <f t="shared" si="55"/>
        <v>-9.9999999999999978E-2</v>
      </c>
      <c r="M1189" s="17" t="str">
        <f>IF(K1189&lt;='01_PARÂMETROS'!$B$14,"Preferencial",IF(K1189&lt;='01_PARÂMETROS'!$B$15,"Baixo",IF(K1189&lt;='01_PARÂMETROS'!$B$16,"Médio",IF(K1189&lt;='01_PARÂMETROS'!$B$17,"Alto","Elevado"))))</f>
        <v>Baixo</v>
      </c>
      <c r="N1189" s="58" t="s">
        <v>486</v>
      </c>
      <c r="O1189" s="54"/>
    </row>
    <row r="1190" spans="1:15" ht="13.5" customHeight="1" x14ac:dyDescent="0.25">
      <c r="A1190" s="13" t="s">
        <v>2764</v>
      </c>
      <c r="B1190" s="49" t="s">
        <v>2753</v>
      </c>
      <c r="C1190" s="14" t="s">
        <v>2765</v>
      </c>
      <c r="D1190" s="50" t="s">
        <v>2755</v>
      </c>
      <c r="E1190" s="65" t="s">
        <v>841</v>
      </c>
      <c r="F1190" s="54" t="s">
        <v>485</v>
      </c>
      <c r="G1190" s="54" t="s">
        <v>485</v>
      </c>
      <c r="H1190" s="54" t="s">
        <v>485</v>
      </c>
      <c r="I1190" s="43">
        <f>'01_PARÂMETROS'!$B$9</f>
        <v>50</v>
      </c>
      <c r="J1190" s="44">
        <f t="shared" si="56"/>
        <v>0.9</v>
      </c>
      <c r="K1190" s="62">
        <f>MAX('01_PARÂMETROS'!$B$11,MIN('01_PARÂMETROS'!$B$12,J1190))</f>
        <v>0.9</v>
      </c>
      <c r="L1190" s="63">
        <f t="shared" si="55"/>
        <v>-9.9999999999999978E-2</v>
      </c>
      <c r="M1190" s="17" t="str">
        <f>IF(K1190&lt;='01_PARÂMETROS'!$B$14,"Preferencial",IF(K1190&lt;='01_PARÂMETROS'!$B$15,"Baixo",IF(K1190&lt;='01_PARÂMETROS'!$B$16,"Médio",IF(K1190&lt;='01_PARÂMETROS'!$B$17,"Alto","Elevado"))))</f>
        <v>Baixo</v>
      </c>
      <c r="N1190" s="58" t="s">
        <v>486</v>
      </c>
      <c r="O1190" s="61"/>
    </row>
    <row r="1191" spans="1:15" ht="13.5" customHeight="1" x14ac:dyDescent="0.25">
      <c r="A1191" s="24" t="s">
        <v>2766</v>
      </c>
      <c r="B1191" s="38" t="s">
        <v>2753</v>
      </c>
      <c r="C1191" s="25" t="s">
        <v>2767</v>
      </c>
      <c r="D1191" s="39" t="s">
        <v>2755</v>
      </c>
      <c r="E1191" s="65" t="s">
        <v>841</v>
      </c>
      <c r="F1191" s="54" t="s">
        <v>485</v>
      </c>
      <c r="G1191" s="54" t="s">
        <v>485</v>
      </c>
      <c r="H1191" s="54" t="s">
        <v>485</v>
      </c>
      <c r="I1191" s="43">
        <f>'01_PARÂMETROS'!$B$9</f>
        <v>50</v>
      </c>
      <c r="J1191" s="44">
        <f t="shared" si="56"/>
        <v>0.9</v>
      </c>
      <c r="K1191" s="62">
        <f>MAX('01_PARÂMETROS'!$B$11,MIN('01_PARÂMETROS'!$B$12,J1191))</f>
        <v>0.9</v>
      </c>
      <c r="L1191" s="63">
        <f t="shared" si="55"/>
        <v>-9.9999999999999978E-2</v>
      </c>
      <c r="M1191" s="17" t="str">
        <f>IF(K1191&lt;='01_PARÂMETROS'!$B$14,"Preferencial",IF(K1191&lt;='01_PARÂMETROS'!$B$15,"Baixo",IF(K1191&lt;='01_PARÂMETROS'!$B$16,"Médio",IF(K1191&lt;='01_PARÂMETROS'!$B$17,"Alto","Elevado"))))</f>
        <v>Baixo</v>
      </c>
      <c r="N1191" s="58" t="s">
        <v>486</v>
      </c>
      <c r="O1191" s="54"/>
    </row>
    <row r="1192" spans="1:15" ht="13.5" customHeight="1" x14ac:dyDescent="0.25">
      <c r="A1192" s="13" t="s">
        <v>2768</v>
      </c>
      <c r="B1192" s="49" t="s">
        <v>2753</v>
      </c>
      <c r="C1192" s="14" t="s">
        <v>2769</v>
      </c>
      <c r="D1192" s="50" t="s">
        <v>2755</v>
      </c>
      <c r="E1192" s="65" t="s">
        <v>841</v>
      </c>
      <c r="F1192" s="54" t="s">
        <v>485</v>
      </c>
      <c r="G1192" s="54" t="s">
        <v>485</v>
      </c>
      <c r="H1192" s="54" t="s">
        <v>485</v>
      </c>
      <c r="I1192" s="43">
        <f>'01_PARÂMETROS'!$B$9</f>
        <v>50</v>
      </c>
      <c r="J1192" s="44">
        <f t="shared" si="56"/>
        <v>0.9</v>
      </c>
      <c r="K1192" s="62">
        <f>MAX('01_PARÂMETROS'!$B$11,MIN('01_PARÂMETROS'!$B$12,J1192))</f>
        <v>0.9</v>
      </c>
      <c r="L1192" s="63">
        <f t="shared" si="55"/>
        <v>-9.9999999999999978E-2</v>
      </c>
      <c r="M1192" s="17" t="str">
        <f>IF(K1192&lt;='01_PARÂMETROS'!$B$14,"Preferencial",IF(K1192&lt;='01_PARÂMETROS'!$B$15,"Baixo",IF(K1192&lt;='01_PARÂMETROS'!$B$16,"Médio",IF(K1192&lt;='01_PARÂMETROS'!$B$17,"Alto","Elevado"))))</f>
        <v>Baixo</v>
      </c>
      <c r="N1192" s="58" t="s">
        <v>486</v>
      </c>
      <c r="O1192" s="61"/>
    </row>
    <row r="1193" spans="1:15" ht="13.5" customHeight="1" x14ac:dyDescent="0.25">
      <c r="A1193" s="24" t="s">
        <v>2770</v>
      </c>
      <c r="B1193" s="38" t="s">
        <v>2753</v>
      </c>
      <c r="C1193" s="25" t="s">
        <v>2771</v>
      </c>
      <c r="D1193" s="39" t="s">
        <v>2755</v>
      </c>
      <c r="E1193" s="65" t="s">
        <v>841</v>
      </c>
      <c r="F1193" s="54" t="s">
        <v>485</v>
      </c>
      <c r="G1193" s="54" t="s">
        <v>485</v>
      </c>
      <c r="H1193" s="54" t="s">
        <v>485</v>
      </c>
      <c r="I1193" s="43">
        <f>'01_PARÂMETROS'!$B$9</f>
        <v>50</v>
      </c>
      <c r="J1193" s="44">
        <f t="shared" si="56"/>
        <v>0.9</v>
      </c>
      <c r="K1193" s="62">
        <f>MAX('01_PARÂMETROS'!$B$11,MIN('01_PARÂMETROS'!$B$12,J1193))</f>
        <v>0.9</v>
      </c>
      <c r="L1193" s="63">
        <f t="shared" si="55"/>
        <v>-9.9999999999999978E-2</v>
      </c>
      <c r="M1193" s="17" t="str">
        <f>IF(K1193&lt;='01_PARÂMETROS'!$B$14,"Preferencial",IF(K1193&lt;='01_PARÂMETROS'!$B$15,"Baixo",IF(K1193&lt;='01_PARÂMETROS'!$B$16,"Médio",IF(K1193&lt;='01_PARÂMETROS'!$B$17,"Alto","Elevado"))))</f>
        <v>Baixo</v>
      </c>
      <c r="N1193" s="58" t="s">
        <v>486</v>
      </c>
      <c r="O1193" s="54"/>
    </row>
    <row r="1194" spans="1:15" ht="13.5" customHeight="1" x14ac:dyDescent="0.25">
      <c r="A1194" s="13" t="s">
        <v>2772</v>
      </c>
      <c r="B1194" s="49" t="s">
        <v>2773</v>
      </c>
      <c r="C1194" s="14" t="s">
        <v>2774</v>
      </c>
      <c r="D1194" s="50" t="s">
        <v>2775</v>
      </c>
      <c r="E1194" s="65" t="s">
        <v>841</v>
      </c>
      <c r="F1194" s="54" t="s">
        <v>485</v>
      </c>
      <c r="G1194" s="54" t="s">
        <v>485</v>
      </c>
      <c r="H1194" s="54" t="s">
        <v>485</v>
      </c>
      <c r="I1194" s="43">
        <f>'01_PARÂMETROS'!$B$9</f>
        <v>50</v>
      </c>
      <c r="J1194" s="44">
        <f t="shared" si="56"/>
        <v>0.9</v>
      </c>
      <c r="K1194" s="62">
        <f>MAX('01_PARÂMETROS'!$B$11,MIN('01_PARÂMETROS'!$B$12,J1194))</f>
        <v>0.9</v>
      </c>
      <c r="L1194" s="63">
        <f t="shared" si="55"/>
        <v>-9.9999999999999978E-2</v>
      </c>
      <c r="M1194" s="17" t="str">
        <f>IF(K1194&lt;='01_PARÂMETROS'!$B$14,"Preferencial",IF(K1194&lt;='01_PARÂMETROS'!$B$15,"Baixo",IF(K1194&lt;='01_PARÂMETROS'!$B$16,"Médio",IF(K1194&lt;='01_PARÂMETROS'!$B$17,"Alto","Elevado"))))</f>
        <v>Baixo</v>
      </c>
      <c r="N1194" s="58" t="s">
        <v>486</v>
      </c>
      <c r="O1194" s="61"/>
    </row>
    <row r="1195" spans="1:15" ht="13.5" customHeight="1" x14ac:dyDescent="0.25">
      <c r="A1195" s="24" t="s">
        <v>2776</v>
      </c>
      <c r="B1195" s="38" t="s">
        <v>2773</v>
      </c>
      <c r="C1195" s="25" t="s">
        <v>2777</v>
      </c>
      <c r="D1195" s="39" t="s">
        <v>2775</v>
      </c>
      <c r="E1195" s="65" t="s">
        <v>841</v>
      </c>
      <c r="F1195" s="54" t="s">
        <v>485</v>
      </c>
      <c r="G1195" s="54" t="s">
        <v>485</v>
      </c>
      <c r="H1195" s="54" t="s">
        <v>485</v>
      </c>
      <c r="I1195" s="43">
        <f>'01_PARÂMETROS'!$B$9</f>
        <v>50</v>
      </c>
      <c r="J1195" s="44">
        <f t="shared" si="56"/>
        <v>0.9</v>
      </c>
      <c r="K1195" s="62">
        <f>MAX('01_PARÂMETROS'!$B$11,MIN('01_PARÂMETROS'!$B$12,J1195))</f>
        <v>0.9</v>
      </c>
      <c r="L1195" s="63">
        <f t="shared" si="55"/>
        <v>-9.9999999999999978E-2</v>
      </c>
      <c r="M1195" s="17" t="str">
        <f>IF(K1195&lt;='01_PARÂMETROS'!$B$14,"Preferencial",IF(K1195&lt;='01_PARÂMETROS'!$B$15,"Baixo",IF(K1195&lt;='01_PARÂMETROS'!$B$16,"Médio",IF(K1195&lt;='01_PARÂMETROS'!$B$17,"Alto","Elevado"))))</f>
        <v>Baixo</v>
      </c>
      <c r="N1195" s="58" t="s">
        <v>486</v>
      </c>
      <c r="O1195" s="54"/>
    </row>
    <row r="1196" spans="1:15" ht="13.5" customHeight="1" x14ac:dyDescent="0.25">
      <c r="A1196" s="13" t="s">
        <v>2778</v>
      </c>
      <c r="B1196" s="49" t="s">
        <v>2773</v>
      </c>
      <c r="C1196" s="14" t="s">
        <v>2779</v>
      </c>
      <c r="D1196" s="50" t="s">
        <v>2775</v>
      </c>
      <c r="E1196" s="65" t="s">
        <v>841</v>
      </c>
      <c r="F1196" s="54" t="s">
        <v>485</v>
      </c>
      <c r="G1196" s="54" t="s">
        <v>485</v>
      </c>
      <c r="H1196" s="54" t="s">
        <v>485</v>
      </c>
      <c r="I1196" s="43">
        <f>'01_PARÂMETROS'!$B$9</f>
        <v>50</v>
      </c>
      <c r="J1196" s="44">
        <f t="shared" si="56"/>
        <v>0.9</v>
      </c>
      <c r="K1196" s="62">
        <f>MAX('01_PARÂMETROS'!$B$11,MIN('01_PARÂMETROS'!$B$12,J1196))</f>
        <v>0.9</v>
      </c>
      <c r="L1196" s="63">
        <f t="shared" si="55"/>
        <v>-9.9999999999999978E-2</v>
      </c>
      <c r="M1196" s="17" t="str">
        <f>IF(K1196&lt;='01_PARÂMETROS'!$B$14,"Preferencial",IF(K1196&lt;='01_PARÂMETROS'!$B$15,"Baixo",IF(K1196&lt;='01_PARÂMETROS'!$B$16,"Médio",IF(K1196&lt;='01_PARÂMETROS'!$B$17,"Alto","Elevado"))))</f>
        <v>Baixo</v>
      </c>
      <c r="N1196" s="58" t="s">
        <v>486</v>
      </c>
      <c r="O1196" s="61"/>
    </row>
    <row r="1197" spans="1:15" ht="13.5" customHeight="1" x14ac:dyDescent="0.25">
      <c r="A1197" s="24" t="s">
        <v>2780</v>
      </c>
      <c r="B1197" s="38" t="s">
        <v>2773</v>
      </c>
      <c r="C1197" s="25" t="s">
        <v>2781</v>
      </c>
      <c r="D1197" s="39" t="s">
        <v>2775</v>
      </c>
      <c r="E1197" s="65" t="s">
        <v>841</v>
      </c>
      <c r="F1197" s="54" t="s">
        <v>485</v>
      </c>
      <c r="G1197" s="54" t="s">
        <v>485</v>
      </c>
      <c r="H1197" s="54" t="s">
        <v>485</v>
      </c>
      <c r="I1197" s="43">
        <f>'01_PARÂMETROS'!$B$9</f>
        <v>50</v>
      </c>
      <c r="J1197" s="44">
        <f t="shared" si="56"/>
        <v>0.9</v>
      </c>
      <c r="K1197" s="62">
        <f>MAX('01_PARÂMETROS'!$B$11,MIN('01_PARÂMETROS'!$B$12,J1197))</f>
        <v>0.9</v>
      </c>
      <c r="L1197" s="63">
        <f t="shared" si="55"/>
        <v>-9.9999999999999978E-2</v>
      </c>
      <c r="M1197" s="17" t="str">
        <f>IF(K1197&lt;='01_PARÂMETROS'!$B$14,"Preferencial",IF(K1197&lt;='01_PARÂMETROS'!$B$15,"Baixo",IF(K1197&lt;='01_PARÂMETROS'!$B$16,"Médio",IF(K1197&lt;='01_PARÂMETROS'!$B$17,"Alto","Elevado"))))</f>
        <v>Baixo</v>
      </c>
      <c r="N1197" s="58" t="s">
        <v>486</v>
      </c>
      <c r="O1197" s="54"/>
    </row>
    <row r="1198" spans="1:15" ht="13.5" customHeight="1" x14ac:dyDescent="0.25">
      <c r="A1198" s="13" t="s">
        <v>2782</v>
      </c>
      <c r="B1198" s="49" t="s">
        <v>2773</v>
      </c>
      <c r="C1198" s="14" t="s">
        <v>2783</v>
      </c>
      <c r="D1198" s="50" t="s">
        <v>2775</v>
      </c>
      <c r="E1198" s="65" t="s">
        <v>841</v>
      </c>
      <c r="F1198" s="54" t="s">
        <v>485</v>
      </c>
      <c r="G1198" s="54" t="s">
        <v>485</v>
      </c>
      <c r="H1198" s="54" t="s">
        <v>485</v>
      </c>
      <c r="I1198" s="43">
        <f>'01_PARÂMETROS'!$B$9</f>
        <v>50</v>
      </c>
      <c r="J1198" s="44">
        <f t="shared" si="56"/>
        <v>0.9</v>
      </c>
      <c r="K1198" s="62">
        <f>MAX('01_PARÂMETROS'!$B$11,MIN('01_PARÂMETROS'!$B$12,J1198))</f>
        <v>0.9</v>
      </c>
      <c r="L1198" s="63">
        <f t="shared" si="55"/>
        <v>-9.9999999999999978E-2</v>
      </c>
      <c r="M1198" s="17" t="str">
        <f>IF(K1198&lt;='01_PARÂMETROS'!$B$14,"Preferencial",IF(K1198&lt;='01_PARÂMETROS'!$B$15,"Baixo",IF(K1198&lt;='01_PARÂMETROS'!$B$16,"Médio",IF(K1198&lt;='01_PARÂMETROS'!$B$17,"Alto","Elevado"))))</f>
        <v>Baixo</v>
      </c>
      <c r="N1198" s="58" t="s">
        <v>486</v>
      </c>
      <c r="O1198" s="61"/>
    </row>
    <row r="1199" spans="1:15" ht="13.5" customHeight="1" x14ac:dyDescent="0.25">
      <c r="A1199" s="24" t="s">
        <v>2784</v>
      </c>
      <c r="B1199" s="38" t="s">
        <v>2773</v>
      </c>
      <c r="C1199" s="25" t="s">
        <v>2785</v>
      </c>
      <c r="D1199" s="39" t="s">
        <v>2775</v>
      </c>
      <c r="E1199" s="65" t="s">
        <v>841</v>
      </c>
      <c r="F1199" s="54" t="s">
        <v>485</v>
      </c>
      <c r="G1199" s="54" t="s">
        <v>485</v>
      </c>
      <c r="H1199" s="54" t="s">
        <v>485</v>
      </c>
      <c r="I1199" s="43">
        <f>'01_PARÂMETROS'!$B$9</f>
        <v>50</v>
      </c>
      <c r="J1199" s="44">
        <f t="shared" si="56"/>
        <v>0.9</v>
      </c>
      <c r="K1199" s="62">
        <f>MAX('01_PARÂMETROS'!$B$11,MIN('01_PARÂMETROS'!$B$12,J1199))</f>
        <v>0.9</v>
      </c>
      <c r="L1199" s="63">
        <f t="shared" si="55"/>
        <v>-9.9999999999999978E-2</v>
      </c>
      <c r="M1199" s="17" t="str">
        <f>IF(K1199&lt;='01_PARÂMETROS'!$B$14,"Preferencial",IF(K1199&lt;='01_PARÂMETROS'!$B$15,"Baixo",IF(K1199&lt;='01_PARÂMETROS'!$B$16,"Médio",IF(K1199&lt;='01_PARÂMETROS'!$B$17,"Alto","Elevado"))))</f>
        <v>Baixo</v>
      </c>
      <c r="N1199" s="58" t="s">
        <v>486</v>
      </c>
      <c r="O1199" s="54"/>
    </row>
    <row r="1200" spans="1:15" ht="13.5" customHeight="1" x14ac:dyDescent="0.25">
      <c r="A1200" s="13" t="s">
        <v>2786</v>
      </c>
      <c r="B1200" s="49" t="s">
        <v>2773</v>
      </c>
      <c r="C1200" s="14" t="s">
        <v>2787</v>
      </c>
      <c r="D1200" s="50" t="s">
        <v>2775</v>
      </c>
      <c r="E1200" s="65" t="s">
        <v>841</v>
      </c>
      <c r="F1200" s="54" t="s">
        <v>485</v>
      </c>
      <c r="G1200" s="54" t="s">
        <v>485</v>
      </c>
      <c r="H1200" s="54" t="s">
        <v>485</v>
      </c>
      <c r="I1200" s="43">
        <f>'01_PARÂMETROS'!$B$9</f>
        <v>50</v>
      </c>
      <c r="J1200" s="44">
        <f t="shared" si="56"/>
        <v>0.9</v>
      </c>
      <c r="K1200" s="62">
        <f>MAX('01_PARÂMETROS'!$B$11,MIN('01_PARÂMETROS'!$B$12,J1200))</f>
        <v>0.9</v>
      </c>
      <c r="L1200" s="63">
        <f t="shared" si="55"/>
        <v>-9.9999999999999978E-2</v>
      </c>
      <c r="M1200" s="17" t="str">
        <f>IF(K1200&lt;='01_PARÂMETROS'!$B$14,"Preferencial",IF(K1200&lt;='01_PARÂMETROS'!$B$15,"Baixo",IF(K1200&lt;='01_PARÂMETROS'!$B$16,"Médio",IF(K1200&lt;='01_PARÂMETROS'!$B$17,"Alto","Elevado"))))</f>
        <v>Baixo</v>
      </c>
      <c r="N1200" s="58" t="s">
        <v>486</v>
      </c>
      <c r="O1200" s="61"/>
    </row>
    <row r="1201" spans="1:15" ht="13.5" customHeight="1" x14ac:dyDescent="0.25">
      <c r="A1201" s="24" t="s">
        <v>2788</v>
      </c>
      <c r="B1201" s="38" t="s">
        <v>2773</v>
      </c>
      <c r="C1201" s="25" t="s">
        <v>2789</v>
      </c>
      <c r="D1201" s="39" t="s">
        <v>2775</v>
      </c>
      <c r="E1201" s="65" t="s">
        <v>841</v>
      </c>
      <c r="F1201" s="54" t="s">
        <v>485</v>
      </c>
      <c r="G1201" s="54" t="s">
        <v>485</v>
      </c>
      <c r="H1201" s="54" t="s">
        <v>485</v>
      </c>
      <c r="I1201" s="43">
        <f>'01_PARÂMETROS'!$B$9</f>
        <v>50</v>
      </c>
      <c r="J1201" s="44">
        <f t="shared" si="56"/>
        <v>0.9</v>
      </c>
      <c r="K1201" s="62">
        <f>MAX('01_PARÂMETROS'!$B$11,MIN('01_PARÂMETROS'!$B$12,J1201))</f>
        <v>0.9</v>
      </c>
      <c r="L1201" s="63">
        <f t="shared" si="55"/>
        <v>-9.9999999999999978E-2</v>
      </c>
      <c r="M1201" s="17" t="str">
        <f>IF(K1201&lt;='01_PARÂMETROS'!$B$14,"Preferencial",IF(K1201&lt;='01_PARÂMETROS'!$B$15,"Baixo",IF(K1201&lt;='01_PARÂMETROS'!$B$16,"Médio",IF(K1201&lt;='01_PARÂMETROS'!$B$17,"Alto","Elevado"))))</f>
        <v>Baixo</v>
      </c>
      <c r="N1201" s="58" t="s">
        <v>486</v>
      </c>
      <c r="O1201" s="54"/>
    </row>
    <row r="1202" spans="1:15" ht="13.5" customHeight="1" x14ac:dyDescent="0.25">
      <c r="A1202" s="13" t="s">
        <v>2790</v>
      </c>
      <c r="B1202" s="49" t="s">
        <v>2773</v>
      </c>
      <c r="C1202" s="14" t="s">
        <v>2791</v>
      </c>
      <c r="D1202" s="50" t="s">
        <v>2775</v>
      </c>
      <c r="E1202" s="65" t="s">
        <v>841</v>
      </c>
      <c r="F1202" s="54" t="s">
        <v>485</v>
      </c>
      <c r="G1202" s="54" t="s">
        <v>485</v>
      </c>
      <c r="H1202" s="54" t="s">
        <v>485</v>
      </c>
      <c r="I1202" s="43">
        <f>'01_PARÂMETROS'!$B$9</f>
        <v>50</v>
      </c>
      <c r="J1202" s="44">
        <f t="shared" si="56"/>
        <v>0.9</v>
      </c>
      <c r="K1202" s="62">
        <f>MAX('01_PARÂMETROS'!$B$11,MIN('01_PARÂMETROS'!$B$12,J1202))</f>
        <v>0.9</v>
      </c>
      <c r="L1202" s="63">
        <f t="shared" si="55"/>
        <v>-9.9999999999999978E-2</v>
      </c>
      <c r="M1202" s="17" t="str">
        <f>IF(K1202&lt;='01_PARÂMETROS'!$B$14,"Preferencial",IF(K1202&lt;='01_PARÂMETROS'!$B$15,"Baixo",IF(K1202&lt;='01_PARÂMETROS'!$B$16,"Médio",IF(K1202&lt;='01_PARÂMETROS'!$B$17,"Alto","Elevado"))))</f>
        <v>Baixo</v>
      </c>
      <c r="N1202" s="58" t="s">
        <v>486</v>
      </c>
      <c r="O1202" s="61"/>
    </row>
    <row r="1203" spans="1:15" ht="13.5" customHeight="1" x14ac:dyDescent="0.25">
      <c r="A1203" s="24" t="s">
        <v>2792</v>
      </c>
      <c r="B1203" s="38" t="s">
        <v>2773</v>
      </c>
      <c r="C1203" s="25" t="s">
        <v>2793</v>
      </c>
      <c r="D1203" s="39" t="s">
        <v>2775</v>
      </c>
      <c r="E1203" s="65" t="s">
        <v>841</v>
      </c>
      <c r="F1203" s="54" t="s">
        <v>485</v>
      </c>
      <c r="G1203" s="54" t="s">
        <v>485</v>
      </c>
      <c r="H1203" s="54" t="s">
        <v>485</v>
      </c>
      <c r="I1203" s="43">
        <f>'01_PARÂMETROS'!$B$9</f>
        <v>50</v>
      </c>
      <c r="J1203" s="44">
        <f t="shared" si="56"/>
        <v>0.9</v>
      </c>
      <c r="K1203" s="62">
        <f>MAX('01_PARÂMETROS'!$B$11,MIN('01_PARÂMETROS'!$B$12,J1203))</f>
        <v>0.9</v>
      </c>
      <c r="L1203" s="63">
        <f t="shared" si="55"/>
        <v>-9.9999999999999978E-2</v>
      </c>
      <c r="M1203" s="17" t="str">
        <f>IF(K1203&lt;='01_PARÂMETROS'!$B$14,"Preferencial",IF(K1203&lt;='01_PARÂMETROS'!$B$15,"Baixo",IF(K1203&lt;='01_PARÂMETROS'!$B$16,"Médio",IF(K1203&lt;='01_PARÂMETROS'!$B$17,"Alto","Elevado"))))</f>
        <v>Baixo</v>
      </c>
      <c r="N1203" s="58" t="s">
        <v>486</v>
      </c>
      <c r="O1203" s="54"/>
    </row>
    <row r="1204" spans="1:15" ht="13.5" customHeight="1" x14ac:dyDescent="0.25">
      <c r="A1204" s="13" t="s">
        <v>2794</v>
      </c>
      <c r="B1204" s="49" t="s">
        <v>2773</v>
      </c>
      <c r="C1204" s="14" t="s">
        <v>2795</v>
      </c>
      <c r="D1204" s="50" t="s">
        <v>2775</v>
      </c>
      <c r="E1204" s="65" t="s">
        <v>841</v>
      </c>
      <c r="F1204" s="54" t="s">
        <v>485</v>
      </c>
      <c r="G1204" s="54" t="s">
        <v>485</v>
      </c>
      <c r="H1204" s="54" t="s">
        <v>485</v>
      </c>
      <c r="I1204" s="43">
        <f>'01_PARÂMETROS'!$B$9</f>
        <v>50</v>
      </c>
      <c r="J1204" s="44">
        <f t="shared" si="56"/>
        <v>0.9</v>
      </c>
      <c r="K1204" s="62">
        <f>MAX('01_PARÂMETROS'!$B$11,MIN('01_PARÂMETROS'!$B$12,J1204))</f>
        <v>0.9</v>
      </c>
      <c r="L1204" s="63">
        <f t="shared" si="55"/>
        <v>-9.9999999999999978E-2</v>
      </c>
      <c r="M1204" s="17" t="str">
        <f>IF(K1204&lt;='01_PARÂMETROS'!$B$14,"Preferencial",IF(K1204&lt;='01_PARÂMETROS'!$B$15,"Baixo",IF(K1204&lt;='01_PARÂMETROS'!$B$16,"Médio",IF(K1204&lt;='01_PARÂMETROS'!$B$17,"Alto","Elevado"))))</f>
        <v>Baixo</v>
      </c>
      <c r="N1204" s="58" t="s">
        <v>486</v>
      </c>
      <c r="O1204" s="61"/>
    </row>
    <row r="1205" spans="1:15" ht="13.5" customHeight="1" x14ac:dyDescent="0.25">
      <c r="A1205" s="24" t="s">
        <v>2796</v>
      </c>
      <c r="B1205" s="38" t="s">
        <v>2773</v>
      </c>
      <c r="C1205" s="25" t="s">
        <v>2797</v>
      </c>
      <c r="D1205" s="39" t="s">
        <v>2775</v>
      </c>
      <c r="E1205" s="65" t="s">
        <v>841</v>
      </c>
      <c r="F1205" s="54" t="s">
        <v>485</v>
      </c>
      <c r="G1205" s="54" t="s">
        <v>485</v>
      </c>
      <c r="H1205" s="54" t="s">
        <v>485</v>
      </c>
      <c r="I1205" s="43">
        <f>'01_PARÂMETROS'!$B$9</f>
        <v>50</v>
      </c>
      <c r="J1205" s="44">
        <f t="shared" si="56"/>
        <v>0.9</v>
      </c>
      <c r="K1205" s="62">
        <f>MAX('01_PARÂMETROS'!$B$11,MIN('01_PARÂMETROS'!$B$12,J1205))</f>
        <v>0.9</v>
      </c>
      <c r="L1205" s="63">
        <f t="shared" si="55"/>
        <v>-9.9999999999999978E-2</v>
      </c>
      <c r="M1205" s="17" t="str">
        <f>IF(K1205&lt;='01_PARÂMETROS'!$B$14,"Preferencial",IF(K1205&lt;='01_PARÂMETROS'!$B$15,"Baixo",IF(K1205&lt;='01_PARÂMETROS'!$B$16,"Médio",IF(K1205&lt;='01_PARÂMETROS'!$B$17,"Alto","Elevado"))))</f>
        <v>Baixo</v>
      </c>
      <c r="N1205" s="58" t="s">
        <v>486</v>
      </c>
      <c r="O1205" s="54"/>
    </row>
    <row r="1206" spans="1:15" ht="13.5" customHeight="1" x14ac:dyDescent="0.25">
      <c r="A1206" s="13" t="s">
        <v>2798</v>
      </c>
      <c r="B1206" s="49" t="s">
        <v>2773</v>
      </c>
      <c r="C1206" s="14" t="s">
        <v>2799</v>
      </c>
      <c r="D1206" s="50" t="s">
        <v>2775</v>
      </c>
      <c r="E1206" s="65" t="s">
        <v>841</v>
      </c>
      <c r="F1206" s="54" t="s">
        <v>485</v>
      </c>
      <c r="G1206" s="54" t="s">
        <v>485</v>
      </c>
      <c r="H1206" s="54" t="s">
        <v>485</v>
      </c>
      <c r="I1206" s="43">
        <f>'01_PARÂMETROS'!$B$9</f>
        <v>50</v>
      </c>
      <c r="J1206" s="44">
        <f t="shared" si="56"/>
        <v>0.9</v>
      </c>
      <c r="K1206" s="62">
        <f>MAX('01_PARÂMETROS'!$B$11,MIN('01_PARÂMETROS'!$B$12,J1206))</f>
        <v>0.9</v>
      </c>
      <c r="L1206" s="63">
        <f t="shared" si="55"/>
        <v>-9.9999999999999978E-2</v>
      </c>
      <c r="M1206" s="17" t="str">
        <f>IF(K1206&lt;='01_PARÂMETROS'!$B$14,"Preferencial",IF(K1206&lt;='01_PARÂMETROS'!$B$15,"Baixo",IF(K1206&lt;='01_PARÂMETROS'!$B$16,"Médio",IF(K1206&lt;='01_PARÂMETROS'!$B$17,"Alto","Elevado"))))</f>
        <v>Baixo</v>
      </c>
      <c r="N1206" s="58" t="s">
        <v>486</v>
      </c>
      <c r="O1206" s="61"/>
    </row>
    <row r="1207" spans="1:15" ht="13.5" customHeight="1" x14ac:dyDescent="0.25">
      <c r="A1207" s="24" t="s">
        <v>2800</v>
      </c>
      <c r="B1207" s="38" t="s">
        <v>2773</v>
      </c>
      <c r="C1207" s="25" t="s">
        <v>2801</v>
      </c>
      <c r="D1207" s="39" t="s">
        <v>2775</v>
      </c>
      <c r="E1207" s="65" t="s">
        <v>841</v>
      </c>
      <c r="F1207" s="54" t="s">
        <v>485</v>
      </c>
      <c r="G1207" s="54" t="s">
        <v>485</v>
      </c>
      <c r="H1207" s="54" t="s">
        <v>485</v>
      </c>
      <c r="I1207" s="43">
        <f>'01_PARÂMETROS'!$B$9</f>
        <v>50</v>
      </c>
      <c r="J1207" s="44">
        <f t="shared" si="56"/>
        <v>0.9</v>
      </c>
      <c r="K1207" s="62">
        <f>MAX('01_PARÂMETROS'!$B$11,MIN('01_PARÂMETROS'!$B$12,J1207))</f>
        <v>0.9</v>
      </c>
      <c r="L1207" s="63">
        <f t="shared" si="55"/>
        <v>-9.9999999999999978E-2</v>
      </c>
      <c r="M1207" s="17" t="str">
        <f>IF(K1207&lt;='01_PARÂMETROS'!$B$14,"Preferencial",IF(K1207&lt;='01_PARÂMETROS'!$B$15,"Baixo",IF(K1207&lt;='01_PARÂMETROS'!$B$16,"Médio",IF(K1207&lt;='01_PARÂMETROS'!$B$17,"Alto","Elevado"))))</f>
        <v>Baixo</v>
      </c>
      <c r="N1207" s="58" t="s">
        <v>486</v>
      </c>
      <c r="O1207" s="54"/>
    </row>
    <row r="1208" spans="1:15" ht="13.5" customHeight="1" x14ac:dyDescent="0.25">
      <c r="A1208" s="13" t="s">
        <v>2802</v>
      </c>
      <c r="B1208" s="49" t="s">
        <v>2773</v>
      </c>
      <c r="C1208" s="14" t="s">
        <v>2803</v>
      </c>
      <c r="D1208" s="50" t="s">
        <v>2775</v>
      </c>
      <c r="E1208" s="65" t="s">
        <v>841</v>
      </c>
      <c r="F1208" s="54" t="s">
        <v>485</v>
      </c>
      <c r="G1208" s="54" t="s">
        <v>485</v>
      </c>
      <c r="H1208" s="54" t="s">
        <v>485</v>
      </c>
      <c r="I1208" s="43">
        <f>'01_PARÂMETROS'!$B$9</f>
        <v>50</v>
      </c>
      <c r="J1208" s="44">
        <f t="shared" si="56"/>
        <v>0.9</v>
      </c>
      <c r="K1208" s="62">
        <f>MAX('01_PARÂMETROS'!$B$11,MIN('01_PARÂMETROS'!$B$12,J1208))</f>
        <v>0.9</v>
      </c>
      <c r="L1208" s="63">
        <f t="shared" si="55"/>
        <v>-9.9999999999999978E-2</v>
      </c>
      <c r="M1208" s="17" t="str">
        <f>IF(K1208&lt;='01_PARÂMETROS'!$B$14,"Preferencial",IF(K1208&lt;='01_PARÂMETROS'!$B$15,"Baixo",IF(K1208&lt;='01_PARÂMETROS'!$B$16,"Médio",IF(K1208&lt;='01_PARÂMETROS'!$B$17,"Alto","Elevado"))))</f>
        <v>Baixo</v>
      </c>
      <c r="N1208" s="58" t="s">
        <v>486</v>
      </c>
      <c r="O1208" s="61"/>
    </row>
    <row r="1209" spans="1:15" ht="13.5" customHeight="1" x14ac:dyDescent="0.25">
      <c r="A1209" s="24" t="s">
        <v>2804</v>
      </c>
      <c r="B1209" s="38" t="s">
        <v>2773</v>
      </c>
      <c r="C1209" s="25" t="s">
        <v>2805</v>
      </c>
      <c r="D1209" s="39" t="s">
        <v>2775</v>
      </c>
      <c r="E1209" s="65" t="s">
        <v>841</v>
      </c>
      <c r="F1209" s="54" t="s">
        <v>485</v>
      </c>
      <c r="G1209" s="54" t="s">
        <v>485</v>
      </c>
      <c r="H1209" s="54" t="s">
        <v>485</v>
      </c>
      <c r="I1209" s="43">
        <f>'01_PARÂMETROS'!$B$9</f>
        <v>50</v>
      </c>
      <c r="J1209" s="44">
        <f t="shared" si="56"/>
        <v>0.9</v>
      </c>
      <c r="K1209" s="62">
        <f>MAX('01_PARÂMETROS'!$B$11,MIN('01_PARÂMETROS'!$B$12,J1209))</f>
        <v>0.9</v>
      </c>
      <c r="L1209" s="63">
        <f t="shared" si="55"/>
        <v>-9.9999999999999978E-2</v>
      </c>
      <c r="M1209" s="17" t="str">
        <f>IF(K1209&lt;='01_PARÂMETROS'!$B$14,"Preferencial",IF(K1209&lt;='01_PARÂMETROS'!$B$15,"Baixo",IF(K1209&lt;='01_PARÂMETROS'!$B$16,"Médio",IF(K1209&lt;='01_PARÂMETROS'!$B$17,"Alto","Elevado"))))</f>
        <v>Baixo</v>
      </c>
      <c r="N1209" s="58" t="s">
        <v>486</v>
      </c>
      <c r="O1209" s="54"/>
    </row>
    <row r="1210" spans="1:15" ht="13.5" customHeight="1" x14ac:dyDescent="0.25">
      <c r="A1210" s="13" t="s">
        <v>2806</v>
      </c>
      <c r="B1210" s="49" t="s">
        <v>2773</v>
      </c>
      <c r="C1210" s="14" t="s">
        <v>2807</v>
      </c>
      <c r="D1210" s="50" t="s">
        <v>2775</v>
      </c>
      <c r="E1210" s="65" t="s">
        <v>841</v>
      </c>
      <c r="F1210" s="54" t="s">
        <v>485</v>
      </c>
      <c r="G1210" s="54" t="s">
        <v>485</v>
      </c>
      <c r="H1210" s="54" t="s">
        <v>485</v>
      </c>
      <c r="I1210" s="43">
        <f>'01_PARÂMETROS'!$B$9</f>
        <v>50</v>
      </c>
      <c r="J1210" s="44">
        <f t="shared" si="56"/>
        <v>0.9</v>
      </c>
      <c r="K1210" s="62">
        <f>MAX('01_PARÂMETROS'!$B$11,MIN('01_PARÂMETROS'!$B$12,J1210))</f>
        <v>0.9</v>
      </c>
      <c r="L1210" s="63">
        <f t="shared" si="55"/>
        <v>-9.9999999999999978E-2</v>
      </c>
      <c r="M1210" s="17" t="str">
        <f>IF(K1210&lt;='01_PARÂMETROS'!$B$14,"Preferencial",IF(K1210&lt;='01_PARÂMETROS'!$B$15,"Baixo",IF(K1210&lt;='01_PARÂMETROS'!$B$16,"Médio",IF(K1210&lt;='01_PARÂMETROS'!$B$17,"Alto","Elevado"))))</f>
        <v>Baixo</v>
      </c>
      <c r="N1210" s="58" t="s">
        <v>486</v>
      </c>
      <c r="O1210" s="61"/>
    </row>
    <row r="1211" spans="1:15" ht="13.5" customHeight="1" x14ac:dyDescent="0.25">
      <c r="A1211" s="24" t="s">
        <v>2808</v>
      </c>
      <c r="B1211" s="38" t="s">
        <v>2773</v>
      </c>
      <c r="C1211" s="25" t="s">
        <v>2809</v>
      </c>
      <c r="D1211" s="39" t="s">
        <v>2775</v>
      </c>
      <c r="E1211" s="65" t="s">
        <v>841</v>
      </c>
      <c r="F1211" s="54" t="s">
        <v>485</v>
      </c>
      <c r="G1211" s="54" t="s">
        <v>485</v>
      </c>
      <c r="H1211" s="54" t="s">
        <v>485</v>
      </c>
      <c r="I1211" s="43">
        <f>'01_PARÂMETROS'!$B$9</f>
        <v>50</v>
      </c>
      <c r="J1211" s="44">
        <f t="shared" si="56"/>
        <v>0.9</v>
      </c>
      <c r="K1211" s="62">
        <f>MAX('01_PARÂMETROS'!$B$11,MIN('01_PARÂMETROS'!$B$12,J1211))</f>
        <v>0.9</v>
      </c>
      <c r="L1211" s="63">
        <f t="shared" si="55"/>
        <v>-9.9999999999999978E-2</v>
      </c>
      <c r="M1211" s="17" t="str">
        <f>IF(K1211&lt;='01_PARÂMETROS'!$B$14,"Preferencial",IF(K1211&lt;='01_PARÂMETROS'!$B$15,"Baixo",IF(K1211&lt;='01_PARÂMETROS'!$B$16,"Médio",IF(K1211&lt;='01_PARÂMETROS'!$B$17,"Alto","Elevado"))))</f>
        <v>Baixo</v>
      </c>
      <c r="N1211" s="58" t="s">
        <v>486</v>
      </c>
      <c r="O1211" s="54"/>
    </row>
    <row r="1212" spans="1:15" ht="13.5" customHeight="1" x14ac:dyDescent="0.25">
      <c r="A1212" s="13" t="s">
        <v>2810</v>
      </c>
      <c r="B1212" s="49" t="s">
        <v>2773</v>
      </c>
      <c r="C1212" s="14" t="s">
        <v>2811</v>
      </c>
      <c r="D1212" s="50" t="s">
        <v>2775</v>
      </c>
      <c r="E1212" s="65" t="s">
        <v>841</v>
      </c>
      <c r="F1212" s="54" t="s">
        <v>485</v>
      </c>
      <c r="G1212" s="54" t="s">
        <v>485</v>
      </c>
      <c r="H1212" s="54" t="s">
        <v>485</v>
      </c>
      <c r="I1212" s="43">
        <f>'01_PARÂMETROS'!$B$9</f>
        <v>50</v>
      </c>
      <c r="J1212" s="44">
        <f t="shared" si="56"/>
        <v>0.9</v>
      </c>
      <c r="K1212" s="62">
        <f>MAX('01_PARÂMETROS'!$B$11,MIN('01_PARÂMETROS'!$B$12,J1212))</f>
        <v>0.9</v>
      </c>
      <c r="L1212" s="63">
        <f t="shared" si="55"/>
        <v>-9.9999999999999978E-2</v>
      </c>
      <c r="M1212" s="17" t="str">
        <f>IF(K1212&lt;='01_PARÂMETROS'!$B$14,"Preferencial",IF(K1212&lt;='01_PARÂMETROS'!$B$15,"Baixo",IF(K1212&lt;='01_PARÂMETROS'!$B$16,"Médio",IF(K1212&lt;='01_PARÂMETROS'!$B$17,"Alto","Elevado"))))</f>
        <v>Baixo</v>
      </c>
      <c r="N1212" s="58" t="s">
        <v>486</v>
      </c>
      <c r="O1212" s="61"/>
    </row>
    <row r="1213" spans="1:15" ht="13.5" customHeight="1" x14ac:dyDescent="0.25">
      <c r="A1213" s="24" t="s">
        <v>2812</v>
      </c>
      <c r="B1213" s="38" t="s">
        <v>2773</v>
      </c>
      <c r="C1213" s="25" t="s">
        <v>2813</v>
      </c>
      <c r="D1213" s="39" t="s">
        <v>2775</v>
      </c>
      <c r="E1213" s="65" t="s">
        <v>841</v>
      </c>
      <c r="F1213" s="54" t="s">
        <v>485</v>
      </c>
      <c r="G1213" s="54" t="s">
        <v>485</v>
      </c>
      <c r="H1213" s="54" t="s">
        <v>485</v>
      </c>
      <c r="I1213" s="43">
        <f>'01_PARÂMETROS'!$B$9</f>
        <v>50</v>
      </c>
      <c r="J1213" s="44">
        <f t="shared" si="56"/>
        <v>0.9</v>
      </c>
      <c r="K1213" s="62">
        <f>MAX('01_PARÂMETROS'!$B$11,MIN('01_PARÂMETROS'!$B$12,J1213))</f>
        <v>0.9</v>
      </c>
      <c r="L1213" s="63">
        <f t="shared" si="55"/>
        <v>-9.9999999999999978E-2</v>
      </c>
      <c r="M1213" s="17" t="str">
        <f>IF(K1213&lt;='01_PARÂMETROS'!$B$14,"Preferencial",IF(K1213&lt;='01_PARÂMETROS'!$B$15,"Baixo",IF(K1213&lt;='01_PARÂMETROS'!$B$16,"Médio",IF(K1213&lt;='01_PARÂMETROS'!$B$17,"Alto","Elevado"))))</f>
        <v>Baixo</v>
      </c>
      <c r="N1213" s="58" t="s">
        <v>486</v>
      </c>
      <c r="O1213" s="54"/>
    </row>
    <row r="1214" spans="1:15" ht="13.5" customHeight="1" x14ac:dyDescent="0.25">
      <c r="A1214" s="13" t="s">
        <v>2814</v>
      </c>
      <c r="B1214" s="49" t="s">
        <v>2773</v>
      </c>
      <c r="C1214" s="14" t="s">
        <v>2815</v>
      </c>
      <c r="D1214" s="50" t="s">
        <v>2775</v>
      </c>
      <c r="E1214" s="65" t="s">
        <v>841</v>
      </c>
      <c r="F1214" s="54" t="s">
        <v>485</v>
      </c>
      <c r="G1214" s="54" t="s">
        <v>485</v>
      </c>
      <c r="H1214" s="54" t="s">
        <v>485</v>
      </c>
      <c r="I1214" s="43">
        <f>'01_PARÂMETROS'!$B$9</f>
        <v>50</v>
      </c>
      <c r="J1214" s="44">
        <f t="shared" si="56"/>
        <v>0.9</v>
      </c>
      <c r="K1214" s="62">
        <f>MAX('01_PARÂMETROS'!$B$11,MIN('01_PARÂMETROS'!$B$12,J1214))</f>
        <v>0.9</v>
      </c>
      <c r="L1214" s="63">
        <f t="shared" si="55"/>
        <v>-9.9999999999999978E-2</v>
      </c>
      <c r="M1214" s="17" t="str">
        <f>IF(K1214&lt;='01_PARÂMETROS'!$B$14,"Preferencial",IF(K1214&lt;='01_PARÂMETROS'!$B$15,"Baixo",IF(K1214&lt;='01_PARÂMETROS'!$B$16,"Médio",IF(K1214&lt;='01_PARÂMETROS'!$B$17,"Alto","Elevado"))))</f>
        <v>Baixo</v>
      </c>
      <c r="N1214" s="58" t="s">
        <v>486</v>
      </c>
      <c r="O1214" s="61"/>
    </row>
    <row r="1215" spans="1:15" ht="13.5" customHeight="1" x14ac:dyDescent="0.25">
      <c r="A1215" s="24" t="s">
        <v>2816</v>
      </c>
      <c r="B1215" s="38" t="s">
        <v>2773</v>
      </c>
      <c r="C1215" s="25" t="s">
        <v>2817</v>
      </c>
      <c r="D1215" s="39" t="s">
        <v>2775</v>
      </c>
      <c r="E1215" s="65" t="s">
        <v>841</v>
      </c>
      <c r="F1215" s="54" t="s">
        <v>485</v>
      </c>
      <c r="G1215" s="54" t="s">
        <v>485</v>
      </c>
      <c r="H1215" s="54" t="s">
        <v>485</v>
      </c>
      <c r="I1215" s="43">
        <f>'01_PARÂMETROS'!$B$9</f>
        <v>50</v>
      </c>
      <c r="J1215" s="44">
        <f t="shared" si="56"/>
        <v>0.9</v>
      </c>
      <c r="K1215" s="62">
        <f>MAX('01_PARÂMETROS'!$B$11,MIN('01_PARÂMETROS'!$B$12,J1215))</f>
        <v>0.9</v>
      </c>
      <c r="L1215" s="63">
        <f t="shared" si="55"/>
        <v>-9.9999999999999978E-2</v>
      </c>
      <c r="M1215" s="17" t="str">
        <f>IF(K1215&lt;='01_PARÂMETROS'!$B$14,"Preferencial",IF(K1215&lt;='01_PARÂMETROS'!$B$15,"Baixo",IF(K1215&lt;='01_PARÂMETROS'!$B$16,"Médio",IF(K1215&lt;='01_PARÂMETROS'!$B$17,"Alto","Elevado"))))</f>
        <v>Baixo</v>
      </c>
      <c r="N1215" s="58" t="s">
        <v>486</v>
      </c>
      <c r="O1215" s="54"/>
    </row>
    <row r="1216" spans="1:15" ht="13.5" customHeight="1" x14ac:dyDescent="0.25">
      <c r="A1216" s="13" t="s">
        <v>2818</v>
      </c>
      <c r="B1216" s="49" t="s">
        <v>2773</v>
      </c>
      <c r="C1216" s="14" t="s">
        <v>2819</v>
      </c>
      <c r="D1216" s="50" t="s">
        <v>2775</v>
      </c>
      <c r="E1216" s="65" t="s">
        <v>841</v>
      </c>
      <c r="F1216" s="54" t="s">
        <v>485</v>
      </c>
      <c r="G1216" s="54" t="s">
        <v>485</v>
      </c>
      <c r="H1216" s="54" t="s">
        <v>485</v>
      </c>
      <c r="I1216" s="43">
        <f>'01_PARÂMETROS'!$B$9</f>
        <v>50</v>
      </c>
      <c r="J1216" s="44">
        <f t="shared" si="56"/>
        <v>0.9</v>
      </c>
      <c r="K1216" s="62">
        <f>MAX('01_PARÂMETROS'!$B$11,MIN('01_PARÂMETROS'!$B$12,J1216))</f>
        <v>0.9</v>
      </c>
      <c r="L1216" s="63">
        <f t="shared" si="55"/>
        <v>-9.9999999999999978E-2</v>
      </c>
      <c r="M1216" s="17" t="str">
        <f>IF(K1216&lt;='01_PARÂMETROS'!$B$14,"Preferencial",IF(K1216&lt;='01_PARÂMETROS'!$B$15,"Baixo",IF(K1216&lt;='01_PARÂMETROS'!$B$16,"Médio",IF(K1216&lt;='01_PARÂMETROS'!$B$17,"Alto","Elevado"))))</f>
        <v>Baixo</v>
      </c>
      <c r="N1216" s="58" t="s">
        <v>486</v>
      </c>
      <c r="O1216" s="61"/>
    </row>
    <row r="1217" spans="1:15" ht="13.5" customHeight="1" x14ac:dyDescent="0.25">
      <c r="A1217" s="24" t="s">
        <v>2820</v>
      </c>
      <c r="B1217" s="38" t="s">
        <v>2821</v>
      </c>
      <c r="C1217" s="25" t="s">
        <v>2822</v>
      </c>
      <c r="D1217" s="39" t="s">
        <v>2823</v>
      </c>
      <c r="E1217" s="64" t="s">
        <v>566</v>
      </c>
      <c r="F1217" s="54" t="s">
        <v>485</v>
      </c>
      <c r="G1217" s="54" t="s">
        <v>485</v>
      </c>
      <c r="H1217" s="54" t="s">
        <v>485</v>
      </c>
      <c r="I1217" s="43">
        <f>'01_PARÂMETROS'!$B$9</f>
        <v>50</v>
      </c>
      <c r="J1217" s="44">
        <f>1.15</f>
        <v>1.1499999999999999</v>
      </c>
      <c r="K1217" s="45">
        <f>MAX('01_PARÂMETROS'!$B$11,MIN('01_PARÂMETROS'!$B$12,J1217))</f>
        <v>1.1499999999999999</v>
      </c>
      <c r="L1217" s="46">
        <f t="shared" si="55"/>
        <v>0.14999999999999991</v>
      </c>
      <c r="M1217" s="47" t="str">
        <f>IF(K1217&lt;='01_PARÂMETROS'!$B$14,"Preferencial",IF(K1217&lt;='01_PARÂMETROS'!$B$15,"Baixo",IF(K1217&lt;='01_PARÂMETROS'!$B$16,"Médio",IF(K1217&lt;='01_PARÂMETROS'!$B$17,"Alto","Elevado"))))</f>
        <v>Alto</v>
      </c>
      <c r="N1217" s="58" t="s">
        <v>486</v>
      </c>
      <c r="O1217" s="54"/>
    </row>
    <row r="1218" spans="1:15" ht="13.5" customHeight="1" x14ac:dyDescent="0.25">
      <c r="A1218" s="13" t="s">
        <v>2824</v>
      </c>
      <c r="B1218" s="49" t="s">
        <v>2821</v>
      </c>
      <c r="C1218" s="14" t="s">
        <v>2825</v>
      </c>
      <c r="D1218" s="50" t="s">
        <v>2823</v>
      </c>
      <c r="E1218" s="64" t="s">
        <v>566</v>
      </c>
      <c r="F1218" s="54" t="s">
        <v>485</v>
      </c>
      <c r="G1218" s="54" t="s">
        <v>485</v>
      </c>
      <c r="H1218" s="54" t="s">
        <v>485</v>
      </c>
      <c r="I1218" s="43">
        <f>'01_PARÂMETROS'!$B$9</f>
        <v>50</v>
      </c>
      <c r="J1218" s="44">
        <f>1.15</f>
        <v>1.1499999999999999</v>
      </c>
      <c r="K1218" s="45">
        <f>MAX('01_PARÂMETROS'!$B$11,MIN('01_PARÂMETROS'!$B$12,J1218))</f>
        <v>1.1499999999999999</v>
      </c>
      <c r="L1218" s="46">
        <f t="shared" si="55"/>
        <v>0.14999999999999991</v>
      </c>
      <c r="M1218" s="47" t="str">
        <f>IF(K1218&lt;='01_PARÂMETROS'!$B$14,"Preferencial",IF(K1218&lt;='01_PARÂMETROS'!$B$15,"Baixo",IF(K1218&lt;='01_PARÂMETROS'!$B$16,"Médio",IF(K1218&lt;='01_PARÂMETROS'!$B$17,"Alto","Elevado"))))</f>
        <v>Alto</v>
      </c>
      <c r="N1218" s="58" t="s">
        <v>486</v>
      </c>
      <c r="O1218" s="61"/>
    </row>
    <row r="1219" spans="1:15" ht="13.5" customHeight="1" x14ac:dyDescent="0.25">
      <c r="A1219" s="24" t="s">
        <v>2826</v>
      </c>
      <c r="B1219" s="38" t="s">
        <v>2821</v>
      </c>
      <c r="C1219" s="25" t="s">
        <v>2827</v>
      </c>
      <c r="D1219" s="39" t="s">
        <v>2823</v>
      </c>
      <c r="E1219" s="64" t="s">
        <v>566</v>
      </c>
      <c r="F1219" s="54" t="s">
        <v>485</v>
      </c>
      <c r="G1219" s="54" t="s">
        <v>485</v>
      </c>
      <c r="H1219" s="54" t="s">
        <v>485</v>
      </c>
      <c r="I1219" s="43">
        <f>'01_PARÂMETROS'!$B$9</f>
        <v>50</v>
      </c>
      <c r="J1219" s="44">
        <f>1.15</f>
        <v>1.1499999999999999</v>
      </c>
      <c r="K1219" s="45">
        <f>MAX('01_PARÂMETROS'!$B$11,MIN('01_PARÂMETROS'!$B$12,J1219))</f>
        <v>1.1499999999999999</v>
      </c>
      <c r="L1219" s="46">
        <f t="shared" si="55"/>
        <v>0.14999999999999991</v>
      </c>
      <c r="M1219" s="47" t="str">
        <f>IF(K1219&lt;='01_PARÂMETROS'!$B$14,"Preferencial",IF(K1219&lt;='01_PARÂMETROS'!$B$15,"Baixo",IF(K1219&lt;='01_PARÂMETROS'!$B$16,"Médio",IF(K1219&lt;='01_PARÂMETROS'!$B$17,"Alto","Elevado"))))</f>
        <v>Alto</v>
      </c>
      <c r="N1219" s="58" t="s">
        <v>486</v>
      </c>
      <c r="O1219" s="54"/>
    </row>
    <row r="1220" spans="1:15" ht="13.5" customHeight="1" x14ac:dyDescent="0.25">
      <c r="A1220" s="13" t="s">
        <v>2828</v>
      </c>
      <c r="B1220" s="49" t="s">
        <v>2821</v>
      </c>
      <c r="C1220" s="14" t="s">
        <v>2829</v>
      </c>
      <c r="D1220" s="50" t="s">
        <v>2823</v>
      </c>
      <c r="E1220" s="64" t="s">
        <v>566</v>
      </c>
      <c r="F1220" s="54" t="s">
        <v>485</v>
      </c>
      <c r="G1220" s="54" t="s">
        <v>485</v>
      </c>
      <c r="H1220" s="54" t="s">
        <v>485</v>
      </c>
      <c r="I1220" s="43">
        <f>'01_PARÂMETROS'!$B$9</f>
        <v>50</v>
      </c>
      <c r="J1220" s="44">
        <f>1.15</f>
        <v>1.1499999999999999</v>
      </c>
      <c r="K1220" s="45">
        <f>MAX('01_PARÂMETROS'!$B$11,MIN('01_PARÂMETROS'!$B$12,J1220))</f>
        <v>1.1499999999999999</v>
      </c>
      <c r="L1220" s="46">
        <f t="shared" si="55"/>
        <v>0.14999999999999991</v>
      </c>
      <c r="M1220" s="47" t="str">
        <f>IF(K1220&lt;='01_PARÂMETROS'!$B$14,"Preferencial",IF(K1220&lt;='01_PARÂMETROS'!$B$15,"Baixo",IF(K1220&lt;='01_PARÂMETROS'!$B$16,"Médio",IF(K1220&lt;='01_PARÂMETROS'!$B$17,"Alto","Elevado"))))</f>
        <v>Alto</v>
      </c>
      <c r="N1220" s="58" t="s">
        <v>486</v>
      </c>
      <c r="O1220" s="61"/>
    </row>
    <row r="1221" spans="1:15" ht="13.5" customHeight="1" x14ac:dyDescent="0.25">
      <c r="A1221" s="24" t="s">
        <v>2830</v>
      </c>
      <c r="B1221" s="38" t="s">
        <v>2821</v>
      </c>
      <c r="C1221" s="25" t="s">
        <v>2831</v>
      </c>
      <c r="D1221" s="39" t="s">
        <v>2823</v>
      </c>
      <c r="E1221" s="64" t="s">
        <v>566</v>
      </c>
      <c r="F1221" s="54" t="s">
        <v>485</v>
      </c>
      <c r="G1221" s="54" t="s">
        <v>485</v>
      </c>
      <c r="H1221" s="54" t="s">
        <v>485</v>
      </c>
      <c r="I1221" s="43">
        <f>'01_PARÂMETROS'!$B$9</f>
        <v>50</v>
      </c>
      <c r="J1221" s="44">
        <f>1.15</f>
        <v>1.1499999999999999</v>
      </c>
      <c r="K1221" s="45">
        <f>MAX('01_PARÂMETROS'!$B$11,MIN('01_PARÂMETROS'!$B$12,J1221))</f>
        <v>1.1499999999999999</v>
      </c>
      <c r="L1221" s="46">
        <f t="shared" ref="L1221:L1284" si="57">(K1221-1)</f>
        <v>0.14999999999999991</v>
      </c>
      <c r="M1221" s="47" t="str">
        <f>IF(K1221&lt;='01_PARÂMETROS'!$B$14,"Preferencial",IF(K1221&lt;='01_PARÂMETROS'!$B$15,"Baixo",IF(K1221&lt;='01_PARÂMETROS'!$B$16,"Médio",IF(K1221&lt;='01_PARÂMETROS'!$B$17,"Alto","Elevado"))))</f>
        <v>Alto</v>
      </c>
      <c r="N1221" s="58" t="s">
        <v>486</v>
      </c>
      <c r="O1221" s="54"/>
    </row>
    <row r="1222" spans="1:15" ht="13.5" customHeight="1" x14ac:dyDescent="0.25">
      <c r="A1222" s="13" t="s">
        <v>2832</v>
      </c>
      <c r="B1222" s="49" t="s">
        <v>2821</v>
      </c>
      <c r="C1222" s="14" t="s">
        <v>2833</v>
      </c>
      <c r="D1222" s="50" t="s">
        <v>2823</v>
      </c>
      <c r="E1222" s="40" t="s">
        <v>477</v>
      </c>
      <c r="F1222" s="54" t="s">
        <v>485</v>
      </c>
      <c r="G1222" s="54" t="s">
        <v>485</v>
      </c>
      <c r="H1222" s="54" t="s">
        <v>485</v>
      </c>
      <c r="I1222" s="43">
        <f>'01_PARÂMETROS'!$B$9</f>
        <v>50</v>
      </c>
      <c r="J1222" s="44">
        <f>1</f>
        <v>1</v>
      </c>
      <c r="K1222" s="55">
        <f>MAX('01_PARÂMETROS'!$B$11,MIN('01_PARÂMETROS'!$B$12,J1222))</f>
        <v>1</v>
      </c>
      <c r="L1222" s="56">
        <f t="shared" si="57"/>
        <v>0</v>
      </c>
      <c r="M1222" s="57" t="str">
        <f>IF(K1222&lt;='01_PARÂMETROS'!$B$14,"Preferencial",IF(K1222&lt;='01_PARÂMETROS'!$B$15,"Baixo",IF(K1222&lt;='01_PARÂMETROS'!$B$16,"Médio",IF(K1222&lt;='01_PARÂMETROS'!$B$17,"Alto","Elevado"))))</f>
        <v>Médio</v>
      </c>
      <c r="N1222" s="58" t="s">
        <v>486</v>
      </c>
      <c r="O1222" s="61"/>
    </row>
    <row r="1223" spans="1:15" ht="13.5" customHeight="1" x14ac:dyDescent="0.25">
      <c r="A1223" s="24" t="s">
        <v>2834</v>
      </c>
      <c r="B1223" s="38" t="s">
        <v>2821</v>
      </c>
      <c r="C1223" s="25" t="s">
        <v>2835</v>
      </c>
      <c r="D1223" s="39" t="s">
        <v>2823</v>
      </c>
      <c r="E1223" s="40" t="s">
        <v>477</v>
      </c>
      <c r="F1223" s="54" t="s">
        <v>485</v>
      </c>
      <c r="G1223" s="54" t="s">
        <v>485</v>
      </c>
      <c r="H1223" s="54" t="s">
        <v>485</v>
      </c>
      <c r="I1223" s="43">
        <f>'01_PARÂMETROS'!$B$9</f>
        <v>50</v>
      </c>
      <c r="J1223" s="44">
        <f>1</f>
        <v>1</v>
      </c>
      <c r="K1223" s="55">
        <f>MAX('01_PARÂMETROS'!$B$11,MIN('01_PARÂMETROS'!$B$12,J1223))</f>
        <v>1</v>
      </c>
      <c r="L1223" s="56">
        <f t="shared" si="57"/>
        <v>0</v>
      </c>
      <c r="M1223" s="57" t="str">
        <f>IF(K1223&lt;='01_PARÂMETROS'!$B$14,"Preferencial",IF(K1223&lt;='01_PARÂMETROS'!$B$15,"Baixo",IF(K1223&lt;='01_PARÂMETROS'!$B$16,"Médio",IF(K1223&lt;='01_PARÂMETROS'!$B$17,"Alto","Elevado"))))</f>
        <v>Médio</v>
      </c>
      <c r="N1223" s="58" t="s">
        <v>486</v>
      </c>
      <c r="O1223" s="54"/>
    </row>
    <row r="1224" spans="1:15" ht="13.5" customHeight="1" x14ac:dyDescent="0.25">
      <c r="A1224" s="13" t="s">
        <v>2836</v>
      </c>
      <c r="B1224" s="49" t="s">
        <v>2821</v>
      </c>
      <c r="C1224" s="14" t="s">
        <v>2837</v>
      </c>
      <c r="D1224" s="50" t="s">
        <v>2823</v>
      </c>
      <c r="E1224" s="40" t="s">
        <v>477</v>
      </c>
      <c r="F1224" s="54" t="s">
        <v>485</v>
      </c>
      <c r="G1224" s="54" t="s">
        <v>485</v>
      </c>
      <c r="H1224" s="54" t="s">
        <v>485</v>
      </c>
      <c r="I1224" s="43">
        <f>'01_PARÂMETROS'!$B$9</f>
        <v>50</v>
      </c>
      <c r="J1224" s="44">
        <f>1</f>
        <v>1</v>
      </c>
      <c r="K1224" s="55">
        <f>MAX('01_PARÂMETROS'!$B$11,MIN('01_PARÂMETROS'!$B$12,J1224))</f>
        <v>1</v>
      </c>
      <c r="L1224" s="56">
        <f t="shared" si="57"/>
        <v>0</v>
      </c>
      <c r="M1224" s="57" t="str">
        <f>IF(K1224&lt;='01_PARÂMETROS'!$B$14,"Preferencial",IF(K1224&lt;='01_PARÂMETROS'!$B$15,"Baixo",IF(K1224&lt;='01_PARÂMETROS'!$B$16,"Médio",IF(K1224&lt;='01_PARÂMETROS'!$B$17,"Alto","Elevado"))))</f>
        <v>Médio</v>
      </c>
      <c r="N1224" s="58" t="s">
        <v>486</v>
      </c>
      <c r="O1224" s="61"/>
    </row>
    <row r="1225" spans="1:15" ht="13.5" customHeight="1" x14ac:dyDescent="0.25">
      <c r="A1225" s="24" t="s">
        <v>2838</v>
      </c>
      <c r="B1225" s="38" t="s">
        <v>2821</v>
      </c>
      <c r="C1225" s="25" t="s">
        <v>2839</v>
      </c>
      <c r="D1225" s="39" t="s">
        <v>2823</v>
      </c>
      <c r="E1225" s="40" t="s">
        <v>477</v>
      </c>
      <c r="F1225" s="54" t="s">
        <v>485</v>
      </c>
      <c r="G1225" s="54" t="s">
        <v>485</v>
      </c>
      <c r="H1225" s="54" t="s">
        <v>485</v>
      </c>
      <c r="I1225" s="43">
        <f>'01_PARÂMETROS'!$B$9</f>
        <v>50</v>
      </c>
      <c r="J1225" s="44">
        <f>1</f>
        <v>1</v>
      </c>
      <c r="K1225" s="55">
        <f>MAX('01_PARÂMETROS'!$B$11,MIN('01_PARÂMETROS'!$B$12,J1225))</f>
        <v>1</v>
      </c>
      <c r="L1225" s="56">
        <f t="shared" si="57"/>
        <v>0</v>
      </c>
      <c r="M1225" s="57" t="str">
        <f>IF(K1225&lt;='01_PARÂMETROS'!$B$14,"Preferencial",IF(K1225&lt;='01_PARÂMETROS'!$B$15,"Baixo",IF(K1225&lt;='01_PARÂMETROS'!$B$16,"Médio",IF(K1225&lt;='01_PARÂMETROS'!$B$17,"Alto","Elevado"))))</f>
        <v>Médio</v>
      </c>
      <c r="N1225" s="58" t="s">
        <v>486</v>
      </c>
      <c r="O1225" s="54"/>
    </row>
    <row r="1226" spans="1:15" ht="13.5" customHeight="1" x14ac:dyDescent="0.25">
      <c r="A1226" s="13" t="s">
        <v>2840</v>
      </c>
      <c r="B1226" s="49" t="s">
        <v>2821</v>
      </c>
      <c r="C1226" s="14" t="s">
        <v>2841</v>
      </c>
      <c r="D1226" s="50" t="s">
        <v>2823</v>
      </c>
      <c r="E1226" s="40" t="s">
        <v>477</v>
      </c>
      <c r="F1226" s="54" t="s">
        <v>485</v>
      </c>
      <c r="G1226" s="54" t="s">
        <v>485</v>
      </c>
      <c r="H1226" s="54" t="s">
        <v>485</v>
      </c>
      <c r="I1226" s="43">
        <f>'01_PARÂMETROS'!$B$9</f>
        <v>50</v>
      </c>
      <c r="J1226" s="44">
        <f>1</f>
        <v>1</v>
      </c>
      <c r="K1226" s="55">
        <f>MAX('01_PARÂMETROS'!$B$11,MIN('01_PARÂMETROS'!$B$12,J1226))</f>
        <v>1</v>
      </c>
      <c r="L1226" s="56">
        <f t="shared" si="57"/>
        <v>0</v>
      </c>
      <c r="M1226" s="57" t="str">
        <f>IF(K1226&lt;='01_PARÂMETROS'!$B$14,"Preferencial",IF(K1226&lt;='01_PARÂMETROS'!$B$15,"Baixo",IF(K1226&lt;='01_PARÂMETROS'!$B$16,"Médio",IF(K1226&lt;='01_PARÂMETROS'!$B$17,"Alto","Elevado"))))</f>
        <v>Médio</v>
      </c>
      <c r="N1226" s="58" t="s">
        <v>486</v>
      </c>
      <c r="O1226" s="61"/>
    </row>
    <row r="1227" spans="1:15" ht="13.5" customHeight="1" x14ac:dyDescent="0.25">
      <c r="A1227" s="24" t="s">
        <v>2842</v>
      </c>
      <c r="B1227" s="38" t="s">
        <v>2821</v>
      </c>
      <c r="C1227" s="25" t="s">
        <v>2843</v>
      </c>
      <c r="D1227" s="39" t="s">
        <v>2823</v>
      </c>
      <c r="E1227" s="40" t="s">
        <v>477</v>
      </c>
      <c r="F1227" s="54" t="s">
        <v>485</v>
      </c>
      <c r="G1227" s="54" t="s">
        <v>485</v>
      </c>
      <c r="H1227" s="54" t="s">
        <v>485</v>
      </c>
      <c r="I1227" s="43">
        <f>'01_PARÂMETROS'!$B$9</f>
        <v>50</v>
      </c>
      <c r="J1227" s="44">
        <f>1</f>
        <v>1</v>
      </c>
      <c r="K1227" s="55">
        <f>MAX('01_PARÂMETROS'!$B$11,MIN('01_PARÂMETROS'!$B$12,J1227))</f>
        <v>1</v>
      </c>
      <c r="L1227" s="56">
        <f t="shared" si="57"/>
        <v>0</v>
      </c>
      <c r="M1227" s="57" t="str">
        <f>IF(K1227&lt;='01_PARÂMETROS'!$B$14,"Preferencial",IF(K1227&lt;='01_PARÂMETROS'!$B$15,"Baixo",IF(K1227&lt;='01_PARÂMETROS'!$B$16,"Médio",IF(K1227&lt;='01_PARÂMETROS'!$B$17,"Alto","Elevado"))))</f>
        <v>Médio</v>
      </c>
      <c r="N1227" s="58" t="s">
        <v>486</v>
      </c>
      <c r="O1227" s="54"/>
    </row>
    <row r="1228" spans="1:15" ht="13.5" customHeight="1" x14ac:dyDescent="0.25">
      <c r="A1228" s="13" t="s">
        <v>2844</v>
      </c>
      <c r="B1228" s="49" t="s">
        <v>2821</v>
      </c>
      <c r="C1228" s="14" t="s">
        <v>2845</v>
      </c>
      <c r="D1228" s="50" t="s">
        <v>2823</v>
      </c>
      <c r="E1228" s="40" t="s">
        <v>477</v>
      </c>
      <c r="F1228" s="54" t="s">
        <v>485</v>
      </c>
      <c r="G1228" s="54" t="s">
        <v>485</v>
      </c>
      <c r="H1228" s="54" t="s">
        <v>485</v>
      </c>
      <c r="I1228" s="43">
        <f>'01_PARÂMETROS'!$B$9</f>
        <v>50</v>
      </c>
      <c r="J1228" s="44">
        <f>1</f>
        <v>1</v>
      </c>
      <c r="K1228" s="55">
        <f>MAX('01_PARÂMETROS'!$B$11,MIN('01_PARÂMETROS'!$B$12,J1228))</f>
        <v>1</v>
      </c>
      <c r="L1228" s="56">
        <f t="shared" si="57"/>
        <v>0</v>
      </c>
      <c r="M1228" s="57" t="str">
        <f>IF(K1228&lt;='01_PARÂMETROS'!$B$14,"Preferencial",IF(K1228&lt;='01_PARÂMETROS'!$B$15,"Baixo",IF(K1228&lt;='01_PARÂMETROS'!$B$16,"Médio",IF(K1228&lt;='01_PARÂMETROS'!$B$17,"Alto","Elevado"))))</f>
        <v>Médio</v>
      </c>
      <c r="N1228" s="58" t="s">
        <v>486</v>
      </c>
      <c r="O1228" s="61"/>
    </row>
    <row r="1229" spans="1:15" ht="13.5" customHeight="1" x14ac:dyDescent="0.25">
      <c r="A1229" s="24" t="s">
        <v>2846</v>
      </c>
      <c r="B1229" s="38" t="s">
        <v>2821</v>
      </c>
      <c r="C1229" s="25" t="s">
        <v>2847</v>
      </c>
      <c r="D1229" s="39" t="s">
        <v>2823</v>
      </c>
      <c r="E1229" s="40" t="s">
        <v>477</v>
      </c>
      <c r="F1229" s="54" t="s">
        <v>485</v>
      </c>
      <c r="G1229" s="54" t="s">
        <v>485</v>
      </c>
      <c r="H1229" s="54" t="s">
        <v>485</v>
      </c>
      <c r="I1229" s="43">
        <f>'01_PARÂMETROS'!$B$9</f>
        <v>50</v>
      </c>
      <c r="J1229" s="44">
        <f>1</f>
        <v>1</v>
      </c>
      <c r="K1229" s="55">
        <f>MAX('01_PARÂMETROS'!$B$11,MIN('01_PARÂMETROS'!$B$12,J1229))</f>
        <v>1</v>
      </c>
      <c r="L1229" s="56">
        <f t="shared" si="57"/>
        <v>0</v>
      </c>
      <c r="M1229" s="57" t="str">
        <f>IF(K1229&lt;='01_PARÂMETROS'!$B$14,"Preferencial",IF(K1229&lt;='01_PARÂMETROS'!$B$15,"Baixo",IF(K1229&lt;='01_PARÂMETROS'!$B$16,"Médio",IF(K1229&lt;='01_PARÂMETROS'!$B$17,"Alto","Elevado"))))</f>
        <v>Médio</v>
      </c>
      <c r="N1229" s="58" t="s">
        <v>486</v>
      </c>
      <c r="O1229" s="54"/>
    </row>
    <row r="1230" spans="1:15" ht="13.5" customHeight="1" x14ac:dyDescent="0.25">
      <c r="A1230" s="13" t="s">
        <v>2848</v>
      </c>
      <c r="B1230" s="49" t="s">
        <v>2821</v>
      </c>
      <c r="C1230" s="14" t="s">
        <v>2849</v>
      </c>
      <c r="D1230" s="50" t="s">
        <v>2823</v>
      </c>
      <c r="E1230" s="40" t="s">
        <v>477</v>
      </c>
      <c r="F1230" s="54" t="s">
        <v>485</v>
      </c>
      <c r="G1230" s="54" t="s">
        <v>485</v>
      </c>
      <c r="H1230" s="54" t="s">
        <v>485</v>
      </c>
      <c r="I1230" s="43">
        <f>'01_PARÂMETROS'!$B$9</f>
        <v>50</v>
      </c>
      <c r="J1230" s="44">
        <f>1</f>
        <v>1</v>
      </c>
      <c r="K1230" s="55">
        <f>MAX('01_PARÂMETROS'!$B$11,MIN('01_PARÂMETROS'!$B$12,J1230))</f>
        <v>1</v>
      </c>
      <c r="L1230" s="56">
        <f t="shared" si="57"/>
        <v>0</v>
      </c>
      <c r="M1230" s="57" t="str">
        <f>IF(K1230&lt;='01_PARÂMETROS'!$B$14,"Preferencial",IF(K1230&lt;='01_PARÂMETROS'!$B$15,"Baixo",IF(K1230&lt;='01_PARÂMETROS'!$B$16,"Médio",IF(K1230&lt;='01_PARÂMETROS'!$B$17,"Alto","Elevado"))))</f>
        <v>Médio</v>
      </c>
      <c r="N1230" s="58" t="s">
        <v>486</v>
      </c>
      <c r="O1230" s="61"/>
    </row>
    <row r="1231" spans="1:15" ht="13.5" customHeight="1" x14ac:dyDescent="0.25">
      <c r="A1231" s="24" t="s">
        <v>2850</v>
      </c>
      <c r="B1231" s="38" t="s">
        <v>2821</v>
      </c>
      <c r="C1231" s="25" t="s">
        <v>2851</v>
      </c>
      <c r="D1231" s="39" t="s">
        <v>2823</v>
      </c>
      <c r="E1231" s="40" t="s">
        <v>477</v>
      </c>
      <c r="F1231" s="54" t="s">
        <v>485</v>
      </c>
      <c r="G1231" s="54" t="s">
        <v>485</v>
      </c>
      <c r="H1231" s="54" t="s">
        <v>485</v>
      </c>
      <c r="I1231" s="43">
        <f>'01_PARÂMETROS'!$B$9</f>
        <v>50</v>
      </c>
      <c r="J1231" s="44">
        <f>1</f>
        <v>1</v>
      </c>
      <c r="K1231" s="55">
        <f>MAX('01_PARÂMETROS'!$B$11,MIN('01_PARÂMETROS'!$B$12,J1231))</f>
        <v>1</v>
      </c>
      <c r="L1231" s="56">
        <f t="shared" si="57"/>
        <v>0</v>
      </c>
      <c r="M1231" s="57" t="str">
        <f>IF(K1231&lt;='01_PARÂMETROS'!$B$14,"Preferencial",IF(K1231&lt;='01_PARÂMETROS'!$B$15,"Baixo",IF(K1231&lt;='01_PARÂMETROS'!$B$16,"Médio",IF(K1231&lt;='01_PARÂMETROS'!$B$17,"Alto","Elevado"))))</f>
        <v>Médio</v>
      </c>
      <c r="N1231" s="58" t="s">
        <v>486</v>
      </c>
      <c r="O1231" s="54"/>
    </row>
    <row r="1232" spans="1:15" ht="13.5" customHeight="1" x14ac:dyDescent="0.25">
      <c r="A1232" s="13" t="s">
        <v>2852</v>
      </c>
      <c r="B1232" s="49" t="s">
        <v>2821</v>
      </c>
      <c r="C1232" s="14" t="s">
        <v>2853</v>
      </c>
      <c r="D1232" s="50" t="s">
        <v>2823</v>
      </c>
      <c r="E1232" s="40" t="s">
        <v>477</v>
      </c>
      <c r="F1232" s="54" t="s">
        <v>485</v>
      </c>
      <c r="G1232" s="54" t="s">
        <v>485</v>
      </c>
      <c r="H1232" s="54" t="s">
        <v>485</v>
      </c>
      <c r="I1232" s="43">
        <f>'01_PARÂMETROS'!$B$9</f>
        <v>50</v>
      </c>
      <c r="J1232" s="44">
        <f>1</f>
        <v>1</v>
      </c>
      <c r="K1232" s="55">
        <f>MAX('01_PARÂMETROS'!$B$11,MIN('01_PARÂMETROS'!$B$12,J1232))</f>
        <v>1</v>
      </c>
      <c r="L1232" s="56">
        <f t="shared" si="57"/>
        <v>0</v>
      </c>
      <c r="M1232" s="57" t="str">
        <f>IF(K1232&lt;='01_PARÂMETROS'!$B$14,"Preferencial",IF(K1232&lt;='01_PARÂMETROS'!$B$15,"Baixo",IF(K1232&lt;='01_PARÂMETROS'!$B$16,"Médio",IF(K1232&lt;='01_PARÂMETROS'!$B$17,"Alto","Elevado"))))</f>
        <v>Médio</v>
      </c>
      <c r="N1232" s="58" t="s">
        <v>486</v>
      </c>
      <c r="O1232" s="61"/>
    </row>
    <row r="1233" spans="1:15" ht="13.5" customHeight="1" x14ac:dyDescent="0.25">
      <c r="A1233" s="24" t="s">
        <v>2854</v>
      </c>
      <c r="B1233" s="38" t="s">
        <v>2821</v>
      </c>
      <c r="C1233" s="25" t="s">
        <v>2855</v>
      </c>
      <c r="D1233" s="39" t="s">
        <v>2823</v>
      </c>
      <c r="E1233" s="40" t="s">
        <v>477</v>
      </c>
      <c r="F1233" s="54" t="s">
        <v>485</v>
      </c>
      <c r="G1233" s="54" t="s">
        <v>485</v>
      </c>
      <c r="H1233" s="54" t="s">
        <v>485</v>
      </c>
      <c r="I1233" s="43">
        <f>'01_PARÂMETROS'!$B$9</f>
        <v>50</v>
      </c>
      <c r="J1233" s="44">
        <f>1</f>
        <v>1</v>
      </c>
      <c r="K1233" s="55">
        <f>MAX('01_PARÂMETROS'!$B$11,MIN('01_PARÂMETROS'!$B$12,J1233))</f>
        <v>1</v>
      </c>
      <c r="L1233" s="56">
        <f t="shared" si="57"/>
        <v>0</v>
      </c>
      <c r="M1233" s="57" t="str">
        <f>IF(K1233&lt;='01_PARÂMETROS'!$B$14,"Preferencial",IF(K1233&lt;='01_PARÂMETROS'!$B$15,"Baixo",IF(K1233&lt;='01_PARÂMETROS'!$B$16,"Médio",IF(K1233&lt;='01_PARÂMETROS'!$B$17,"Alto","Elevado"))))</f>
        <v>Médio</v>
      </c>
      <c r="N1233" s="58" t="s">
        <v>486</v>
      </c>
      <c r="O1233" s="54"/>
    </row>
    <row r="1234" spans="1:15" ht="13.5" customHeight="1" x14ac:dyDescent="0.25">
      <c r="A1234" s="13" t="s">
        <v>2856</v>
      </c>
      <c r="B1234" s="49" t="s">
        <v>2821</v>
      </c>
      <c r="C1234" s="14" t="s">
        <v>2857</v>
      </c>
      <c r="D1234" s="50" t="s">
        <v>2823</v>
      </c>
      <c r="E1234" s="40" t="s">
        <v>477</v>
      </c>
      <c r="F1234" s="54" t="s">
        <v>485</v>
      </c>
      <c r="G1234" s="54" t="s">
        <v>485</v>
      </c>
      <c r="H1234" s="54" t="s">
        <v>485</v>
      </c>
      <c r="I1234" s="43">
        <f>'01_PARÂMETROS'!$B$9</f>
        <v>50</v>
      </c>
      <c r="J1234" s="44">
        <f>1</f>
        <v>1</v>
      </c>
      <c r="K1234" s="55">
        <f>MAX('01_PARÂMETROS'!$B$11,MIN('01_PARÂMETROS'!$B$12,J1234))</f>
        <v>1</v>
      </c>
      <c r="L1234" s="56">
        <f t="shared" si="57"/>
        <v>0</v>
      </c>
      <c r="M1234" s="57" t="str">
        <f>IF(K1234&lt;='01_PARÂMETROS'!$B$14,"Preferencial",IF(K1234&lt;='01_PARÂMETROS'!$B$15,"Baixo",IF(K1234&lt;='01_PARÂMETROS'!$B$16,"Médio",IF(K1234&lt;='01_PARÂMETROS'!$B$17,"Alto","Elevado"))))</f>
        <v>Médio</v>
      </c>
      <c r="N1234" s="58" t="s">
        <v>486</v>
      </c>
      <c r="O1234" s="61"/>
    </row>
    <row r="1235" spans="1:15" ht="13.5" customHeight="1" x14ac:dyDescent="0.25">
      <c r="A1235" s="24" t="s">
        <v>2858</v>
      </c>
      <c r="B1235" s="38" t="s">
        <v>2821</v>
      </c>
      <c r="C1235" s="25" t="s">
        <v>2859</v>
      </c>
      <c r="D1235" s="39" t="s">
        <v>2823</v>
      </c>
      <c r="E1235" s="40" t="s">
        <v>477</v>
      </c>
      <c r="F1235" s="54" t="s">
        <v>485</v>
      </c>
      <c r="G1235" s="54" t="s">
        <v>485</v>
      </c>
      <c r="H1235" s="54" t="s">
        <v>485</v>
      </c>
      <c r="I1235" s="43">
        <f>'01_PARÂMETROS'!$B$9</f>
        <v>50</v>
      </c>
      <c r="J1235" s="44">
        <f>1</f>
        <v>1</v>
      </c>
      <c r="K1235" s="55">
        <f>MAX('01_PARÂMETROS'!$B$11,MIN('01_PARÂMETROS'!$B$12,J1235))</f>
        <v>1</v>
      </c>
      <c r="L1235" s="56">
        <f t="shared" si="57"/>
        <v>0</v>
      </c>
      <c r="M1235" s="57" t="str">
        <f>IF(K1235&lt;='01_PARÂMETROS'!$B$14,"Preferencial",IF(K1235&lt;='01_PARÂMETROS'!$B$15,"Baixo",IF(K1235&lt;='01_PARÂMETROS'!$B$16,"Médio",IF(K1235&lt;='01_PARÂMETROS'!$B$17,"Alto","Elevado"))))</f>
        <v>Médio</v>
      </c>
      <c r="N1235" s="58" t="s">
        <v>486</v>
      </c>
      <c r="O1235" s="54"/>
    </row>
    <row r="1236" spans="1:15" ht="13.5" customHeight="1" x14ac:dyDescent="0.25">
      <c r="A1236" s="13" t="s">
        <v>2860</v>
      </c>
      <c r="B1236" s="49" t="s">
        <v>2821</v>
      </c>
      <c r="C1236" s="14" t="s">
        <v>2861</v>
      </c>
      <c r="D1236" s="50" t="s">
        <v>2823</v>
      </c>
      <c r="E1236" s="40" t="s">
        <v>477</v>
      </c>
      <c r="F1236" s="54" t="s">
        <v>485</v>
      </c>
      <c r="G1236" s="54" t="s">
        <v>485</v>
      </c>
      <c r="H1236" s="54" t="s">
        <v>485</v>
      </c>
      <c r="I1236" s="43">
        <f>'01_PARÂMETROS'!$B$9</f>
        <v>50</v>
      </c>
      <c r="J1236" s="44">
        <f>1</f>
        <v>1</v>
      </c>
      <c r="K1236" s="55">
        <f>MAX('01_PARÂMETROS'!$B$11,MIN('01_PARÂMETROS'!$B$12,J1236))</f>
        <v>1</v>
      </c>
      <c r="L1236" s="56">
        <f t="shared" si="57"/>
        <v>0</v>
      </c>
      <c r="M1236" s="57" t="str">
        <f>IF(K1236&lt;='01_PARÂMETROS'!$B$14,"Preferencial",IF(K1236&lt;='01_PARÂMETROS'!$B$15,"Baixo",IF(K1236&lt;='01_PARÂMETROS'!$B$16,"Médio",IF(K1236&lt;='01_PARÂMETROS'!$B$17,"Alto","Elevado"))))</f>
        <v>Médio</v>
      </c>
      <c r="N1236" s="58" t="s">
        <v>486</v>
      </c>
      <c r="O1236" s="61"/>
    </row>
    <row r="1237" spans="1:15" ht="13.5" customHeight="1" x14ac:dyDescent="0.25">
      <c r="A1237" s="24" t="s">
        <v>2862</v>
      </c>
      <c r="B1237" s="38" t="s">
        <v>2821</v>
      </c>
      <c r="C1237" s="25" t="s">
        <v>2863</v>
      </c>
      <c r="D1237" s="39" t="s">
        <v>2823</v>
      </c>
      <c r="E1237" s="40" t="s">
        <v>477</v>
      </c>
      <c r="F1237" s="54" t="s">
        <v>485</v>
      </c>
      <c r="G1237" s="54" t="s">
        <v>485</v>
      </c>
      <c r="H1237" s="54" t="s">
        <v>485</v>
      </c>
      <c r="I1237" s="43">
        <f>'01_PARÂMETROS'!$B$9</f>
        <v>50</v>
      </c>
      <c r="J1237" s="44">
        <f>1</f>
        <v>1</v>
      </c>
      <c r="K1237" s="55">
        <f>MAX('01_PARÂMETROS'!$B$11,MIN('01_PARÂMETROS'!$B$12,J1237))</f>
        <v>1</v>
      </c>
      <c r="L1237" s="56">
        <f t="shared" si="57"/>
        <v>0</v>
      </c>
      <c r="M1237" s="57" t="str">
        <f>IF(K1237&lt;='01_PARÂMETROS'!$B$14,"Preferencial",IF(K1237&lt;='01_PARÂMETROS'!$B$15,"Baixo",IF(K1237&lt;='01_PARÂMETROS'!$B$16,"Médio",IF(K1237&lt;='01_PARÂMETROS'!$B$17,"Alto","Elevado"))))</f>
        <v>Médio</v>
      </c>
      <c r="N1237" s="58" t="s">
        <v>486</v>
      </c>
      <c r="O1237" s="54"/>
    </row>
    <row r="1238" spans="1:15" ht="13.5" customHeight="1" x14ac:dyDescent="0.25">
      <c r="A1238" s="13" t="s">
        <v>2864</v>
      </c>
      <c r="B1238" s="49" t="s">
        <v>2821</v>
      </c>
      <c r="C1238" s="14" t="s">
        <v>2865</v>
      </c>
      <c r="D1238" s="50" t="s">
        <v>2823</v>
      </c>
      <c r="E1238" s="40" t="s">
        <v>477</v>
      </c>
      <c r="F1238" s="54" t="s">
        <v>485</v>
      </c>
      <c r="G1238" s="54" t="s">
        <v>485</v>
      </c>
      <c r="H1238" s="54" t="s">
        <v>485</v>
      </c>
      <c r="I1238" s="43">
        <f>'01_PARÂMETROS'!$B$9</f>
        <v>50</v>
      </c>
      <c r="J1238" s="44">
        <f>1</f>
        <v>1</v>
      </c>
      <c r="K1238" s="55">
        <f>MAX('01_PARÂMETROS'!$B$11,MIN('01_PARÂMETROS'!$B$12,J1238))</f>
        <v>1</v>
      </c>
      <c r="L1238" s="56">
        <f t="shared" si="57"/>
        <v>0</v>
      </c>
      <c r="M1238" s="57" t="str">
        <f>IF(K1238&lt;='01_PARÂMETROS'!$B$14,"Preferencial",IF(K1238&lt;='01_PARÂMETROS'!$B$15,"Baixo",IF(K1238&lt;='01_PARÂMETROS'!$B$16,"Médio",IF(K1238&lt;='01_PARÂMETROS'!$B$17,"Alto","Elevado"))))</f>
        <v>Médio</v>
      </c>
      <c r="N1238" s="58" t="s">
        <v>486</v>
      </c>
      <c r="O1238" s="61"/>
    </row>
    <row r="1239" spans="1:15" ht="13.5" customHeight="1" x14ac:dyDescent="0.25">
      <c r="A1239" s="24" t="s">
        <v>2866</v>
      </c>
      <c r="B1239" s="38" t="s">
        <v>2821</v>
      </c>
      <c r="C1239" s="25" t="s">
        <v>2867</v>
      </c>
      <c r="D1239" s="39" t="s">
        <v>2823</v>
      </c>
      <c r="E1239" s="40" t="s">
        <v>477</v>
      </c>
      <c r="F1239" s="54" t="s">
        <v>485</v>
      </c>
      <c r="G1239" s="54" t="s">
        <v>485</v>
      </c>
      <c r="H1239" s="54" t="s">
        <v>485</v>
      </c>
      <c r="I1239" s="43">
        <f>'01_PARÂMETROS'!$B$9</f>
        <v>50</v>
      </c>
      <c r="J1239" s="44">
        <f>1</f>
        <v>1</v>
      </c>
      <c r="K1239" s="55">
        <f>MAX('01_PARÂMETROS'!$B$11,MIN('01_PARÂMETROS'!$B$12,J1239))</f>
        <v>1</v>
      </c>
      <c r="L1239" s="56">
        <f t="shared" si="57"/>
        <v>0</v>
      </c>
      <c r="M1239" s="57" t="str">
        <f>IF(K1239&lt;='01_PARÂMETROS'!$B$14,"Preferencial",IF(K1239&lt;='01_PARÂMETROS'!$B$15,"Baixo",IF(K1239&lt;='01_PARÂMETROS'!$B$16,"Médio",IF(K1239&lt;='01_PARÂMETROS'!$B$17,"Alto","Elevado"))))</f>
        <v>Médio</v>
      </c>
      <c r="N1239" s="58" t="s">
        <v>486</v>
      </c>
      <c r="O1239" s="54"/>
    </row>
    <row r="1240" spans="1:15" ht="13.5" customHeight="1" x14ac:dyDescent="0.25">
      <c r="A1240" s="13" t="s">
        <v>2868</v>
      </c>
      <c r="B1240" s="49" t="s">
        <v>2821</v>
      </c>
      <c r="C1240" s="14" t="s">
        <v>2869</v>
      </c>
      <c r="D1240" s="50" t="s">
        <v>2823</v>
      </c>
      <c r="E1240" s="40" t="s">
        <v>477</v>
      </c>
      <c r="F1240" s="54" t="s">
        <v>485</v>
      </c>
      <c r="G1240" s="54" t="s">
        <v>485</v>
      </c>
      <c r="H1240" s="54" t="s">
        <v>485</v>
      </c>
      <c r="I1240" s="43">
        <f>'01_PARÂMETROS'!$B$9</f>
        <v>50</v>
      </c>
      <c r="J1240" s="44">
        <f>1</f>
        <v>1</v>
      </c>
      <c r="K1240" s="55">
        <f>MAX('01_PARÂMETROS'!$B$11,MIN('01_PARÂMETROS'!$B$12,J1240))</f>
        <v>1</v>
      </c>
      <c r="L1240" s="56">
        <f t="shared" si="57"/>
        <v>0</v>
      </c>
      <c r="M1240" s="57" t="str">
        <f>IF(K1240&lt;='01_PARÂMETROS'!$B$14,"Preferencial",IF(K1240&lt;='01_PARÂMETROS'!$B$15,"Baixo",IF(K1240&lt;='01_PARÂMETROS'!$B$16,"Médio",IF(K1240&lt;='01_PARÂMETROS'!$B$17,"Alto","Elevado"))))</f>
        <v>Médio</v>
      </c>
      <c r="N1240" s="58" t="s">
        <v>486</v>
      </c>
      <c r="O1240" s="61"/>
    </row>
    <row r="1241" spans="1:15" ht="13.5" customHeight="1" x14ac:dyDescent="0.25">
      <c r="A1241" s="24" t="s">
        <v>2870</v>
      </c>
      <c r="B1241" s="38" t="s">
        <v>2821</v>
      </c>
      <c r="C1241" s="25" t="s">
        <v>2871</v>
      </c>
      <c r="D1241" s="39" t="s">
        <v>2823</v>
      </c>
      <c r="E1241" s="40" t="s">
        <v>477</v>
      </c>
      <c r="F1241" s="54" t="s">
        <v>485</v>
      </c>
      <c r="G1241" s="54" t="s">
        <v>485</v>
      </c>
      <c r="H1241" s="54" t="s">
        <v>485</v>
      </c>
      <c r="I1241" s="43">
        <f>'01_PARÂMETROS'!$B$9</f>
        <v>50</v>
      </c>
      <c r="J1241" s="44">
        <f>1</f>
        <v>1</v>
      </c>
      <c r="K1241" s="55">
        <f>MAX('01_PARÂMETROS'!$B$11,MIN('01_PARÂMETROS'!$B$12,J1241))</f>
        <v>1</v>
      </c>
      <c r="L1241" s="56">
        <f t="shared" si="57"/>
        <v>0</v>
      </c>
      <c r="M1241" s="57" t="str">
        <f>IF(K1241&lt;='01_PARÂMETROS'!$B$14,"Preferencial",IF(K1241&lt;='01_PARÂMETROS'!$B$15,"Baixo",IF(K1241&lt;='01_PARÂMETROS'!$B$16,"Médio",IF(K1241&lt;='01_PARÂMETROS'!$B$17,"Alto","Elevado"))))</f>
        <v>Médio</v>
      </c>
      <c r="N1241" s="58" t="s">
        <v>486</v>
      </c>
      <c r="O1241" s="54"/>
    </row>
    <row r="1242" spans="1:15" ht="13.5" customHeight="1" x14ac:dyDescent="0.25">
      <c r="A1242" s="13" t="s">
        <v>2872</v>
      </c>
      <c r="B1242" s="49" t="s">
        <v>2821</v>
      </c>
      <c r="C1242" s="14" t="s">
        <v>2873</v>
      </c>
      <c r="D1242" s="50" t="s">
        <v>2823</v>
      </c>
      <c r="E1242" s="40" t="s">
        <v>477</v>
      </c>
      <c r="F1242" s="54" t="s">
        <v>485</v>
      </c>
      <c r="G1242" s="54" t="s">
        <v>485</v>
      </c>
      <c r="H1242" s="54" t="s">
        <v>485</v>
      </c>
      <c r="I1242" s="43">
        <f>'01_PARÂMETROS'!$B$9</f>
        <v>50</v>
      </c>
      <c r="J1242" s="44">
        <f>1</f>
        <v>1</v>
      </c>
      <c r="K1242" s="55">
        <f>MAX('01_PARÂMETROS'!$B$11,MIN('01_PARÂMETROS'!$B$12,J1242))</f>
        <v>1</v>
      </c>
      <c r="L1242" s="56">
        <f t="shared" si="57"/>
        <v>0</v>
      </c>
      <c r="M1242" s="57" t="str">
        <f>IF(K1242&lt;='01_PARÂMETROS'!$B$14,"Preferencial",IF(K1242&lt;='01_PARÂMETROS'!$B$15,"Baixo",IF(K1242&lt;='01_PARÂMETROS'!$B$16,"Médio",IF(K1242&lt;='01_PARÂMETROS'!$B$17,"Alto","Elevado"))))</f>
        <v>Médio</v>
      </c>
      <c r="N1242" s="58" t="s">
        <v>486</v>
      </c>
      <c r="O1242" s="61"/>
    </row>
    <row r="1243" spans="1:15" ht="13.5" customHeight="1" x14ac:dyDescent="0.25">
      <c r="A1243" s="24" t="s">
        <v>2874</v>
      </c>
      <c r="B1243" s="38" t="s">
        <v>2821</v>
      </c>
      <c r="C1243" s="25" t="s">
        <v>2875</v>
      </c>
      <c r="D1243" s="39" t="s">
        <v>2823</v>
      </c>
      <c r="E1243" s="40" t="s">
        <v>477</v>
      </c>
      <c r="F1243" s="54" t="s">
        <v>485</v>
      </c>
      <c r="G1243" s="54" t="s">
        <v>485</v>
      </c>
      <c r="H1243" s="54" t="s">
        <v>485</v>
      </c>
      <c r="I1243" s="43">
        <f>'01_PARÂMETROS'!$B$9</f>
        <v>50</v>
      </c>
      <c r="J1243" s="44">
        <f>1</f>
        <v>1</v>
      </c>
      <c r="K1243" s="55">
        <f>MAX('01_PARÂMETROS'!$B$11,MIN('01_PARÂMETROS'!$B$12,J1243))</f>
        <v>1</v>
      </c>
      <c r="L1243" s="56">
        <f t="shared" si="57"/>
        <v>0</v>
      </c>
      <c r="M1243" s="57" t="str">
        <f>IF(K1243&lt;='01_PARÂMETROS'!$B$14,"Preferencial",IF(K1243&lt;='01_PARÂMETROS'!$B$15,"Baixo",IF(K1243&lt;='01_PARÂMETROS'!$B$16,"Médio",IF(K1243&lt;='01_PARÂMETROS'!$B$17,"Alto","Elevado"))))</f>
        <v>Médio</v>
      </c>
      <c r="N1243" s="58" t="s">
        <v>486</v>
      </c>
      <c r="O1243" s="54"/>
    </row>
    <row r="1244" spans="1:15" ht="13.5" customHeight="1" x14ac:dyDescent="0.25">
      <c r="A1244" s="13" t="s">
        <v>2876</v>
      </c>
      <c r="B1244" s="49" t="s">
        <v>2821</v>
      </c>
      <c r="C1244" s="14" t="s">
        <v>2877</v>
      </c>
      <c r="D1244" s="50" t="s">
        <v>2823</v>
      </c>
      <c r="E1244" s="40" t="s">
        <v>477</v>
      </c>
      <c r="F1244" s="54" t="s">
        <v>485</v>
      </c>
      <c r="G1244" s="54" t="s">
        <v>485</v>
      </c>
      <c r="H1244" s="54" t="s">
        <v>485</v>
      </c>
      <c r="I1244" s="43">
        <f>'01_PARÂMETROS'!$B$9</f>
        <v>50</v>
      </c>
      <c r="J1244" s="44">
        <f>1</f>
        <v>1</v>
      </c>
      <c r="K1244" s="55">
        <f>MAX('01_PARÂMETROS'!$B$11,MIN('01_PARÂMETROS'!$B$12,J1244))</f>
        <v>1</v>
      </c>
      <c r="L1244" s="56">
        <f t="shared" si="57"/>
        <v>0</v>
      </c>
      <c r="M1244" s="57" t="str">
        <f>IF(K1244&lt;='01_PARÂMETROS'!$B$14,"Preferencial",IF(K1244&lt;='01_PARÂMETROS'!$B$15,"Baixo",IF(K1244&lt;='01_PARÂMETROS'!$B$16,"Médio",IF(K1244&lt;='01_PARÂMETROS'!$B$17,"Alto","Elevado"))))</f>
        <v>Médio</v>
      </c>
      <c r="N1244" s="58" t="s">
        <v>486</v>
      </c>
      <c r="O1244" s="61"/>
    </row>
    <row r="1245" spans="1:15" ht="13.5" customHeight="1" x14ac:dyDescent="0.25">
      <c r="A1245" s="24" t="s">
        <v>2878</v>
      </c>
      <c r="B1245" s="38" t="s">
        <v>2821</v>
      </c>
      <c r="C1245" s="25" t="s">
        <v>2879</v>
      </c>
      <c r="D1245" s="39" t="s">
        <v>2823</v>
      </c>
      <c r="E1245" s="40" t="s">
        <v>477</v>
      </c>
      <c r="F1245" s="54" t="s">
        <v>485</v>
      </c>
      <c r="G1245" s="54" t="s">
        <v>485</v>
      </c>
      <c r="H1245" s="54" t="s">
        <v>485</v>
      </c>
      <c r="I1245" s="43">
        <f>'01_PARÂMETROS'!$B$9</f>
        <v>50</v>
      </c>
      <c r="J1245" s="44">
        <f>1</f>
        <v>1</v>
      </c>
      <c r="K1245" s="55">
        <f>MAX('01_PARÂMETROS'!$B$11,MIN('01_PARÂMETROS'!$B$12,J1245))</f>
        <v>1</v>
      </c>
      <c r="L1245" s="56">
        <f t="shared" si="57"/>
        <v>0</v>
      </c>
      <c r="M1245" s="57" t="str">
        <f>IF(K1245&lt;='01_PARÂMETROS'!$B$14,"Preferencial",IF(K1245&lt;='01_PARÂMETROS'!$B$15,"Baixo",IF(K1245&lt;='01_PARÂMETROS'!$B$16,"Médio",IF(K1245&lt;='01_PARÂMETROS'!$B$17,"Alto","Elevado"))))</f>
        <v>Médio</v>
      </c>
      <c r="N1245" s="58" t="s">
        <v>486</v>
      </c>
      <c r="O1245" s="54"/>
    </row>
    <row r="1246" spans="1:15" ht="13.5" customHeight="1" x14ac:dyDescent="0.25">
      <c r="A1246" s="13" t="s">
        <v>2880</v>
      </c>
      <c r="B1246" s="49" t="s">
        <v>2821</v>
      </c>
      <c r="C1246" s="14" t="s">
        <v>2881</v>
      </c>
      <c r="D1246" s="50" t="s">
        <v>2823</v>
      </c>
      <c r="E1246" s="40" t="s">
        <v>477</v>
      </c>
      <c r="F1246" s="54" t="s">
        <v>485</v>
      </c>
      <c r="G1246" s="54" t="s">
        <v>485</v>
      </c>
      <c r="H1246" s="54" t="s">
        <v>485</v>
      </c>
      <c r="I1246" s="43">
        <f>'01_PARÂMETROS'!$B$9</f>
        <v>50</v>
      </c>
      <c r="J1246" s="44">
        <f>1</f>
        <v>1</v>
      </c>
      <c r="K1246" s="55">
        <f>MAX('01_PARÂMETROS'!$B$11,MIN('01_PARÂMETROS'!$B$12,J1246))</f>
        <v>1</v>
      </c>
      <c r="L1246" s="56">
        <f t="shared" si="57"/>
        <v>0</v>
      </c>
      <c r="M1246" s="57" t="str">
        <f>IF(K1246&lt;='01_PARÂMETROS'!$B$14,"Preferencial",IF(K1246&lt;='01_PARÂMETROS'!$B$15,"Baixo",IF(K1246&lt;='01_PARÂMETROS'!$B$16,"Médio",IF(K1246&lt;='01_PARÂMETROS'!$B$17,"Alto","Elevado"))))</f>
        <v>Médio</v>
      </c>
      <c r="N1246" s="58" t="s">
        <v>486</v>
      </c>
      <c r="O1246" s="61"/>
    </row>
    <row r="1247" spans="1:15" ht="13.5" customHeight="1" x14ac:dyDescent="0.25">
      <c r="A1247" s="24" t="s">
        <v>2882</v>
      </c>
      <c r="B1247" s="38" t="s">
        <v>2821</v>
      </c>
      <c r="C1247" s="25" t="s">
        <v>2883</v>
      </c>
      <c r="D1247" s="39" t="s">
        <v>2823</v>
      </c>
      <c r="E1247" s="40" t="s">
        <v>477</v>
      </c>
      <c r="F1247" s="54" t="s">
        <v>485</v>
      </c>
      <c r="G1247" s="54" t="s">
        <v>485</v>
      </c>
      <c r="H1247" s="54" t="s">
        <v>485</v>
      </c>
      <c r="I1247" s="43">
        <f>'01_PARÂMETROS'!$B$9</f>
        <v>50</v>
      </c>
      <c r="J1247" s="44">
        <f>1</f>
        <v>1</v>
      </c>
      <c r="K1247" s="55">
        <f>MAX('01_PARÂMETROS'!$B$11,MIN('01_PARÂMETROS'!$B$12,J1247))</f>
        <v>1</v>
      </c>
      <c r="L1247" s="56">
        <f t="shared" si="57"/>
        <v>0</v>
      </c>
      <c r="M1247" s="57" t="str">
        <f>IF(K1247&lt;='01_PARÂMETROS'!$B$14,"Preferencial",IF(K1247&lt;='01_PARÂMETROS'!$B$15,"Baixo",IF(K1247&lt;='01_PARÂMETROS'!$B$16,"Médio",IF(K1247&lt;='01_PARÂMETROS'!$B$17,"Alto","Elevado"))))</f>
        <v>Médio</v>
      </c>
      <c r="N1247" s="58" t="s">
        <v>486</v>
      </c>
      <c r="O1247" s="54"/>
    </row>
    <row r="1248" spans="1:15" ht="13.5" customHeight="1" x14ac:dyDescent="0.25">
      <c r="A1248" s="13" t="s">
        <v>2884</v>
      </c>
      <c r="B1248" s="49" t="s">
        <v>2821</v>
      </c>
      <c r="C1248" s="14" t="s">
        <v>2885</v>
      </c>
      <c r="D1248" s="50" t="s">
        <v>2823</v>
      </c>
      <c r="E1248" s="40" t="s">
        <v>477</v>
      </c>
      <c r="F1248" s="54" t="s">
        <v>485</v>
      </c>
      <c r="G1248" s="54" t="s">
        <v>485</v>
      </c>
      <c r="H1248" s="54" t="s">
        <v>485</v>
      </c>
      <c r="I1248" s="43">
        <f>'01_PARÂMETROS'!$B$9</f>
        <v>50</v>
      </c>
      <c r="J1248" s="44">
        <f>1</f>
        <v>1</v>
      </c>
      <c r="K1248" s="55">
        <f>MAX('01_PARÂMETROS'!$B$11,MIN('01_PARÂMETROS'!$B$12,J1248))</f>
        <v>1</v>
      </c>
      <c r="L1248" s="56">
        <f t="shared" si="57"/>
        <v>0</v>
      </c>
      <c r="M1248" s="57" t="str">
        <f>IF(K1248&lt;='01_PARÂMETROS'!$B$14,"Preferencial",IF(K1248&lt;='01_PARÂMETROS'!$B$15,"Baixo",IF(K1248&lt;='01_PARÂMETROS'!$B$16,"Médio",IF(K1248&lt;='01_PARÂMETROS'!$B$17,"Alto","Elevado"))))</f>
        <v>Médio</v>
      </c>
      <c r="N1248" s="58" t="s">
        <v>486</v>
      </c>
      <c r="O1248" s="61"/>
    </row>
    <row r="1249" spans="1:15" ht="13.5" customHeight="1" x14ac:dyDescent="0.25">
      <c r="A1249" s="24" t="s">
        <v>2886</v>
      </c>
      <c r="B1249" s="38" t="s">
        <v>2821</v>
      </c>
      <c r="C1249" s="25" t="s">
        <v>2887</v>
      </c>
      <c r="D1249" s="39" t="s">
        <v>2823</v>
      </c>
      <c r="E1249" s="40" t="s">
        <v>477</v>
      </c>
      <c r="F1249" s="54" t="s">
        <v>485</v>
      </c>
      <c r="G1249" s="54" t="s">
        <v>485</v>
      </c>
      <c r="H1249" s="54" t="s">
        <v>485</v>
      </c>
      <c r="I1249" s="43">
        <f>'01_PARÂMETROS'!$B$9</f>
        <v>50</v>
      </c>
      <c r="J1249" s="44">
        <f>1</f>
        <v>1</v>
      </c>
      <c r="K1249" s="55">
        <f>MAX('01_PARÂMETROS'!$B$11,MIN('01_PARÂMETROS'!$B$12,J1249))</f>
        <v>1</v>
      </c>
      <c r="L1249" s="56">
        <f t="shared" si="57"/>
        <v>0</v>
      </c>
      <c r="M1249" s="57" t="str">
        <f>IF(K1249&lt;='01_PARÂMETROS'!$B$14,"Preferencial",IF(K1249&lt;='01_PARÂMETROS'!$B$15,"Baixo",IF(K1249&lt;='01_PARÂMETROS'!$B$16,"Médio",IF(K1249&lt;='01_PARÂMETROS'!$B$17,"Alto","Elevado"))))</f>
        <v>Médio</v>
      </c>
      <c r="N1249" s="58" t="s">
        <v>486</v>
      </c>
      <c r="O1249" s="54"/>
    </row>
    <row r="1250" spans="1:15" ht="13.5" customHeight="1" x14ac:dyDescent="0.25">
      <c r="A1250" s="13" t="s">
        <v>2888</v>
      </c>
      <c r="B1250" s="49" t="s">
        <v>2821</v>
      </c>
      <c r="C1250" s="14" t="s">
        <v>2889</v>
      </c>
      <c r="D1250" s="50" t="s">
        <v>2823</v>
      </c>
      <c r="E1250" s="40" t="s">
        <v>477</v>
      </c>
      <c r="F1250" s="54" t="s">
        <v>485</v>
      </c>
      <c r="G1250" s="54" t="s">
        <v>485</v>
      </c>
      <c r="H1250" s="54" t="s">
        <v>485</v>
      </c>
      <c r="I1250" s="43">
        <f>'01_PARÂMETROS'!$B$9</f>
        <v>50</v>
      </c>
      <c r="J1250" s="44">
        <f>1</f>
        <v>1</v>
      </c>
      <c r="K1250" s="55">
        <f>MAX('01_PARÂMETROS'!$B$11,MIN('01_PARÂMETROS'!$B$12,J1250))</f>
        <v>1</v>
      </c>
      <c r="L1250" s="56">
        <f t="shared" si="57"/>
        <v>0</v>
      </c>
      <c r="M1250" s="57" t="str">
        <f>IF(K1250&lt;='01_PARÂMETROS'!$B$14,"Preferencial",IF(K1250&lt;='01_PARÂMETROS'!$B$15,"Baixo",IF(K1250&lt;='01_PARÂMETROS'!$B$16,"Médio",IF(K1250&lt;='01_PARÂMETROS'!$B$17,"Alto","Elevado"))))</f>
        <v>Médio</v>
      </c>
      <c r="N1250" s="58" t="s">
        <v>486</v>
      </c>
      <c r="O1250" s="61"/>
    </row>
    <row r="1251" spans="1:15" ht="13.5" customHeight="1" x14ac:dyDescent="0.25">
      <c r="A1251" s="24" t="s">
        <v>2890</v>
      </c>
      <c r="B1251" s="38" t="s">
        <v>2821</v>
      </c>
      <c r="C1251" s="25" t="s">
        <v>2891</v>
      </c>
      <c r="D1251" s="39" t="s">
        <v>2823</v>
      </c>
      <c r="E1251" s="40" t="s">
        <v>477</v>
      </c>
      <c r="F1251" s="54" t="s">
        <v>485</v>
      </c>
      <c r="G1251" s="54" t="s">
        <v>485</v>
      </c>
      <c r="H1251" s="54" t="s">
        <v>485</v>
      </c>
      <c r="I1251" s="43">
        <f>'01_PARÂMETROS'!$B$9</f>
        <v>50</v>
      </c>
      <c r="J1251" s="44">
        <f>1</f>
        <v>1</v>
      </c>
      <c r="K1251" s="55">
        <f>MAX('01_PARÂMETROS'!$B$11,MIN('01_PARÂMETROS'!$B$12,J1251))</f>
        <v>1</v>
      </c>
      <c r="L1251" s="56">
        <f t="shared" si="57"/>
        <v>0</v>
      </c>
      <c r="M1251" s="57" t="str">
        <f>IF(K1251&lt;='01_PARÂMETROS'!$B$14,"Preferencial",IF(K1251&lt;='01_PARÂMETROS'!$B$15,"Baixo",IF(K1251&lt;='01_PARÂMETROS'!$B$16,"Médio",IF(K1251&lt;='01_PARÂMETROS'!$B$17,"Alto","Elevado"))))</f>
        <v>Médio</v>
      </c>
      <c r="N1251" s="58" t="s">
        <v>486</v>
      </c>
      <c r="O1251" s="54"/>
    </row>
    <row r="1252" spans="1:15" ht="13.5" customHeight="1" x14ac:dyDescent="0.25">
      <c r="A1252" s="13" t="s">
        <v>2892</v>
      </c>
      <c r="B1252" s="49" t="s">
        <v>2821</v>
      </c>
      <c r="C1252" s="14" t="s">
        <v>2893</v>
      </c>
      <c r="D1252" s="50" t="s">
        <v>2823</v>
      </c>
      <c r="E1252" s="40" t="s">
        <v>477</v>
      </c>
      <c r="F1252" s="54" t="s">
        <v>485</v>
      </c>
      <c r="G1252" s="54" t="s">
        <v>485</v>
      </c>
      <c r="H1252" s="54" t="s">
        <v>485</v>
      </c>
      <c r="I1252" s="43">
        <f>'01_PARÂMETROS'!$B$9</f>
        <v>50</v>
      </c>
      <c r="J1252" s="44">
        <f>1</f>
        <v>1</v>
      </c>
      <c r="K1252" s="55">
        <f>MAX('01_PARÂMETROS'!$B$11,MIN('01_PARÂMETROS'!$B$12,J1252))</f>
        <v>1</v>
      </c>
      <c r="L1252" s="56">
        <f t="shared" si="57"/>
        <v>0</v>
      </c>
      <c r="M1252" s="57" t="str">
        <f>IF(K1252&lt;='01_PARÂMETROS'!$B$14,"Preferencial",IF(K1252&lt;='01_PARÂMETROS'!$B$15,"Baixo",IF(K1252&lt;='01_PARÂMETROS'!$B$16,"Médio",IF(K1252&lt;='01_PARÂMETROS'!$B$17,"Alto","Elevado"))))</f>
        <v>Médio</v>
      </c>
      <c r="N1252" s="58" t="s">
        <v>486</v>
      </c>
      <c r="O1252" s="61"/>
    </row>
    <row r="1253" spans="1:15" ht="13.5" customHeight="1" x14ac:dyDescent="0.25">
      <c r="A1253" s="24" t="s">
        <v>2894</v>
      </c>
      <c r="B1253" s="38" t="s">
        <v>2821</v>
      </c>
      <c r="C1253" s="25" t="s">
        <v>2895</v>
      </c>
      <c r="D1253" s="39" t="s">
        <v>2823</v>
      </c>
      <c r="E1253" s="40" t="s">
        <v>477</v>
      </c>
      <c r="F1253" s="54" t="s">
        <v>485</v>
      </c>
      <c r="G1253" s="54" t="s">
        <v>485</v>
      </c>
      <c r="H1253" s="54" t="s">
        <v>485</v>
      </c>
      <c r="I1253" s="43">
        <f>'01_PARÂMETROS'!$B$9</f>
        <v>50</v>
      </c>
      <c r="J1253" s="44">
        <f>1</f>
        <v>1</v>
      </c>
      <c r="K1253" s="55">
        <f>MAX('01_PARÂMETROS'!$B$11,MIN('01_PARÂMETROS'!$B$12,J1253))</f>
        <v>1</v>
      </c>
      <c r="L1253" s="56">
        <f t="shared" si="57"/>
        <v>0</v>
      </c>
      <c r="M1253" s="57" t="str">
        <f>IF(K1253&lt;='01_PARÂMETROS'!$B$14,"Preferencial",IF(K1253&lt;='01_PARÂMETROS'!$B$15,"Baixo",IF(K1253&lt;='01_PARÂMETROS'!$B$16,"Médio",IF(K1253&lt;='01_PARÂMETROS'!$B$17,"Alto","Elevado"))))</f>
        <v>Médio</v>
      </c>
      <c r="N1253" s="58" t="s">
        <v>486</v>
      </c>
      <c r="O1253" s="54"/>
    </row>
    <row r="1254" spans="1:15" ht="13.5" customHeight="1" x14ac:dyDescent="0.25">
      <c r="A1254" s="13" t="s">
        <v>2896</v>
      </c>
      <c r="B1254" s="49" t="s">
        <v>2821</v>
      </c>
      <c r="C1254" s="14" t="s">
        <v>2897</v>
      </c>
      <c r="D1254" s="50" t="s">
        <v>2823</v>
      </c>
      <c r="E1254" s="40" t="s">
        <v>477</v>
      </c>
      <c r="F1254" s="54" t="s">
        <v>485</v>
      </c>
      <c r="G1254" s="54" t="s">
        <v>485</v>
      </c>
      <c r="H1254" s="54" t="s">
        <v>485</v>
      </c>
      <c r="I1254" s="43">
        <f>'01_PARÂMETROS'!$B$9</f>
        <v>50</v>
      </c>
      <c r="J1254" s="44">
        <f>1</f>
        <v>1</v>
      </c>
      <c r="K1254" s="55">
        <f>MAX('01_PARÂMETROS'!$B$11,MIN('01_PARÂMETROS'!$B$12,J1254))</f>
        <v>1</v>
      </c>
      <c r="L1254" s="56">
        <f t="shared" si="57"/>
        <v>0</v>
      </c>
      <c r="M1254" s="57" t="str">
        <f>IF(K1254&lt;='01_PARÂMETROS'!$B$14,"Preferencial",IF(K1254&lt;='01_PARÂMETROS'!$B$15,"Baixo",IF(K1254&lt;='01_PARÂMETROS'!$B$16,"Médio",IF(K1254&lt;='01_PARÂMETROS'!$B$17,"Alto","Elevado"))))</f>
        <v>Médio</v>
      </c>
      <c r="N1254" s="58" t="s">
        <v>486</v>
      </c>
      <c r="O1254" s="61"/>
    </row>
    <row r="1255" spans="1:15" ht="13.5" customHeight="1" x14ac:dyDescent="0.25">
      <c r="A1255" s="24" t="s">
        <v>2898</v>
      </c>
      <c r="B1255" s="38" t="s">
        <v>2821</v>
      </c>
      <c r="C1255" s="25" t="s">
        <v>2899</v>
      </c>
      <c r="D1255" s="39" t="s">
        <v>2823</v>
      </c>
      <c r="E1255" s="40" t="s">
        <v>477</v>
      </c>
      <c r="F1255" s="54" t="s">
        <v>485</v>
      </c>
      <c r="G1255" s="54" t="s">
        <v>485</v>
      </c>
      <c r="H1255" s="54" t="s">
        <v>485</v>
      </c>
      <c r="I1255" s="43">
        <f>'01_PARÂMETROS'!$B$9</f>
        <v>50</v>
      </c>
      <c r="J1255" s="44">
        <f>1</f>
        <v>1</v>
      </c>
      <c r="K1255" s="55">
        <f>MAX('01_PARÂMETROS'!$B$11,MIN('01_PARÂMETROS'!$B$12,J1255))</f>
        <v>1</v>
      </c>
      <c r="L1255" s="56">
        <f t="shared" si="57"/>
        <v>0</v>
      </c>
      <c r="M1255" s="57" t="str">
        <f>IF(K1255&lt;='01_PARÂMETROS'!$B$14,"Preferencial",IF(K1255&lt;='01_PARÂMETROS'!$B$15,"Baixo",IF(K1255&lt;='01_PARÂMETROS'!$B$16,"Médio",IF(K1255&lt;='01_PARÂMETROS'!$B$17,"Alto","Elevado"))))</f>
        <v>Médio</v>
      </c>
      <c r="N1255" s="58" t="s">
        <v>486</v>
      </c>
      <c r="O1255" s="54"/>
    </row>
    <row r="1256" spans="1:15" ht="13.5" customHeight="1" x14ac:dyDescent="0.25">
      <c r="A1256" s="13" t="s">
        <v>2900</v>
      </c>
      <c r="B1256" s="49" t="s">
        <v>2821</v>
      </c>
      <c r="C1256" s="14" t="s">
        <v>2901</v>
      </c>
      <c r="D1256" s="50" t="s">
        <v>2823</v>
      </c>
      <c r="E1256" s="40" t="s">
        <v>477</v>
      </c>
      <c r="F1256" s="54" t="s">
        <v>485</v>
      </c>
      <c r="G1256" s="54" t="s">
        <v>485</v>
      </c>
      <c r="H1256" s="54" t="s">
        <v>485</v>
      </c>
      <c r="I1256" s="43">
        <f>'01_PARÂMETROS'!$B$9</f>
        <v>50</v>
      </c>
      <c r="J1256" s="44">
        <f>1</f>
        <v>1</v>
      </c>
      <c r="K1256" s="55">
        <f>MAX('01_PARÂMETROS'!$B$11,MIN('01_PARÂMETROS'!$B$12,J1256))</f>
        <v>1</v>
      </c>
      <c r="L1256" s="56">
        <f t="shared" si="57"/>
        <v>0</v>
      </c>
      <c r="M1256" s="57" t="str">
        <f>IF(K1256&lt;='01_PARÂMETROS'!$B$14,"Preferencial",IF(K1256&lt;='01_PARÂMETROS'!$B$15,"Baixo",IF(K1256&lt;='01_PARÂMETROS'!$B$16,"Médio",IF(K1256&lt;='01_PARÂMETROS'!$B$17,"Alto","Elevado"))))</f>
        <v>Médio</v>
      </c>
      <c r="N1256" s="58" t="s">
        <v>486</v>
      </c>
      <c r="O1256" s="61"/>
    </row>
    <row r="1257" spans="1:15" ht="13.5" customHeight="1" x14ac:dyDescent="0.25">
      <c r="A1257" s="24" t="s">
        <v>2902</v>
      </c>
      <c r="B1257" s="38" t="s">
        <v>2821</v>
      </c>
      <c r="C1257" s="25" t="s">
        <v>2903</v>
      </c>
      <c r="D1257" s="39" t="s">
        <v>2823</v>
      </c>
      <c r="E1257" s="40" t="s">
        <v>477</v>
      </c>
      <c r="F1257" s="54" t="s">
        <v>485</v>
      </c>
      <c r="G1257" s="54" t="s">
        <v>485</v>
      </c>
      <c r="H1257" s="54" t="s">
        <v>485</v>
      </c>
      <c r="I1257" s="43">
        <f>'01_PARÂMETROS'!$B$9</f>
        <v>50</v>
      </c>
      <c r="J1257" s="44">
        <f>1</f>
        <v>1</v>
      </c>
      <c r="K1257" s="55">
        <f>MAX('01_PARÂMETROS'!$B$11,MIN('01_PARÂMETROS'!$B$12,J1257))</f>
        <v>1</v>
      </c>
      <c r="L1257" s="56">
        <f t="shared" si="57"/>
        <v>0</v>
      </c>
      <c r="M1257" s="57" t="str">
        <f>IF(K1257&lt;='01_PARÂMETROS'!$B$14,"Preferencial",IF(K1257&lt;='01_PARÂMETROS'!$B$15,"Baixo",IF(K1257&lt;='01_PARÂMETROS'!$B$16,"Médio",IF(K1257&lt;='01_PARÂMETROS'!$B$17,"Alto","Elevado"))))</f>
        <v>Médio</v>
      </c>
      <c r="N1257" s="58" t="s">
        <v>486</v>
      </c>
      <c r="O1257" s="54"/>
    </row>
    <row r="1258" spans="1:15" ht="13.5" customHeight="1" x14ac:dyDescent="0.25">
      <c r="A1258" s="13" t="s">
        <v>2904</v>
      </c>
      <c r="B1258" s="49" t="s">
        <v>2821</v>
      </c>
      <c r="C1258" s="14" t="s">
        <v>2905</v>
      </c>
      <c r="D1258" s="50" t="s">
        <v>2823</v>
      </c>
      <c r="E1258" s="40" t="s">
        <v>477</v>
      </c>
      <c r="F1258" s="54" t="s">
        <v>485</v>
      </c>
      <c r="G1258" s="54" t="s">
        <v>485</v>
      </c>
      <c r="H1258" s="54" t="s">
        <v>485</v>
      </c>
      <c r="I1258" s="43">
        <f>'01_PARÂMETROS'!$B$9</f>
        <v>50</v>
      </c>
      <c r="J1258" s="44">
        <f>1</f>
        <v>1</v>
      </c>
      <c r="K1258" s="55">
        <f>MAX('01_PARÂMETROS'!$B$11,MIN('01_PARÂMETROS'!$B$12,J1258))</f>
        <v>1</v>
      </c>
      <c r="L1258" s="56">
        <f t="shared" si="57"/>
        <v>0</v>
      </c>
      <c r="M1258" s="57" t="str">
        <f>IF(K1258&lt;='01_PARÂMETROS'!$B$14,"Preferencial",IF(K1258&lt;='01_PARÂMETROS'!$B$15,"Baixo",IF(K1258&lt;='01_PARÂMETROS'!$B$16,"Médio",IF(K1258&lt;='01_PARÂMETROS'!$B$17,"Alto","Elevado"))))</f>
        <v>Médio</v>
      </c>
      <c r="N1258" s="58" t="s">
        <v>486</v>
      </c>
      <c r="O1258" s="61"/>
    </row>
    <row r="1259" spans="1:15" ht="13.5" customHeight="1" x14ac:dyDescent="0.25">
      <c r="A1259" s="24" t="s">
        <v>2906</v>
      </c>
      <c r="B1259" s="38" t="s">
        <v>2821</v>
      </c>
      <c r="C1259" s="25" t="s">
        <v>2907</v>
      </c>
      <c r="D1259" s="39" t="s">
        <v>2823</v>
      </c>
      <c r="E1259" s="40" t="s">
        <v>477</v>
      </c>
      <c r="F1259" s="54" t="s">
        <v>485</v>
      </c>
      <c r="G1259" s="54" t="s">
        <v>485</v>
      </c>
      <c r="H1259" s="54" t="s">
        <v>485</v>
      </c>
      <c r="I1259" s="43">
        <f>'01_PARÂMETROS'!$B$9</f>
        <v>50</v>
      </c>
      <c r="J1259" s="44">
        <f>1</f>
        <v>1</v>
      </c>
      <c r="K1259" s="55">
        <f>MAX('01_PARÂMETROS'!$B$11,MIN('01_PARÂMETROS'!$B$12,J1259))</f>
        <v>1</v>
      </c>
      <c r="L1259" s="56">
        <f t="shared" si="57"/>
        <v>0</v>
      </c>
      <c r="M1259" s="57" t="str">
        <f>IF(K1259&lt;='01_PARÂMETROS'!$B$14,"Preferencial",IF(K1259&lt;='01_PARÂMETROS'!$B$15,"Baixo",IF(K1259&lt;='01_PARÂMETROS'!$B$16,"Médio",IF(K1259&lt;='01_PARÂMETROS'!$B$17,"Alto","Elevado"))))</f>
        <v>Médio</v>
      </c>
      <c r="N1259" s="58" t="s">
        <v>486</v>
      </c>
      <c r="O1259" s="54"/>
    </row>
    <row r="1260" spans="1:15" ht="13.5" customHeight="1" x14ac:dyDescent="0.25">
      <c r="A1260" s="13" t="s">
        <v>2908</v>
      </c>
      <c r="B1260" s="49" t="s">
        <v>2821</v>
      </c>
      <c r="C1260" s="14" t="s">
        <v>2909</v>
      </c>
      <c r="D1260" s="50" t="s">
        <v>2823</v>
      </c>
      <c r="E1260" s="40" t="s">
        <v>477</v>
      </c>
      <c r="F1260" s="54" t="s">
        <v>485</v>
      </c>
      <c r="G1260" s="54" t="s">
        <v>485</v>
      </c>
      <c r="H1260" s="54" t="s">
        <v>485</v>
      </c>
      <c r="I1260" s="43">
        <f>'01_PARÂMETROS'!$B$9</f>
        <v>50</v>
      </c>
      <c r="J1260" s="44">
        <f>1</f>
        <v>1</v>
      </c>
      <c r="K1260" s="55">
        <f>MAX('01_PARÂMETROS'!$B$11,MIN('01_PARÂMETROS'!$B$12,J1260))</f>
        <v>1</v>
      </c>
      <c r="L1260" s="56">
        <f t="shared" si="57"/>
        <v>0</v>
      </c>
      <c r="M1260" s="57" t="str">
        <f>IF(K1260&lt;='01_PARÂMETROS'!$B$14,"Preferencial",IF(K1260&lt;='01_PARÂMETROS'!$B$15,"Baixo",IF(K1260&lt;='01_PARÂMETROS'!$B$16,"Médio",IF(K1260&lt;='01_PARÂMETROS'!$B$17,"Alto","Elevado"))))</f>
        <v>Médio</v>
      </c>
      <c r="N1260" s="58" t="s">
        <v>486</v>
      </c>
      <c r="O1260" s="61"/>
    </row>
    <row r="1261" spans="1:15" ht="13.5" customHeight="1" x14ac:dyDescent="0.25">
      <c r="A1261" s="24" t="s">
        <v>2910</v>
      </c>
      <c r="B1261" s="38" t="s">
        <v>2821</v>
      </c>
      <c r="C1261" s="25" t="s">
        <v>2911</v>
      </c>
      <c r="D1261" s="39" t="s">
        <v>2823</v>
      </c>
      <c r="E1261" s="40" t="s">
        <v>477</v>
      </c>
      <c r="F1261" s="54" t="s">
        <v>485</v>
      </c>
      <c r="G1261" s="54" t="s">
        <v>485</v>
      </c>
      <c r="H1261" s="54" t="s">
        <v>485</v>
      </c>
      <c r="I1261" s="43">
        <f>'01_PARÂMETROS'!$B$9</f>
        <v>50</v>
      </c>
      <c r="J1261" s="44">
        <f>1</f>
        <v>1</v>
      </c>
      <c r="K1261" s="55">
        <f>MAX('01_PARÂMETROS'!$B$11,MIN('01_PARÂMETROS'!$B$12,J1261))</f>
        <v>1</v>
      </c>
      <c r="L1261" s="56">
        <f t="shared" si="57"/>
        <v>0</v>
      </c>
      <c r="M1261" s="57" t="str">
        <f>IF(K1261&lt;='01_PARÂMETROS'!$B$14,"Preferencial",IF(K1261&lt;='01_PARÂMETROS'!$B$15,"Baixo",IF(K1261&lt;='01_PARÂMETROS'!$B$16,"Médio",IF(K1261&lt;='01_PARÂMETROS'!$B$17,"Alto","Elevado"))))</f>
        <v>Médio</v>
      </c>
      <c r="N1261" s="58" t="s">
        <v>486</v>
      </c>
      <c r="O1261" s="54"/>
    </row>
    <row r="1262" spans="1:15" ht="13.5" customHeight="1" x14ac:dyDescent="0.25">
      <c r="A1262" s="13" t="s">
        <v>2912</v>
      </c>
      <c r="B1262" s="49" t="s">
        <v>2821</v>
      </c>
      <c r="C1262" s="14" t="s">
        <v>2913</v>
      </c>
      <c r="D1262" s="50" t="s">
        <v>2823</v>
      </c>
      <c r="E1262" s="40" t="s">
        <v>477</v>
      </c>
      <c r="F1262" s="54" t="s">
        <v>485</v>
      </c>
      <c r="G1262" s="54" t="s">
        <v>485</v>
      </c>
      <c r="H1262" s="54" t="s">
        <v>485</v>
      </c>
      <c r="I1262" s="43">
        <f>'01_PARÂMETROS'!$B$9</f>
        <v>50</v>
      </c>
      <c r="J1262" s="44">
        <f>1</f>
        <v>1</v>
      </c>
      <c r="K1262" s="55">
        <f>MAX('01_PARÂMETROS'!$B$11,MIN('01_PARÂMETROS'!$B$12,J1262))</f>
        <v>1</v>
      </c>
      <c r="L1262" s="56">
        <f t="shared" si="57"/>
        <v>0</v>
      </c>
      <c r="M1262" s="57" t="str">
        <f>IF(K1262&lt;='01_PARÂMETROS'!$B$14,"Preferencial",IF(K1262&lt;='01_PARÂMETROS'!$B$15,"Baixo",IF(K1262&lt;='01_PARÂMETROS'!$B$16,"Médio",IF(K1262&lt;='01_PARÂMETROS'!$B$17,"Alto","Elevado"))))</f>
        <v>Médio</v>
      </c>
      <c r="N1262" s="58" t="s">
        <v>486</v>
      </c>
      <c r="O1262" s="61"/>
    </row>
    <row r="1263" spans="1:15" ht="13.5" customHeight="1" x14ac:dyDescent="0.25">
      <c r="A1263" s="24" t="s">
        <v>2914</v>
      </c>
      <c r="B1263" s="38" t="s">
        <v>2821</v>
      </c>
      <c r="C1263" s="25" t="s">
        <v>2915</v>
      </c>
      <c r="D1263" s="39" t="s">
        <v>2823</v>
      </c>
      <c r="E1263" s="40" t="s">
        <v>477</v>
      </c>
      <c r="F1263" s="54" t="s">
        <v>485</v>
      </c>
      <c r="G1263" s="54" t="s">
        <v>485</v>
      </c>
      <c r="H1263" s="54" t="s">
        <v>485</v>
      </c>
      <c r="I1263" s="43">
        <f>'01_PARÂMETROS'!$B$9</f>
        <v>50</v>
      </c>
      <c r="J1263" s="44">
        <f>1</f>
        <v>1</v>
      </c>
      <c r="K1263" s="55">
        <f>MAX('01_PARÂMETROS'!$B$11,MIN('01_PARÂMETROS'!$B$12,J1263))</f>
        <v>1</v>
      </c>
      <c r="L1263" s="56">
        <f t="shared" si="57"/>
        <v>0</v>
      </c>
      <c r="M1263" s="57" t="str">
        <f>IF(K1263&lt;='01_PARÂMETROS'!$B$14,"Preferencial",IF(K1263&lt;='01_PARÂMETROS'!$B$15,"Baixo",IF(K1263&lt;='01_PARÂMETROS'!$B$16,"Médio",IF(K1263&lt;='01_PARÂMETROS'!$B$17,"Alto","Elevado"))))</f>
        <v>Médio</v>
      </c>
      <c r="N1263" s="58" t="s">
        <v>486</v>
      </c>
      <c r="O1263" s="54"/>
    </row>
    <row r="1264" spans="1:15" ht="13.5" customHeight="1" x14ac:dyDescent="0.25">
      <c r="A1264" s="13" t="s">
        <v>2916</v>
      </c>
      <c r="B1264" s="49" t="s">
        <v>2821</v>
      </c>
      <c r="C1264" s="14" t="s">
        <v>2917</v>
      </c>
      <c r="D1264" s="50" t="s">
        <v>2823</v>
      </c>
      <c r="E1264" s="40" t="s">
        <v>477</v>
      </c>
      <c r="F1264" s="54" t="s">
        <v>485</v>
      </c>
      <c r="G1264" s="54" t="s">
        <v>485</v>
      </c>
      <c r="H1264" s="54" t="s">
        <v>485</v>
      </c>
      <c r="I1264" s="43">
        <f>'01_PARÂMETROS'!$B$9</f>
        <v>50</v>
      </c>
      <c r="J1264" s="44">
        <f>1</f>
        <v>1</v>
      </c>
      <c r="K1264" s="55">
        <f>MAX('01_PARÂMETROS'!$B$11,MIN('01_PARÂMETROS'!$B$12,J1264))</f>
        <v>1</v>
      </c>
      <c r="L1264" s="56">
        <f t="shared" si="57"/>
        <v>0</v>
      </c>
      <c r="M1264" s="57" t="str">
        <f>IF(K1264&lt;='01_PARÂMETROS'!$B$14,"Preferencial",IF(K1264&lt;='01_PARÂMETROS'!$B$15,"Baixo",IF(K1264&lt;='01_PARÂMETROS'!$B$16,"Médio",IF(K1264&lt;='01_PARÂMETROS'!$B$17,"Alto","Elevado"))))</f>
        <v>Médio</v>
      </c>
      <c r="N1264" s="58" t="s">
        <v>486</v>
      </c>
      <c r="O1264" s="61"/>
    </row>
    <row r="1265" spans="1:15" ht="13.5" customHeight="1" x14ac:dyDescent="0.25">
      <c r="A1265" s="24" t="s">
        <v>2918</v>
      </c>
      <c r="B1265" s="38" t="s">
        <v>2821</v>
      </c>
      <c r="C1265" s="25" t="s">
        <v>2919</v>
      </c>
      <c r="D1265" s="39" t="s">
        <v>2823</v>
      </c>
      <c r="E1265" s="40" t="s">
        <v>477</v>
      </c>
      <c r="F1265" s="54" t="s">
        <v>485</v>
      </c>
      <c r="G1265" s="54" t="s">
        <v>485</v>
      </c>
      <c r="H1265" s="54" t="s">
        <v>485</v>
      </c>
      <c r="I1265" s="43">
        <f>'01_PARÂMETROS'!$B$9</f>
        <v>50</v>
      </c>
      <c r="J1265" s="44">
        <f>1</f>
        <v>1</v>
      </c>
      <c r="K1265" s="55">
        <f>MAX('01_PARÂMETROS'!$B$11,MIN('01_PARÂMETROS'!$B$12,J1265))</f>
        <v>1</v>
      </c>
      <c r="L1265" s="56">
        <f t="shared" si="57"/>
        <v>0</v>
      </c>
      <c r="M1265" s="57" t="str">
        <f>IF(K1265&lt;='01_PARÂMETROS'!$B$14,"Preferencial",IF(K1265&lt;='01_PARÂMETROS'!$B$15,"Baixo",IF(K1265&lt;='01_PARÂMETROS'!$B$16,"Médio",IF(K1265&lt;='01_PARÂMETROS'!$B$17,"Alto","Elevado"))))</f>
        <v>Médio</v>
      </c>
      <c r="N1265" s="58" t="s">
        <v>486</v>
      </c>
      <c r="O1265" s="54"/>
    </row>
    <row r="1266" spans="1:15" ht="13.5" customHeight="1" x14ac:dyDescent="0.25">
      <c r="A1266" s="13" t="s">
        <v>2920</v>
      </c>
      <c r="B1266" s="49" t="s">
        <v>2821</v>
      </c>
      <c r="C1266" s="14" t="s">
        <v>2921</v>
      </c>
      <c r="D1266" s="50" t="s">
        <v>2823</v>
      </c>
      <c r="E1266" s="40" t="s">
        <v>477</v>
      </c>
      <c r="F1266" s="54" t="s">
        <v>485</v>
      </c>
      <c r="G1266" s="54" t="s">
        <v>485</v>
      </c>
      <c r="H1266" s="54" t="s">
        <v>485</v>
      </c>
      <c r="I1266" s="43">
        <f>'01_PARÂMETROS'!$B$9</f>
        <v>50</v>
      </c>
      <c r="J1266" s="44">
        <f>1</f>
        <v>1</v>
      </c>
      <c r="K1266" s="55">
        <f>MAX('01_PARÂMETROS'!$B$11,MIN('01_PARÂMETROS'!$B$12,J1266))</f>
        <v>1</v>
      </c>
      <c r="L1266" s="56">
        <f t="shared" si="57"/>
        <v>0</v>
      </c>
      <c r="M1266" s="57" t="str">
        <f>IF(K1266&lt;='01_PARÂMETROS'!$B$14,"Preferencial",IF(K1266&lt;='01_PARÂMETROS'!$B$15,"Baixo",IF(K1266&lt;='01_PARÂMETROS'!$B$16,"Médio",IF(K1266&lt;='01_PARÂMETROS'!$B$17,"Alto","Elevado"))))</f>
        <v>Médio</v>
      </c>
      <c r="N1266" s="58" t="s">
        <v>486</v>
      </c>
      <c r="O1266" s="61"/>
    </row>
    <row r="1267" spans="1:15" ht="13.5" customHeight="1" x14ac:dyDescent="0.25">
      <c r="A1267" s="24" t="s">
        <v>2922</v>
      </c>
      <c r="B1267" s="38" t="s">
        <v>2821</v>
      </c>
      <c r="C1267" s="25" t="s">
        <v>2923</v>
      </c>
      <c r="D1267" s="39" t="s">
        <v>2823</v>
      </c>
      <c r="E1267" s="40" t="s">
        <v>477</v>
      </c>
      <c r="F1267" s="54" t="s">
        <v>485</v>
      </c>
      <c r="G1267" s="54" t="s">
        <v>485</v>
      </c>
      <c r="H1267" s="54" t="s">
        <v>485</v>
      </c>
      <c r="I1267" s="43">
        <f>'01_PARÂMETROS'!$B$9</f>
        <v>50</v>
      </c>
      <c r="J1267" s="44">
        <f>1</f>
        <v>1</v>
      </c>
      <c r="K1267" s="55">
        <f>MAX('01_PARÂMETROS'!$B$11,MIN('01_PARÂMETROS'!$B$12,J1267))</f>
        <v>1</v>
      </c>
      <c r="L1267" s="56">
        <f t="shared" si="57"/>
        <v>0</v>
      </c>
      <c r="M1267" s="57" t="str">
        <f>IF(K1267&lt;='01_PARÂMETROS'!$B$14,"Preferencial",IF(K1267&lt;='01_PARÂMETROS'!$B$15,"Baixo",IF(K1267&lt;='01_PARÂMETROS'!$B$16,"Médio",IF(K1267&lt;='01_PARÂMETROS'!$B$17,"Alto","Elevado"))))</f>
        <v>Médio</v>
      </c>
      <c r="N1267" s="58" t="s">
        <v>486</v>
      </c>
      <c r="O1267" s="54"/>
    </row>
    <row r="1268" spans="1:15" ht="13.5" customHeight="1" x14ac:dyDescent="0.25">
      <c r="A1268" s="13" t="s">
        <v>2924</v>
      </c>
      <c r="B1268" s="49" t="s">
        <v>2821</v>
      </c>
      <c r="C1268" s="14" t="s">
        <v>2925</v>
      </c>
      <c r="D1268" s="50" t="s">
        <v>2823</v>
      </c>
      <c r="E1268" s="40" t="s">
        <v>477</v>
      </c>
      <c r="F1268" s="54" t="s">
        <v>485</v>
      </c>
      <c r="G1268" s="54" t="s">
        <v>485</v>
      </c>
      <c r="H1268" s="54" t="s">
        <v>485</v>
      </c>
      <c r="I1268" s="43">
        <f>'01_PARÂMETROS'!$B$9</f>
        <v>50</v>
      </c>
      <c r="J1268" s="44">
        <f>1</f>
        <v>1</v>
      </c>
      <c r="K1268" s="55">
        <f>MAX('01_PARÂMETROS'!$B$11,MIN('01_PARÂMETROS'!$B$12,J1268))</f>
        <v>1</v>
      </c>
      <c r="L1268" s="56">
        <f t="shared" si="57"/>
        <v>0</v>
      </c>
      <c r="M1268" s="57" t="str">
        <f>IF(K1268&lt;='01_PARÂMETROS'!$B$14,"Preferencial",IF(K1268&lt;='01_PARÂMETROS'!$B$15,"Baixo",IF(K1268&lt;='01_PARÂMETROS'!$B$16,"Médio",IF(K1268&lt;='01_PARÂMETROS'!$B$17,"Alto","Elevado"))))</f>
        <v>Médio</v>
      </c>
      <c r="N1268" s="58" t="s">
        <v>486</v>
      </c>
      <c r="O1268" s="61"/>
    </row>
    <row r="1269" spans="1:15" ht="13.5" customHeight="1" x14ac:dyDescent="0.25">
      <c r="A1269" s="24" t="s">
        <v>2926</v>
      </c>
      <c r="B1269" s="38" t="s">
        <v>2821</v>
      </c>
      <c r="C1269" s="25" t="s">
        <v>2927</v>
      </c>
      <c r="D1269" s="39" t="s">
        <v>2928</v>
      </c>
      <c r="E1269" s="65" t="s">
        <v>841</v>
      </c>
      <c r="F1269" s="54" t="s">
        <v>485</v>
      </c>
      <c r="G1269" s="54" t="s">
        <v>485</v>
      </c>
      <c r="H1269" s="54" t="s">
        <v>485</v>
      </c>
      <c r="I1269" s="43">
        <f>'01_PARÂMETROS'!$B$9</f>
        <v>50</v>
      </c>
      <c r="J1269" s="44">
        <f t="shared" ref="J1269:J1286" si="58">0.9</f>
        <v>0.9</v>
      </c>
      <c r="K1269" s="62">
        <f>MAX('01_PARÂMETROS'!$B$11,MIN('01_PARÂMETROS'!$B$12,J1269))</f>
        <v>0.9</v>
      </c>
      <c r="L1269" s="63">
        <f t="shared" si="57"/>
        <v>-9.9999999999999978E-2</v>
      </c>
      <c r="M1269" s="17" t="str">
        <f>IF(K1269&lt;='01_PARÂMETROS'!$B$14,"Preferencial",IF(K1269&lt;='01_PARÂMETROS'!$B$15,"Baixo",IF(K1269&lt;='01_PARÂMETROS'!$B$16,"Médio",IF(K1269&lt;='01_PARÂMETROS'!$B$17,"Alto","Elevado"))))</f>
        <v>Baixo</v>
      </c>
      <c r="N1269" s="58" t="s">
        <v>486</v>
      </c>
      <c r="O1269" s="54"/>
    </row>
    <row r="1270" spans="1:15" ht="13.5" customHeight="1" x14ac:dyDescent="0.25">
      <c r="A1270" s="13" t="s">
        <v>2929</v>
      </c>
      <c r="B1270" s="49" t="s">
        <v>2930</v>
      </c>
      <c r="C1270" s="14" t="s">
        <v>2931</v>
      </c>
      <c r="D1270" s="50" t="s">
        <v>2932</v>
      </c>
      <c r="E1270" s="65" t="s">
        <v>841</v>
      </c>
      <c r="F1270" s="54" t="s">
        <v>485</v>
      </c>
      <c r="G1270" s="54" t="s">
        <v>485</v>
      </c>
      <c r="H1270" s="54" t="s">
        <v>485</v>
      </c>
      <c r="I1270" s="43">
        <f>'01_PARÂMETROS'!$B$9</f>
        <v>50</v>
      </c>
      <c r="J1270" s="44">
        <f t="shared" si="58"/>
        <v>0.9</v>
      </c>
      <c r="K1270" s="62">
        <f>MAX('01_PARÂMETROS'!$B$11,MIN('01_PARÂMETROS'!$B$12,J1270))</f>
        <v>0.9</v>
      </c>
      <c r="L1270" s="63">
        <f t="shared" si="57"/>
        <v>-9.9999999999999978E-2</v>
      </c>
      <c r="M1270" s="17" t="str">
        <f>IF(K1270&lt;='01_PARÂMETROS'!$B$14,"Preferencial",IF(K1270&lt;='01_PARÂMETROS'!$B$15,"Baixo",IF(K1270&lt;='01_PARÂMETROS'!$B$16,"Médio",IF(K1270&lt;='01_PARÂMETROS'!$B$17,"Alto","Elevado"))))</f>
        <v>Baixo</v>
      </c>
      <c r="N1270" s="58" t="s">
        <v>486</v>
      </c>
      <c r="O1270" s="61"/>
    </row>
    <row r="1271" spans="1:15" ht="13.5" customHeight="1" x14ac:dyDescent="0.25">
      <c r="A1271" s="24" t="s">
        <v>2933</v>
      </c>
      <c r="B1271" s="38" t="s">
        <v>2930</v>
      </c>
      <c r="C1271" s="25" t="s">
        <v>2934</v>
      </c>
      <c r="D1271" s="39" t="s">
        <v>2932</v>
      </c>
      <c r="E1271" s="65" t="s">
        <v>841</v>
      </c>
      <c r="F1271" s="54" t="s">
        <v>485</v>
      </c>
      <c r="G1271" s="54" t="s">
        <v>485</v>
      </c>
      <c r="H1271" s="54" t="s">
        <v>485</v>
      </c>
      <c r="I1271" s="43">
        <f>'01_PARÂMETROS'!$B$9</f>
        <v>50</v>
      </c>
      <c r="J1271" s="44">
        <f t="shared" si="58"/>
        <v>0.9</v>
      </c>
      <c r="K1271" s="62">
        <f>MAX('01_PARÂMETROS'!$B$11,MIN('01_PARÂMETROS'!$B$12,J1271))</f>
        <v>0.9</v>
      </c>
      <c r="L1271" s="63">
        <f t="shared" si="57"/>
        <v>-9.9999999999999978E-2</v>
      </c>
      <c r="M1271" s="17" t="str">
        <f>IF(K1271&lt;='01_PARÂMETROS'!$B$14,"Preferencial",IF(K1271&lt;='01_PARÂMETROS'!$B$15,"Baixo",IF(K1271&lt;='01_PARÂMETROS'!$B$16,"Médio",IF(K1271&lt;='01_PARÂMETROS'!$B$17,"Alto","Elevado"))))</f>
        <v>Baixo</v>
      </c>
      <c r="N1271" s="58" t="s">
        <v>486</v>
      </c>
      <c r="O1271" s="54"/>
    </row>
    <row r="1272" spans="1:15" ht="13.5" customHeight="1" x14ac:dyDescent="0.25">
      <c r="A1272" s="13" t="s">
        <v>2935</v>
      </c>
      <c r="B1272" s="49" t="s">
        <v>2930</v>
      </c>
      <c r="C1272" s="14" t="s">
        <v>2936</v>
      </c>
      <c r="D1272" s="50" t="s">
        <v>2932</v>
      </c>
      <c r="E1272" s="65" t="s">
        <v>841</v>
      </c>
      <c r="F1272" s="54" t="s">
        <v>485</v>
      </c>
      <c r="G1272" s="54" t="s">
        <v>485</v>
      </c>
      <c r="H1272" s="54" t="s">
        <v>485</v>
      </c>
      <c r="I1272" s="43">
        <f>'01_PARÂMETROS'!$B$9</f>
        <v>50</v>
      </c>
      <c r="J1272" s="44">
        <f t="shared" si="58"/>
        <v>0.9</v>
      </c>
      <c r="K1272" s="62">
        <f>MAX('01_PARÂMETROS'!$B$11,MIN('01_PARÂMETROS'!$B$12,J1272))</f>
        <v>0.9</v>
      </c>
      <c r="L1272" s="63">
        <f t="shared" si="57"/>
        <v>-9.9999999999999978E-2</v>
      </c>
      <c r="M1272" s="17" t="str">
        <f>IF(K1272&lt;='01_PARÂMETROS'!$B$14,"Preferencial",IF(K1272&lt;='01_PARÂMETROS'!$B$15,"Baixo",IF(K1272&lt;='01_PARÂMETROS'!$B$16,"Médio",IF(K1272&lt;='01_PARÂMETROS'!$B$17,"Alto","Elevado"))))</f>
        <v>Baixo</v>
      </c>
      <c r="N1272" s="58" t="s">
        <v>486</v>
      </c>
      <c r="O1272" s="61"/>
    </row>
    <row r="1273" spans="1:15" ht="13.5" customHeight="1" x14ac:dyDescent="0.25">
      <c r="A1273" s="24" t="s">
        <v>2937</v>
      </c>
      <c r="B1273" s="38" t="s">
        <v>2930</v>
      </c>
      <c r="C1273" s="25" t="s">
        <v>2938</v>
      </c>
      <c r="D1273" s="39" t="s">
        <v>2932</v>
      </c>
      <c r="E1273" s="65" t="s">
        <v>841</v>
      </c>
      <c r="F1273" s="54" t="s">
        <v>485</v>
      </c>
      <c r="G1273" s="54" t="s">
        <v>485</v>
      </c>
      <c r="H1273" s="54" t="s">
        <v>485</v>
      </c>
      <c r="I1273" s="43">
        <f>'01_PARÂMETROS'!$B$9</f>
        <v>50</v>
      </c>
      <c r="J1273" s="44">
        <f t="shared" si="58"/>
        <v>0.9</v>
      </c>
      <c r="K1273" s="62">
        <f>MAX('01_PARÂMETROS'!$B$11,MIN('01_PARÂMETROS'!$B$12,J1273))</f>
        <v>0.9</v>
      </c>
      <c r="L1273" s="63">
        <f t="shared" si="57"/>
        <v>-9.9999999999999978E-2</v>
      </c>
      <c r="M1273" s="17" t="str">
        <f>IF(K1273&lt;='01_PARÂMETROS'!$B$14,"Preferencial",IF(K1273&lt;='01_PARÂMETROS'!$B$15,"Baixo",IF(K1273&lt;='01_PARÂMETROS'!$B$16,"Médio",IF(K1273&lt;='01_PARÂMETROS'!$B$17,"Alto","Elevado"))))</f>
        <v>Baixo</v>
      </c>
      <c r="N1273" s="58" t="s">
        <v>486</v>
      </c>
      <c r="O1273" s="54"/>
    </row>
    <row r="1274" spans="1:15" ht="13.5" customHeight="1" x14ac:dyDescent="0.25">
      <c r="A1274" s="13" t="s">
        <v>2939</v>
      </c>
      <c r="B1274" s="49" t="s">
        <v>2930</v>
      </c>
      <c r="C1274" s="14" t="s">
        <v>2940</v>
      </c>
      <c r="D1274" s="50" t="s">
        <v>2932</v>
      </c>
      <c r="E1274" s="65" t="s">
        <v>841</v>
      </c>
      <c r="F1274" s="54" t="s">
        <v>485</v>
      </c>
      <c r="G1274" s="54" t="s">
        <v>485</v>
      </c>
      <c r="H1274" s="54" t="s">
        <v>485</v>
      </c>
      <c r="I1274" s="43">
        <f>'01_PARÂMETROS'!$B$9</f>
        <v>50</v>
      </c>
      <c r="J1274" s="44">
        <f t="shared" si="58"/>
        <v>0.9</v>
      </c>
      <c r="K1274" s="62">
        <f>MAX('01_PARÂMETROS'!$B$11,MIN('01_PARÂMETROS'!$B$12,J1274))</f>
        <v>0.9</v>
      </c>
      <c r="L1274" s="63">
        <f t="shared" si="57"/>
        <v>-9.9999999999999978E-2</v>
      </c>
      <c r="M1274" s="17" t="str">
        <f>IF(K1274&lt;='01_PARÂMETROS'!$B$14,"Preferencial",IF(K1274&lt;='01_PARÂMETROS'!$B$15,"Baixo",IF(K1274&lt;='01_PARÂMETROS'!$B$16,"Médio",IF(K1274&lt;='01_PARÂMETROS'!$B$17,"Alto","Elevado"))))</f>
        <v>Baixo</v>
      </c>
      <c r="N1274" s="58" t="s">
        <v>486</v>
      </c>
      <c r="O1274" s="61"/>
    </row>
    <row r="1275" spans="1:15" ht="13.5" customHeight="1" x14ac:dyDescent="0.25">
      <c r="A1275" s="24" t="s">
        <v>2941</v>
      </c>
      <c r="B1275" s="38" t="s">
        <v>2930</v>
      </c>
      <c r="C1275" s="25" t="s">
        <v>2942</v>
      </c>
      <c r="D1275" s="39" t="s">
        <v>2932</v>
      </c>
      <c r="E1275" s="65" t="s">
        <v>841</v>
      </c>
      <c r="F1275" s="54" t="s">
        <v>485</v>
      </c>
      <c r="G1275" s="54" t="s">
        <v>485</v>
      </c>
      <c r="H1275" s="54" t="s">
        <v>485</v>
      </c>
      <c r="I1275" s="43">
        <f>'01_PARÂMETROS'!$B$9</f>
        <v>50</v>
      </c>
      <c r="J1275" s="44">
        <f t="shared" si="58"/>
        <v>0.9</v>
      </c>
      <c r="K1275" s="62">
        <f>MAX('01_PARÂMETROS'!$B$11,MIN('01_PARÂMETROS'!$B$12,J1275))</f>
        <v>0.9</v>
      </c>
      <c r="L1275" s="63">
        <f t="shared" si="57"/>
        <v>-9.9999999999999978E-2</v>
      </c>
      <c r="M1275" s="17" t="str">
        <f>IF(K1275&lt;='01_PARÂMETROS'!$B$14,"Preferencial",IF(K1275&lt;='01_PARÂMETROS'!$B$15,"Baixo",IF(K1275&lt;='01_PARÂMETROS'!$B$16,"Médio",IF(K1275&lt;='01_PARÂMETROS'!$B$17,"Alto","Elevado"))))</f>
        <v>Baixo</v>
      </c>
      <c r="N1275" s="58" t="s">
        <v>486</v>
      </c>
      <c r="O1275" s="54"/>
    </row>
    <row r="1276" spans="1:15" ht="13.5" customHeight="1" x14ac:dyDescent="0.25">
      <c r="A1276" s="13" t="s">
        <v>2943</v>
      </c>
      <c r="B1276" s="49" t="s">
        <v>2930</v>
      </c>
      <c r="C1276" s="14" t="s">
        <v>2944</v>
      </c>
      <c r="D1276" s="50" t="s">
        <v>2932</v>
      </c>
      <c r="E1276" s="65" t="s">
        <v>841</v>
      </c>
      <c r="F1276" s="54" t="s">
        <v>485</v>
      </c>
      <c r="G1276" s="54" t="s">
        <v>485</v>
      </c>
      <c r="H1276" s="54" t="s">
        <v>485</v>
      </c>
      <c r="I1276" s="43">
        <f>'01_PARÂMETROS'!$B$9</f>
        <v>50</v>
      </c>
      <c r="J1276" s="44">
        <f t="shared" si="58"/>
        <v>0.9</v>
      </c>
      <c r="K1276" s="62">
        <f>MAX('01_PARÂMETROS'!$B$11,MIN('01_PARÂMETROS'!$B$12,J1276))</f>
        <v>0.9</v>
      </c>
      <c r="L1276" s="63">
        <f t="shared" si="57"/>
        <v>-9.9999999999999978E-2</v>
      </c>
      <c r="M1276" s="17" t="str">
        <f>IF(K1276&lt;='01_PARÂMETROS'!$B$14,"Preferencial",IF(K1276&lt;='01_PARÂMETROS'!$B$15,"Baixo",IF(K1276&lt;='01_PARÂMETROS'!$B$16,"Médio",IF(K1276&lt;='01_PARÂMETROS'!$B$17,"Alto","Elevado"))))</f>
        <v>Baixo</v>
      </c>
      <c r="N1276" s="58" t="s">
        <v>486</v>
      </c>
      <c r="O1276" s="61"/>
    </row>
    <row r="1277" spans="1:15" ht="13.5" customHeight="1" x14ac:dyDescent="0.25">
      <c r="A1277" s="24" t="s">
        <v>2945</v>
      </c>
      <c r="B1277" s="38" t="s">
        <v>2930</v>
      </c>
      <c r="C1277" s="25" t="s">
        <v>2946</v>
      </c>
      <c r="D1277" s="39" t="s">
        <v>2932</v>
      </c>
      <c r="E1277" s="65" t="s">
        <v>841</v>
      </c>
      <c r="F1277" s="54" t="s">
        <v>485</v>
      </c>
      <c r="G1277" s="54" t="s">
        <v>485</v>
      </c>
      <c r="H1277" s="54" t="s">
        <v>485</v>
      </c>
      <c r="I1277" s="43">
        <f>'01_PARÂMETROS'!$B$9</f>
        <v>50</v>
      </c>
      <c r="J1277" s="44">
        <f t="shared" si="58"/>
        <v>0.9</v>
      </c>
      <c r="K1277" s="62">
        <f>MAX('01_PARÂMETROS'!$B$11,MIN('01_PARÂMETROS'!$B$12,J1277))</f>
        <v>0.9</v>
      </c>
      <c r="L1277" s="63">
        <f t="shared" si="57"/>
        <v>-9.9999999999999978E-2</v>
      </c>
      <c r="M1277" s="17" t="str">
        <f>IF(K1277&lt;='01_PARÂMETROS'!$B$14,"Preferencial",IF(K1277&lt;='01_PARÂMETROS'!$B$15,"Baixo",IF(K1277&lt;='01_PARÂMETROS'!$B$16,"Médio",IF(K1277&lt;='01_PARÂMETROS'!$B$17,"Alto","Elevado"))))</f>
        <v>Baixo</v>
      </c>
      <c r="N1277" s="58" t="s">
        <v>486</v>
      </c>
      <c r="O1277" s="54"/>
    </row>
    <row r="1278" spans="1:15" ht="13.5" customHeight="1" x14ac:dyDescent="0.25">
      <c r="A1278" s="13" t="s">
        <v>2947</v>
      </c>
      <c r="B1278" s="49" t="s">
        <v>2930</v>
      </c>
      <c r="C1278" s="14" t="s">
        <v>2948</v>
      </c>
      <c r="D1278" s="50" t="s">
        <v>2932</v>
      </c>
      <c r="E1278" s="65" t="s">
        <v>841</v>
      </c>
      <c r="F1278" s="54" t="s">
        <v>485</v>
      </c>
      <c r="G1278" s="54" t="s">
        <v>485</v>
      </c>
      <c r="H1278" s="54" t="s">
        <v>485</v>
      </c>
      <c r="I1278" s="43">
        <f>'01_PARÂMETROS'!$B$9</f>
        <v>50</v>
      </c>
      <c r="J1278" s="44">
        <f t="shared" si="58"/>
        <v>0.9</v>
      </c>
      <c r="K1278" s="62">
        <f>MAX('01_PARÂMETROS'!$B$11,MIN('01_PARÂMETROS'!$B$12,J1278))</f>
        <v>0.9</v>
      </c>
      <c r="L1278" s="63">
        <f t="shared" si="57"/>
        <v>-9.9999999999999978E-2</v>
      </c>
      <c r="M1278" s="17" t="str">
        <f>IF(K1278&lt;='01_PARÂMETROS'!$B$14,"Preferencial",IF(K1278&lt;='01_PARÂMETROS'!$B$15,"Baixo",IF(K1278&lt;='01_PARÂMETROS'!$B$16,"Médio",IF(K1278&lt;='01_PARÂMETROS'!$B$17,"Alto","Elevado"))))</f>
        <v>Baixo</v>
      </c>
      <c r="N1278" s="58" t="s">
        <v>486</v>
      </c>
      <c r="O1278" s="61"/>
    </row>
    <row r="1279" spans="1:15" ht="13.5" customHeight="1" x14ac:dyDescent="0.25">
      <c r="A1279" s="24" t="s">
        <v>2949</v>
      </c>
      <c r="B1279" s="38" t="s">
        <v>2930</v>
      </c>
      <c r="C1279" s="25" t="s">
        <v>2950</v>
      </c>
      <c r="D1279" s="39" t="s">
        <v>2932</v>
      </c>
      <c r="E1279" s="65" t="s">
        <v>841</v>
      </c>
      <c r="F1279" s="54" t="s">
        <v>485</v>
      </c>
      <c r="G1279" s="54" t="s">
        <v>485</v>
      </c>
      <c r="H1279" s="54" t="s">
        <v>485</v>
      </c>
      <c r="I1279" s="43">
        <f>'01_PARÂMETROS'!$B$9</f>
        <v>50</v>
      </c>
      <c r="J1279" s="44">
        <f t="shared" si="58"/>
        <v>0.9</v>
      </c>
      <c r="K1279" s="62">
        <f>MAX('01_PARÂMETROS'!$B$11,MIN('01_PARÂMETROS'!$B$12,J1279))</f>
        <v>0.9</v>
      </c>
      <c r="L1279" s="63">
        <f t="shared" si="57"/>
        <v>-9.9999999999999978E-2</v>
      </c>
      <c r="M1279" s="17" t="str">
        <f>IF(K1279&lt;='01_PARÂMETROS'!$B$14,"Preferencial",IF(K1279&lt;='01_PARÂMETROS'!$B$15,"Baixo",IF(K1279&lt;='01_PARÂMETROS'!$B$16,"Médio",IF(K1279&lt;='01_PARÂMETROS'!$B$17,"Alto","Elevado"))))</f>
        <v>Baixo</v>
      </c>
      <c r="N1279" s="58" t="s">
        <v>486</v>
      </c>
      <c r="O1279" s="54"/>
    </row>
    <row r="1280" spans="1:15" ht="13.5" customHeight="1" x14ac:dyDescent="0.25">
      <c r="A1280" s="13" t="s">
        <v>2951</v>
      </c>
      <c r="B1280" s="49" t="s">
        <v>2930</v>
      </c>
      <c r="C1280" s="14" t="s">
        <v>2952</v>
      </c>
      <c r="D1280" s="50" t="s">
        <v>2953</v>
      </c>
      <c r="E1280" s="65" t="s">
        <v>841</v>
      </c>
      <c r="F1280" s="54" t="s">
        <v>485</v>
      </c>
      <c r="G1280" s="54" t="s">
        <v>485</v>
      </c>
      <c r="H1280" s="54" t="s">
        <v>485</v>
      </c>
      <c r="I1280" s="43">
        <f>'01_PARÂMETROS'!$B$9</f>
        <v>50</v>
      </c>
      <c r="J1280" s="44">
        <f t="shared" si="58"/>
        <v>0.9</v>
      </c>
      <c r="K1280" s="62">
        <f>MAX('01_PARÂMETROS'!$B$11,MIN('01_PARÂMETROS'!$B$12,J1280))</f>
        <v>0.9</v>
      </c>
      <c r="L1280" s="63">
        <f t="shared" si="57"/>
        <v>-9.9999999999999978E-2</v>
      </c>
      <c r="M1280" s="17" t="str">
        <f>IF(K1280&lt;='01_PARÂMETROS'!$B$14,"Preferencial",IF(K1280&lt;='01_PARÂMETROS'!$B$15,"Baixo",IF(K1280&lt;='01_PARÂMETROS'!$B$16,"Médio",IF(K1280&lt;='01_PARÂMETROS'!$B$17,"Alto","Elevado"))))</f>
        <v>Baixo</v>
      </c>
      <c r="N1280" s="58" t="s">
        <v>486</v>
      </c>
      <c r="O1280" s="61"/>
    </row>
    <row r="1281" spans="1:15" ht="13.5" customHeight="1" x14ac:dyDescent="0.25">
      <c r="A1281" s="24" t="s">
        <v>2954</v>
      </c>
      <c r="B1281" s="38" t="s">
        <v>2930</v>
      </c>
      <c r="C1281" s="25" t="s">
        <v>2955</v>
      </c>
      <c r="D1281" s="39" t="s">
        <v>2953</v>
      </c>
      <c r="E1281" s="65" t="s">
        <v>841</v>
      </c>
      <c r="F1281" s="54" t="s">
        <v>485</v>
      </c>
      <c r="G1281" s="54" t="s">
        <v>485</v>
      </c>
      <c r="H1281" s="54" t="s">
        <v>485</v>
      </c>
      <c r="I1281" s="43">
        <f>'01_PARÂMETROS'!$B$9</f>
        <v>50</v>
      </c>
      <c r="J1281" s="44">
        <f t="shared" si="58"/>
        <v>0.9</v>
      </c>
      <c r="K1281" s="62">
        <f>MAX('01_PARÂMETROS'!$B$11,MIN('01_PARÂMETROS'!$B$12,J1281))</f>
        <v>0.9</v>
      </c>
      <c r="L1281" s="63">
        <f t="shared" si="57"/>
        <v>-9.9999999999999978E-2</v>
      </c>
      <c r="M1281" s="17" t="str">
        <f>IF(K1281&lt;='01_PARÂMETROS'!$B$14,"Preferencial",IF(K1281&lt;='01_PARÂMETROS'!$B$15,"Baixo",IF(K1281&lt;='01_PARÂMETROS'!$B$16,"Médio",IF(K1281&lt;='01_PARÂMETROS'!$B$17,"Alto","Elevado"))))</f>
        <v>Baixo</v>
      </c>
      <c r="N1281" s="58" t="s">
        <v>486</v>
      </c>
      <c r="O1281" s="54"/>
    </row>
    <row r="1282" spans="1:15" ht="13.5" customHeight="1" x14ac:dyDescent="0.25">
      <c r="A1282" s="13" t="s">
        <v>2956</v>
      </c>
      <c r="B1282" s="49" t="s">
        <v>2930</v>
      </c>
      <c r="C1282" s="14" t="s">
        <v>2957</v>
      </c>
      <c r="D1282" s="50" t="s">
        <v>2953</v>
      </c>
      <c r="E1282" s="65" t="s">
        <v>841</v>
      </c>
      <c r="F1282" s="54" t="s">
        <v>485</v>
      </c>
      <c r="G1282" s="54" t="s">
        <v>485</v>
      </c>
      <c r="H1282" s="54" t="s">
        <v>485</v>
      </c>
      <c r="I1282" s="43">
        <f>'01_PARÂMETROS'!$B$9</f>
        <v>50</v>
      </c>
      <c r="J1282" s="44">
        <f t="shared" si="58"/>
        <v>0.9</v>
      </c>
      <c r="K1282" s="62">
        <f>MAX('01_PARÂMETROS'!$B$11,MIN('01_PARÂMETROS'!$B$12,J1282))</f>
        <v>0.9</v>
      </c>
      <c r="L1282" s="63">
        <f t="shared" si="57"/>
        <v>-9.9999999999999978E-2</v>
      </c>
      <c r="M1282" s="17" t="str">
        <f>IF(K1282&lt;='01_PARÂMETROS'!$B$14,"Preferencial",IF(K1282&lt;='01_PARÂMETROS'!$B$15,"Baixo",IF(K1282&lt;='01_PARÂMETROS'!$B$16,"Médio",IF(K1282&lt;='01_PARÂMETROS'!$B$17,"Alto","Elevado"))))</f>
        <v>Baixo</v>
      </c>
      <c r="N1282" s="58" t="s">
        <v>486</v>
      </c>
      <c r="O1282" s="61"/>
    </row>
    <row r="1283" spans="1:15" ht="13.5" customHeight="1" x14ac:dyDescent="0.25">
      <c r="A1283" s="24" t="s">
        <v>2958</v>
      </c>
      <c r="B1283" s="38" t="s">
        <v>2930</v>
      </c>
      <c r="C1283" s="25" t="s">
        <v>2959</v>
      </c>
      <c r="D1283" s="39" t="s">
        <v>2953</v>
      </c>
      <c r="E1283" s="65" t="s">
        <v>841</v>
      </c>
      <c r="F1283" s="54" t="s">
        <v>485</v>
      </c>
      <c r="G1283" s="54" t="s">
        <v>485</v>
      </c>
      <c r="H1283" s="54" t="s">
        <v>485</v>
      </c>
      <c r="I1283" s="43">
        <f>'01_PARÂMETROS'!$B$9</f>
        <v>50</v>
      </c>
      <c r="J1283" s="44">
        <f t="shared" si="58"/>
        <v>0.9</v>
      </c>
      <c r="K1283" s="62">
        <f>MAX('01_PARÂMETROS'!$B$11,MIN('01_PARÂMETROS'!$B$12,J1283))</f>
        <v>0.9</v>
      </c>
      <c r="L1283" s="63">
        <f t="shared" si="57"/>
        <v>-9.9999999999999978E-2</v>
      </c>
      <c r="M1283" s="17" t="str">
        <f>IF(K1283&lt;='01_PARÂMETROS'!$B$14,"Preferencial",IF(K1283&lt;='01_PARÂMETROS'!$B$15,"Baixo",IF(K1283&lt;='01_PARÂMETROS'!$B$16,"Médio",IF(K1283&lt;='01_PARÂMETROS'!$B$17,"Alto","Elevado"))))</f>
        <v>Baixo</v>
      </c>
      <c r="N1283" s="58" t="s">
        <v>486</v>
      </c>
      <c r="O1283" s="54"/>
    </row>
    <row r="1284" spans="1:15" ht="13.5" customHeight="1" x14ac:dyDescent="0.25">
      <c r="A1284" s="13" t="s">
        <v>2960</v>
      </c>
      <c r="B1284" s="49" t="s">
        <v>2930</v>
      </c>
      <c r="C1284" s="14" t="s">
        <v>2961</v>
      </c>
      <c r="D1284" s="50" t="s">
        <v>2962</v>
      </c>
      <c r="E1284" s="65" t="s">
        <v>841</v>
      </c>
      <c r="F1284" s="54" t="s">
        <v>485</v>
      </c>
      <c r="G1284" s="54" t="s">
        <v>485</v>
      </c>
      <c r="H1284" s="54" t="s">
        <v>485</v>
      </c>
      <c r="I1284" s="43">
        <f>'01_PARÂMETROS'!$B$9</f>
        <v>50</v>
      </c>
      <c r="J1284" s="44">
        <f t="shared" si="58"/>
        <v>0.9</v>
      </c>
      <c r="K1284" s="62">
        <f>MAX('01_PARÂMETROS'!$B$11,MIN('01_PARÂMETROS'!$B$12,J1284))</f>
        <v>0.9</v>
      </c>
      <c r="L1284" s="63">
        <f t="shared" si="57"/>
        <v>-9.9999999999999978E-2</v>
      </c>
      <c r="M1284" s="17" t="str">
        <f>IF(K1284&lt;='01_PARÂMETROS'!$B$14,"Preferencial",IF(K1284&lt;='01_PARÂMETROS'!$B$15,"Baixo",IF(K1284&lt;='01_PARÂMETROS'!$B$16,"Médio",IF(K1284&lt;='01_PARÂMETROS'!$B$17,"Alto","Elevado"))))</f>
        <v>Baixo</v>
      </c>
      <c r="N1284" s="58" t="s">
        <v>486</v>
      </c>
      <c r="O1284" s="61"/>
    </row>
    <row r="1285" spans="1:15" ht="13.5" customHeight="1" x14ac:dyDescent="0.25">
      <c r="A1285" s="24" t="s">
        <v>2963</v>
      </c>
      <c r="B1285" s="38" t="s">
        <v>2930</v>
      </c>
      <c r="C1285" s="25" t="s">
        <v>2964</v>
      </c>
      <c r="D1285" s="39" t="s">
        <v>2962</v>
      </c>
      <c r="E1285" s="65" t="s">
        <v>841</v>
      </c>
      <c r="F1285" s="54" t="s">
        <v>485</v>
      </c>
      <c r="G1285" s="54" t="s">
        <v>485</v>
      </c>
      <c r="H1285" s="54" t="s">
        <v>485</v>
      </c>
      <c r="I1285" s="43">
        <f>'01_PARÂMETROS'!$B$9</f>
        <v>50</v>
      </c>
      <c r="J1285" s="44">
        <f t="shared" si="58"/>
        <v>0.9</v>
      </c>
      <c r="K1285" s="62">
        <f>MAX('01_PARÂMETROS'!$B$11,MIN('01_PARÂMETROS'!$B$12,J1285))</f>
        <v>0.9</v>
      </c>
      <c r="L1285" s="63">
        <f t="shared" ref="L1285:L1336" si="59">(K1285-1)</f>
        <v>-9.9999999999999978E-2</v>
      </c>
      <c r="M1285" s="17" t="str">
        <f>IF(K1285&lt;='01_PARÂMETROS'!$B$14,"Preferencial",IF(K1285&lt;='01_PARÂMETROS'!$B$15,"Baixo",IF(K1285&lt;='01_PARÂMETROS'!$B$16,"Médio",IF(K1285&lt;='01_PARÂMETROS'!$B$17,"Alto","Elevado"))))</f>
        <v>Baixo</v>
      </c>
      <c r="N1285" s="58" t="s">
        <v>486</v>
      </c>
      <c r="O1285" s="54"/>
    </row>
    <row r="1286" spans="1:15" ht="13.5" customHeight="1" x14ac:dyDescent="0.25">
      <c r="A1286" s="13" t="s">
        <v>2965</v>
      </c>
      <c r="B1286" s="49" t="s">
        <v>2930</v>
      </c>
      <c r="C1286" s="14" t="s">
        <v>2966</v>
      </c>
      <c r="D1286" s="50" t="s">
        <v>2962</v>
      </c>
      <c r="E1286" s="65" t="s">
        <v>841</v>
      </c>
      <c r="F1286" s="54" t="s">
        <v>485</v>
      </c>
      <c r="G1286" s="54" t="s">
        <v>485</v>
      </c>
      <c r="H1286" s="54" t="s">
        <v>485</v>
      </c>
      <c r="I1286" s="43">
        <f>'01_PARÂMETROS'!$B$9</f>
        <v>50</v>
      </c>
      <c r="J1286" s="44">
        <f t="shared" si="58"/>
        <v>0.9</v>
      </c>
      <c r="K1286" s="62">
        <f>MAX('01_PARÂMETROS'!$B$11,MIN('01_PARÂMETROS'!$B$12,J1286))</f>
        <v>0.9</v>
      </c>
      <c r="L1286" s="63">
        <f t="shared" si="59"/>
        <v>-9.9999999999999978E-2</v>
      </c>
      <c r="M1286" s="17" t="str">
        <f>IF(K1286&lt;='01_PARÂMETROS'!$B$14,"Preferencial",IF(K1286&lt;='01_PARÂMETROS'!$B$15,"Baixo",IF(K1286&lt;='01_PARÂMETROS'!$B$16,"Médio",IF(K1286&lt;='01_PARÂMETROS'!$B$17,"Alto","Elevado"))))</f>
        <v>Baixo</v>
      </c>
      <c r="N1286" s="58" t="s">
        <v>486</v>
      </c>
      <c r="O1286" s="61"/>
    </row>
    <row r="1287" spans="1:15" ht="13.5" customHeight="1" x14ac:dyDescent="0.25">
      <c r="A1287" s="24" t="s">
        <v>2967</v>
      </c>
      <c r="B1287" s="38" t="s">
        <v>2930</v>
      </c>
      <c r="C1287" s="25" t="s">
        <v>2968</v>
      </c>
      <c r="D1287" s="39" t="s">
        <v>2969</v>
      </c>
      <c r="E1287" s="40" t="s">
        <v>477</v>
      </c>
      <c r="F1287" s="54" t="s">
        <v>485</v>
      </c>
      <c r="G1287" s="54" t="s">
        <v>485</v>
      </c>
      <c r="H1287" s="54" t="s">
        <v>485</v>
      </c>
      <c r="I1287" s="43">
        <f>'01_PARÂMETROS'!$B$9</f>
        <v>50</v>
      </c>
      <c r="J1287" s="44">
        <f>1</f>
        <v>1</v>
      </c>
      <c r="K1287" s="55">
        <f>MAX('01_PARÂMETROS'!$B$11,MIN('01_PARÂMETROS'!$B$12,J1287))</f>
        <v>1</v>
      </c>
      <c r="L1287" s="56">
        <f t="shared" si="59"/>
        <v>0</v>
      </c>
      <c r="M1287" s="57" t="str">
        <f>IF(K1287&lt;='01_PARÂMETROS'!$B$14,"Preferencial",IF(K1287&lt;='01_PARÂMETROS'!$B$15,"Baixo",IF(K1287&lt;='01_PARÂMETROS'!$B$16,"Médio",IF(K1287&lt;='01_PARÂMETROS'!$B$17,"Alto","Elevado"))))</f>
        <v>Médio</v>
      </c>
      <c r="N1287" s="58" t="s">
        <v>486</v>
      </c>
      <c r="O1287" s="54"/>
    </row>
    <row r="1288" spans="1:15" ht="13.5" customHeight="1" x14ac:dyDescent="0.25">
      <c r="A1288" s="13" t="s">
        <v>2970</v>
      </c>
      <c r="B1288" s="49" t="s">
        <v>2930</v>
      </c>
      <c r="C1288" s="14" t="s">
        <v>2971</v>
      </c>
      <c r="D1288" s="50" t="s">
        <v>2969</v>
      </c>
      <c r="E1288" s="40" t="s">
        <v>477</v>
      </c>
      <c r="F1288" s="54" t="s">
        <v>485</v>
      </c>
      <c r="G1288" s="54" t="s">
        <v>485</v>
      </c>
      <c r="H1288" s="54" t="s">
        <v>485</v>
      </c>
      <c r="I1288" s="43">
        <f>'01_PARÂMETROS'!$B$9</f>
        <v>50</v>
      </c>
      <c r="J1288" s="44">
        <f>1</f>
        <v>1</v>
      </c>
      <c r="K1288" s="55">
        <f>MAX('01_PARÂMETROS'!$B$11,MIN('01_PARÂMETROS'!$B$12,J1288))</f>
        <v>1</v>
      </c>
      <c r="L1288" s="56">
        <f t="shared" si="59"/>
        <v>0</v>
      </c>
      <c r="M1288" s="57" t="str">
        <f>IF(K1288&lt;='01_PARÂMETROS'!$B$14,"Preferencial",IF(K1288&lt;='01_PARÂMETROS'!$B$15,"Baixo",IF(K1288&lt;='01_PARÂMETROS'!$B$16,"Médio",IF(K1288&lt;='01_PARÂMETROS'!$B$17,"Alto","Elevado"))))</f>
        <v>Médio</v>
      </c>
      <c r="N1288" s="58" t="s">
        <v>486</v>
      </c>
      <c r="O1288" s="61"/>
    </row>
    <row r="1289" spans="1:15" ht="13.5" customHeight="1" x14ac:dyDescent="0.25">
      <c r="A1289" s="24" t="s">
        <v>2972</v>
      </c>
      <c r="B1289" s="38" t="s">
        <v>2930</v>
      </c>
      <c r="C1289" s="25" t="s">
        <v>2973</v>
      </c>
      <c r="D1289" s="39" t="s">
        <v>2969</v>
      </c>
      <c r="E1289" s="40" t="s">
        <v>477</v>
      </c>
      <c r="F1289" s="54" t="s">
        <v>485</v>
      </c>
      <c r="G1289" s="54" t="s">
        <v>485</v>
      </c>
      <c r="H1289" s="54" t="s">
        <v>485</v>
      </c>
      <c r="I1289" s="43">
        <f>'01_PARÂMETROS'!$B$9</f>
        <v>50</v>
      </c>
      <c r="J1289" s="44">
        <f>1</f>
        <v>1</v>
      </c>
      <c r="K1289" s="55">
        <f>MAX('01_PARÂMETROS'!$B$11,MIN('01_PARÂMETROS'!$B$12,J1289))</f>
        <v>1</v>
      </c>
      <c r="L1289" s="56">
        <f t="shared" si="59"/>
        <v>0</v>
      </c>
      <c r="M1289" s="57" t="str">
        <f>IF(K1289&lt;='01_PARÂMETROS'!$B$14,"Preferencial",IF(K1289&lt;='01_PARÂMETROS'!$B$15,"Baixo",IF(K1289&lt;='01_PARÂMETROS'!$B$16,"Médio",IF(K1289&lt;='01_PARÂMETROS'!$B$17,"Alto","Elevado"))))</f>
        <v>Médio</v>
      </c>
      <c r="N1289" s="58" t="s">
        <v>486</v>
      </c>
      <c r="O1289" s="54"/>
    </row>
    <row r="1290" spans="1:15" ht="13.5" customHeight="1" x14ac:dyDescent="0.25">
      <c r="A1290" s="13" t="s">
        <v>2974</v>
      </c>
      <c r="B1290" s="49" t="s">
        <v>2930</v>
      </c>
      <c r="C1290" s="14" t="s">
        <v>2975</v>
      </c>
      <c r="D1290" s="50" t="s">
        <v>2969</v>
      </c>
      <c r="E1290" s="40" t="s">
        <v>477</v>
      </c>
      <c r="F1290" s="54" t="s">
        <v>485</v>
      </c>
      <c r="G1290" s="54" t="s">
        <v>485</v>
      </c>
      <c r="H1290" s="54" t="s">
        <v>485</v>
      </c>
      <c r="I1290" s="43">
        <f>'01_PARÂMETROS'!$B$9</f>
        <v>50</v>
      </c>
      <c r="J1290" s="44">
        <f>1</f>
        <v>1</v>
      </c>
      <c r="K1290" s="55">
        <f>MAX('01_PARÂMETROS'!$B$11,MIN('01_PARÂMETROS'!$B$12,J1290))</f>
        <v>1</v>
      </c>
      <c r="L1290" s="56">
        <f t="shared" si="59"/>
        <v>0</v>
      </c>
      <c r="M1290" s="57" t="str">
        <f>IF(K1290&lt;='01_PARÂMETROS'!$B$14,"Preferencial",IF(K1290&lt;='01_PARÂMETROS'!$B$15,"Baixo",IF(K1290&lt;='01_PARÂMETROS'!$B$16,"Médio",IF(K1290&lt;='01_PARÂMETROS'!$B$17,"Alto","Elevado"))))</f>
        <v>Médio</v>
      </c>
      <c r="N1290" s="58" t="s">
        <v>486</v>
      </c>
      <c r="O1290" s="61"/>
    </row>
    <row r="1291" spans="1:15" ht="13.5" customHeight="1" x14ac:dyDescent="0.25">
      <c r="A1291" s="24" t="s">
        <v>2976</v>
      </c>
      <c r="B1291" s="38" t="s">
        <v>2930</v>
      </c>
      <c r="C1291" s="25" t="s">
        <v>2977</v>
      </c>
      <c r="D1291" s="39" t="s">
        <v>2969</v>
      </c>
      <c r="E1291" s="40" t="s">
        <v>477</v>
      </c>
      <c r="F1291" s="54" t="s">
        <v>485</v>
      </c>
      <c r="G1291" s="54" t="s">
        <v>485</v>
      </c>
      <c r="H1291" s="54" t="s">
        <v>485</v>
      </c>
      <c r="I1291" s="43">
        <f>'01_PARÂMETROS'!$B$9</f>
        <v>50</v>
      </c>
      <c r="J1291" s="44">
        <f>1</f>
        <v>1</v>
      </c>
      <c r="K1291" s="55">
        <f>MAX('01_PARÂMETROS'!$B$11,MIN('01_PARÂMETROS'!$B$12,J1291))</f>
        <v>1</v>
      </c>
      <c r="L1291" s="56">
        <f t="shared" si="59"/>
        <v>0</v>
      </c>
      <c r="M1291" s="57" t="str">
        <f>IF(K1291&lt;='01_PARÂMETROS'!$B$14,"Preferencial",IF(K1291&lt;='01_PARÂMETROS'!$B$15,"Baixo",IF(K1291&lt;='01_PARÂMETROS'!$B$16,"Médio",IF(K1291&lt;='01_PARÂMETROS'!$B$17,"Alto","Elevado"))))</f>
        <v>Médio</v>
      </c>
      <c r="N1291" s="58" t="s">
        <v>486</v>
      </c>
      <c r="O1291" s="54"/>
    </row>
    <row r="1292" spans="1:15" ht="13.5" customHeight="1" x14ac:dyDescent="0.25">
      <c r="A1292" s="13" t="s">
        <v>2978</v>
      </c>
      <c r="B1292" s="49" t="s">
        <v>2930</v>
      </c>
      <c r="C1292" s="14" t="s">
        <v>2979</v>
      </c>
      <c r="D1292" s="50" t="s">
        <v>2969</v>
      </c>
      <c r="E1292" s="40" t="s">
        <v>477</v>
      </c>
      <c r="F1292" s="54" t="s">
        <v>485</v>
      </c>
      <c r="G1292" s="54" t="s">
        <v>485</v>
      </c>
      <c r="H1292" s="54" t="s">
        <v>485</v>
      </c>
      <c r="I1292" s="43">
        <f>'01_PARÂMETROS'!$B$9</f>
        <v>50</v>
      </c>
      <c r="J1292" s="44">
        <f>1</f>
        <v>1</v>
      </c>
      <c r="K1292" s="55">
        <f>MAX('01_PARÂMETROS'!$B$11,MIN('01_PARÂMETROS'!$B$12,J1292))</f>
        <v>1</v>
      </c>
      <c r="L1292" s="56">
        <f t="shared" si="59"/>
        <v>0</v>
      </c>
      <c r="M1292" s="57" t="str">
        <f>IF(K1292&lt;='01_PARÂMETROS'!$B$14,"Preferencial",IF(K1292&lt;='01_PARÂMETROS'!$B$15,"Baixo",IF(K1292&lt;='01_PARÂMETROS'!$B$16,"Médio",IF(K1292&lt;='01_PARÂMETROS'!$B$17,"Alto","Elevado"))))</f>
        <v>Médio</v>
      </c>
      <c r="N1292" s="58" t="s">
        <v>486</v>
      </c>
      <c r="O1292" s="61"/>
    </row>
    <row r="1293" spans="1:15" ht="13.5" customHeight="1" x14ac:dyDescent="0.25">
      <c r="A1293" s="24" t="s">
        <v>2980</v>
      </c>
      <c r="B1293" s="38" t="s">
        <v>2930</v>
      </c>
      <c r="C1293" s="25" t="s">
        <v>2981</v>
      </c>
      <c r="D1293" s="39" t="s">
        <v>2969</v>
      </c>
      <c r="E1293" s="40" t="s">
        <v>477</v>
      </c>
      <c r="F1293" s="54" t="s">
        <v>485</v>
      </c>
      <c r="G1293" s="54" t="s">
        <v>485</v>
      </c>
      <c r="H1293" s="54" t="s">
        <v>485</v>
      </c>
      <c r="I1293" s="43">
        <f>'01_PARÂMETROS'!$B$9</f>
        <v>50</v>
      </c>
      <c r="J1293" s="44">
        <f>1</f>
        <v>1</v>
      </c>
      <c r="K1293" s="55">
        <f>MAX('01_PARÂMETROS'!$B$11,MIN('01_PARÂMETROS'!$B$12,J1293))</f>
        <v>1</v>
      </c>
      <c r="L1293" s="56">
        <f t="shared" si="59"/>
        <v>0</v>
      </c>
      <c r="M1293" s="57" t="str">
        <f>IF(K1293&lt;='01_PARÂMETROS'!$B$14,"Preferencial",IF(K1293&lt;='01_PARÂMETROS'!$B$15,"Baixo",IF(K1293&lt;='01_PARÂMETROS'!$B$16,"Médio",IF(K1293&lt;='01_PARÂMETROS'!$B$17,"Alto","Elevado"))))</f>
        <v>Médio</v>
      </c>
      <c r="N1293" s="58" t="s">
        <v>486</v>
      </c>
      <c r="O1293" s="54"/>
    </row>
    <row r="1294" spans="1:15" ht="13.5" customHeight="1" x14ac:dyDescent="0.25">
      <c r="A1294" s="13" t="s">
        <v>2982</v>
      </c>
      <c r="B1294" s="49" t="s">
        <v>2930</v>
      </c>
      <c r="C1294" s="14" t="s">
        <v>2983</v>
      </c>
      <c r="D1294" s="50" t="s">
        <v>2969</v>
      </c>
      <c r="E1294" s="40" t="s">
        <v>477</v>
      </c>
      <c r="F1294" s="54" t="s">
        <v>485</v>
      </c>
      <c r="G1294" s="54" t="s">
        <v>485</v>
      </c>
      <c r="H1294" s="54" t="s">
        <v>485</v>
      </c>
      <c r="I1294" s="43">
        <f>'01_PARÂMETROS'!$B$9</f>
        <v>50</v>
      </c>
      <c r="J1294" s="44">
        <f>1</f>
        <v>1</v>
      </c>
      <c r="K1294" s="55">
        <f>MAX('01_PARÂMETROS'!$B$11,MIN('01_PARÂMETROS'!$B$12,J1294))</f>
        <v>1</v>
      </c>
      <c r="L1294" s="56">
        <f t="shared" si="59"/>
        <v>0</v>
      </c>
      <c r="M1294" s="57" t="str">
        <f>IF(K1294&lt;='01_PARÂMETROS'!$B$14,"Preferencial",IF(K1294&lt;='01_PARÂMETROS'!$B$15,"Baixo",IF(K1294&lt;='01_PARÂMETROS'!$B$16,"Médio",IF(K1294&lt;='01_PARÂMETROS'!$B$17,"Alto","Elevado"))))</f>
        <v>Médio</v>
      </c>
      <c r="N1294" s="58" t="s">
        <v>486</v>
      </c>
      <c r="O1294" s="61"/>
    </row>
    <row r="1295" spans="1:15" ht="13.5" customHeight="1" x14ac:dyDescent="0.25">
      <c r="A1295" s="24" t="s">
        <v>2984</v>
      </c>
      <c r="B1295" s="38" t="s">
        <v>2930</v>
      </c>
      <c r="C1295" s="25" t="s">
        <v>2985</v>
      </c>
      <c r="D1295" s="39" t="s">
        <v>2969</v>
      </c>
      <c r="E1295" s="40" t="s">
        <v>477</v>
      </c>
      <c r="F1295" s="54" t="s">
        <v>485</v>
      </c>
      <c r="G1295" s="54" t="s">
        <v>485</v>
      </c>
      <c r="H1295" s="54" t="s">
        <v>485</v>
      </c>
      <c r="I1295" s="43">
        <f>'01_PARÂMETROS'!$B$9</f>
        <v>50</v>
      </c>
      <c r="J1295" s="44">
        <f>1</f>
        <v>1</v>
      </c>
      <c r="K1295" s="55">
        <f>MAX('01_PARÂMETROS'!$B$11,MIN('01_PARÂMETROS'!$B$12,J1295))</f>
        <v>1</v>
      </c>
      <c r="L1295" s="56">
        <f t="shared" si="59"/>
        <v>0</v>
      </c>
      <c r="M1295" s="57" t="str">
        <f>IF(K1295&lt;='01_PARÂMETROS'!$B$14,"Preferencial",IF(K1295&lt;='01_PARÂMETROS'!$B$15,"Baixo",IF(K1295&lt;='01_PARÂMETROS'!$B$16,"Médio",IF(K1295&lt;='01_PARÂMETROS'!$B$17,"Alto","Elevado"))))</f>
        <v>Médio</v>
      </c>
      <c r="N1295" s="58" t="s">
        <v>486</v>
      </c>
      <c r="O1295" s="54"/>
    </row>
    <row r="1296" spans="1:15" ht="13.5" customHeight="1" x14ac:dyDescent="0.25">
      <c r="A1296" s="13" t="s">
        <v>2986</v>
      </c>
      <c r="B1296" s="49" t="s">
        <v>2930</v>
      </c>
      <c r="C1296" s="14" t="s">
        <v>2987</v>
      </c>
      <c r="D1296" s="50" t="s">
        <v>2969</v>
      </c>
      <c r="E1296" s="40" t="s">
        <v>477</v>
      </c>
      <c r="F1296" s="54" t="s">
        <v>485</v>
      </c>
      <c r="G1296" s="54" t="s">
        <v>485</v>
      </c>
      <c r="H1296" s="54" t="s">
        <v>485</v>
      </c>
      <c r="I1296" s="43">
        <f>'01_PARÂMETROS'!$B$9</f>
        <v>50</v>
      </c>
      <c r="J1296" s="44">
        <f>1</f>
        <v>1</v>
      </c>
      <c r="K1296" s="55">
        <f>MAX('01_PARÂMETROS'!$B$11,MIN('01_PARÂMETROS'!$B$12,J1296))</f>
        <v>1</v>
      </c>
      <c r="L1296" s="56">
        <f t="shared" si="59"/>
        <v>0</v>
      </c>
      <c r="M1296" s="57" t="str">
        <f>IF(K1296&lt;='01_PARÂMETROS'!$B$14,"Preferencial",IF(K1296&lt;='01_PARÂMETROS'!$B$15,"Baixo",IF(K1296&lt;='01_PARÂMETROS'!$B$16,"Médio",IF(K1296&lt;='01_PARÂMETROS'!$B$17,"Alto","Elevado"))))</f>
        <v>Médio</v>
      </c>
      <c r="N1296" s="58" t="s">
        <v>486</v>
      </c>
      <c r="O1296" s="61"/>
    </row>
    <row r="1297" spans="1:15" ht="13.5" customHeight="1" x14ac:dyDescent="0.25">
      <c r="A1297" s="24" t="s">
        <v>2988</v>
      </c>
      <c r="B1297" s="38" t="s">
        <v>2930</v>
      </c>
      <c r="C1297" s="25" t="s">
        <v>2989</v>
      </c>
      <c r="D1297" s="39" t="s">
        <v>2969</v>
      </c>
      <c r="E1297" s="40" t="s">
        <v>477</v>
      </c>
      <c r="F1297" s="54" t="s">
        <v>485</v>
      </c>
      <c r="G1297" s="54" t="s">
        <v>485</v>
      </c>
      <c r="H1297" s="54" t="s">
        <v>485</v>
      </c>
      <c r="I1297" s="43">
        <f>'01_PARÂMETROS'!$B$9</f>
        <v>50</v>
      </c>
      <c r="J1297" s="44">
        <f>1</f>
        <v>1</v>
      </c>
      <c r="K1297" s="55">
        <f>MAX('01_PARÂMETROS'!$B$11,MIN('01_PARÂMETROS'!$B$12,J1297))</f>
        <v>1</v>
      </c>
      <c r="L1297" s="56">
        <f t="shared" si="59"/>
        <v>0</v>
      </c>
      <c r="M1297" s="57" t="str">
        <f>IF(K1297&lt;='01_PARÂMETROS'!$B$14,"Preferencial",IF(K1297&lt;='01_PARÂMETROS'!$B$15,"Baixo",IF(K1297&lt;='01_PARÂMETROS'!$B$16,"Médio",IF(K1297&lt;='01_PARÂMETROS'!$B$17,"Alto","Elevado"))))</f>
        <v>Médio</v>
      </c>
      <c r="N1297" s="58" t="s">
        <v>486</v>
      </c>
      <c r="O1297" s="54"/>
    </row>
    <row r="1298" spans="1:15" ht="13.5" customHeight="1" x14ac:dyDescent="0.25">
      <c r="A1298" s="13" t="s">
        <v>2990</v>
      </c>
      <c r="B1298" s="49" t="s">
        <v>2991</v>
      </c>
      <c r="C1298" s="14" t="s">
        <v>2992</v>
      </c>
      <c r="D1298" s="50" t="s">
        <v>2993</v>
      </c>
      <c r="E1298" s="65" t="s">
        <v>841</v>
      </c>
      <c r="F1298" s="54" t="s">
        <v>485</v>
      </c>
      <c r="G1298" s="54" t="s">
        <v>485</v>
      </c>
      <c r="H1298" s="54" t="s">
        <v>485</v>
      </c>
      <c r="I1298" s="43">
        <f>'01_PARÂMETROS'!$B$9</f>
        <v>50</v>
      </c>
      <c r="J1298" s="44">
        <f t="shared" ref="J1298:J1306" si="60">0.9</f>
        <v>0.9</v>
      </c>
      <c r="K1298" s="62">
        <f>MAX('01_PARÂMETROS'!$B$11,MIN('01_PARÂMETROS'!$B$12,J1298))</f>
        <v>0.9</v>
      </c>
      <c r="L1298" s="63">
        <f t="shared" si="59"/>
        <v>-9.9999999999999978E-2</v>
      </c>
      <c r="M1298" s="17" t="str">
        <f>IF(K1298&lt;='01_PARÂMETROS'!$B$14,"Preferencial",IF(K1298&lt;='01_PARÂMETROS'!$B$15,"Baixo",IF(K1298&lt;='01_PARÂMETROS'!$B$16,"Médio",IF(K1298&lt;='01_PARÂMETROS'!$B$17,"Alto","Elevado"))))</f>
        <v>Baixo</v>
      </c>
      <c r="N1298" s="58" t="s">
        <v>486</v>
      </c>
      <c r="O1298" s="61"/>
    </row>
    <row r="1299" spans="1:15" ht="13.5" customHeight="1" x14ac:dyDescent="0.25">
      <c r="A1299" s="24" t="s">
        <v>2994</v>
      </c>
      <c r="B1299" s="38" t="s">
        <v>2991</v>
      </c>
      <c r="C1299" s="25" t="s">
        <v>2995</v>
      </c>
      <c r="D1299" s="39" t="s">
        <v>2993</v>
      </c>
      <c r="E1299" s="65" t="s">
        <v>841</v>
      </c>
      <c r="F1299" s="54" t="s">
        <v>485</v>
      </c>
      <c r="G1299" s="54" t="s">
        <v>485</v>
      </c>
      <c r="H1299" s="54" t="s">
        <v>485</v>
      </c>
      <c r="I1299" s="43">
        <f>'01_PARÂMETROS'!$B$9</f>
        <v>50</v>
      </c>
      <c r="J1299" s="44">
        <f t="shared" si="60"/>
        <v>0.9</v>
      </c>
      <c r="K1299" s="62">
        <f>MAX('01_PARÂMETROS'!$B$11,MIN('01_PARÂMETROS'!$B$12,J1299))</f>
        <v>0.9</v>
      </c>
      <c r="L1299" s="63">
        <f t="shared" si="59"/>
        <v>-9.9999999999999978E-2</v>
      </c>
      <c r="M1299" s="17" t="str">
        <f>IF(K1299&lt;='01_PARÂMETROS'!$B$14,"Preferencial",IF(K1299&lt;='01_PARÂMETROS'!$B$15,"Baixo",IF(K1299&lt;='01_PARÂMETROS'!$B$16,"Médio",IF(K1299&lt;='01_PARÂMETROS'!$B$17,"Alto","Elevado"))))</f>
        <v>Baixo</v>
      </c>
      <c r="N1299" s="58" t="s">
        <v>486</v>
      </c>
      <c r="O1299" s="54"/>
    </row>
    <row r="1300" spans="1:15" ht="13.5" customHeight="1" x14ac:dyDescent="0.25">
      <c r="A1300" s="13" t="s">
        <v>2996</v>
      </c>
      <c r="B1300" s="49" t="s">
        <v>2991</v>
      </c>
      <c r="C1300" s="14" t="s">
        <v>2997</v>
      </c>
      <c r="D1300" s="50" t="s">
        <v>2993</v>
      </c>
      <c r="E1300" s="65" t="s">
        <v>841</v>
      </c>
      <c r="F1300" s="54" t="s">
        <v>485</v>
      </c>
      <c r="G1300" s="54" t="s">
        <v>485</v>
      </c>
      <c r="H1300" s="54" t="s">
        <v>485</v>
      </c>
      <c r="I1300" s="43">
        <f>'01_PARÂMETROS'!$B$9</f>
        <v>50</v>
      </c>
      <c r="J1300" s="44">
        <f t="shared" si="60"/>
        <v>0.9</v>
      </c>
      <c r="K1300" s="62">
        <f>MAX('01_PARÂMETROS'!$B$11,MIN('01_PARÂMETROS'!$B$12,J1300))</f>
        <v>0.9</v>
      </c>
      <c r="L1300" s="63">
        <f t="shared" si="59"/>
        <v>-9.9999999999999978E-2</v>
      </c>
      <c r="M1300" s="17" t="str">
        <f>IF(K1300&lt;='01_PARÂMETROS'!$B$14,"Preferencial",IF(K1300&lt;='01_PARÂMETROS'!$B$15,"Baixo",IF(K1300&lt;='01_PARÂMETROS'!$B$16,"Médio",IF(K1300&lt;='01_PARÂMETROS'!$B$17,"Alto","Elevado"))))</f>
        <v>Baixo</v>
      </c>
      <c r="N1300" s="58" t="s">
        <v>486</v>
      </c>
      <c r="O1300" s="61"/>
    </row>
    <row r="1301" spans="1:15" ht="13.5" customHeight="1" x14ac:dyDescent="0.25">
      <c r="A1301" s="24" t="s">
        <v>2998</v>
      </c>
      <c r="B1301" s="38" t="s">
        <v>2991</v>
      </c>
      <c r="C1301" s="25" t="s">
        <v>2999</v>
      </c>
      <c r="D1301" s="39" t="s">
        <v>2993</v>
      </c>
      <c r="E1301" s="65" t="s">
        <v>841</v>
      </c>
      <c r="F1301" s="54" t="s">
        <v>485</v>
      </c>
      <c r="G1301" s="54" t="s">
        <v>485</v>
      </c>
      <c r="H1301" s="54" t="s">
        <v>485</v>
      </c>
      <c r="I1301" s="43">
        <f>'01_PARÂMETROS'!$B$9</f>
        <v>50</v>
      </c>
      <c r="J1301" s="44">
        <f t="shared" si="60"/>
        <v>0.9</v>
      </c>
      <c r="K1301" s="62">
        <f>MAX('01_PARÂMETROS'!$B$11,MIN('01_PARÂMETROS'!$B$12,J1301))</f>
        <v>0.9</v>
      </c>
      <c r="L1301" s="63">
        <f t="shared" si="59"/>
        <v>-9.9999999999999978E-2</v>
      </c>
      <c r="M1301" s="17" t="str">
        <f>IF(K1301&lt;='01_PARÂMETROS'!$B$14,"Preferencial",IF(K1301&lt;='01_PARÂMETROS'!$B$15,"Baixo",IF(K1301&lt;='01_PARÂMETROS'!$B$16,"Médio",IF(K1301&lt;='01_PARÂMETROS'!$B$17,"Alto","Elevado"))))</f>
        <v>Baixo</v>
      </c>
      <c r="N1301" s="58" t="s">
        <v>486</v>
      </c>
      <c r="O1301" s="54"/>
    </row>
    <row r="1302" spans="1:15" ht="13.5" customHeight="1" x14ac:dyDescent="0.25">
      <c r="A1302" s="13" t="s">
        <v>3000</v>
      </c>
      <c r="B1302" s="49" t="s">
        <v>2991</v>
      </c>
      <c r="C1302" s="14" t="s">
        <v>3001</v>
      </c>
      <c r="D1302" s="50" t="s">
        <v>2993</v>
      </c>
      <c r="E1302" s="65" t="s">
        <v>841</v>
      </c>
      <c r="F1302" s="54" t="s">
        <v>485</v>
      </c>
      <c r="G1302" s="54" t="s">
        <v>485</v>
      </c>
      <c r="H1302" s="54" t="s">
        <v>485</v>
      </c>
      <c r="I1302" s="43">
        <f>'01_PARÂMETROS'!$B$9</f>
        <v>50</v>
      </c>
      <c r="J1302" s="44">
        <f t="shared" si="60"/>
        <v>0.9</v>
      </c>
      <c r="K1302" s="62">
        <f>MAX('01_PARÂMETROS'!$B$11,MIN('01_PARÂMETROS'!$B$12,J1302))</f>
        <v>0.9</v>
      </c>
      <c r="L1302" s="63">
        <f t="shared" si="59"/>
        <v>-9.9999999999999978E-2</v>
      </c>
      <c r="M1302" s="17" t="str">
        <f>IF(K1302&lt;='01_PARÂMETROS'!$B$14,"Preferencial",IF(K1302&lt;='01_PARÂMETROS'!$B$15,"Baixo",IF(K1302&lt;='01_PARÂMETROS'!$B$16,"Médio",IF(K1302&lt;='01_PARÂMETROS'!$B$17,"Alto","Elevado"))))</f>
        <v>Baixo</v>
      </c>
      <c r="N1302" s="58" t="s">
        <v>486</v>
      </c>
      <c r="O1302" s="61"/>
    </row>
    <row r="1303" spans="1:15" ht="13.5" customHeight="1" x14ac:dyDescent="0.25">
      <c r="A1303" s="24" t="s">
        <v>3002</v>
      </c>
      <c r="B1303" s="38" t="s">
        <v>2991</v>
      </c>
      <c r="C1303" s="25" t="s">
        <v>3003</v>
      </c>
      <c r="D1303" s="39" t="s">
        <v>2993</v>
      </c>
      <c r="E1303" s="65" t="s">
        <v>841</v>
      </c>
      <c r="F1303" s="54" t="s">
        <v>485</v>
      </c>
      <c r="G1303" s="54" t="s">
        <v>485</v>
      </c>
      <c r="H1303" s="54" t="s">
        <v>485</v>
      </c>
      <c r="I1303" s="43">
        <f>'01_PARÂMETROS'!$B$9</f>
        <v>50</v>
      </c>
      <c r="J1303" s="44">
        <f t="shared" si="60"/>
        <v>0.9</v>
      </c>
      <c r="K1303" s="62">
        <f>MAX('01_PARÂMETROS'!$B$11,MIN('01_PARÂMETROS'!$B$12,J1303))</f>
        <v>0.9</v>
      </c>
      <c r="L1303" s="63">
        <f t="shared" si="59"/>
        <v>-9.9999999999999978E-2</v>
      </c>
      <c r="M1303" s="17" t="str">
        <f>IF(K1303&lt;='01_PARÂMETROS'!$B$14,"Preferencial",IF(K1303&lt;='01_PARÂMETROS'!$B$15,"Baixo",IF(K1303&lt;='01_PARÂMETROS'!$B$16,"Médio",IF(K1303&lt;='01_PARÂMETROS'!$B$17,"Alto","Elevado"))))</f>
        <v>Baixo</v>
      </c>
      <c r="N1303" s="58" t="s">
        <v>486</v>
      </c>
      <c r="O1303" s="54"/>
    </row>
    <row r="1304" spans="1:15" ht="13.5" customHeight="1" x14ac:dyDescent="0.25">
      <c r="A1304" s="13" t="s">
        <v>3004</v>
      </c>
      <c r="B1304" s="49" t="s">
        <v>2991</v>
      </c>
      <c r="C1304" s="14" t="s">
        <v>3005</v>
      </c>
      <c r="D1304" s="50" t="s">
        <v>2993</v>
      </c>
      <c r="E1304" s="65" t="s">
        <v>841</v>
      </c>
      <c r="F1304" s="54" t="s">
        <v>485</v>
      </c>
      <c r="G1304" s="54" t="s">
        <v>485</v>
      </c>
      <c r="H1304" s="54" t="s">
        <v>485</v>
      </c>
      <c r="I1304" s="43">
        <f>'01_PARÂMETROS'!$B$9</f>
        <v>50</v>
      </c>
      <c r="J1304" s="44">
        <f t="shared" si="60"/>
        <v>0.9</v>
      </c>
      <c r="K1304" s="62">
        <f>MAX('01_PARÂMETROS'!$B$11,MIN('01_PARÂMETROS'!$B$12,J1304))</f>
        <v>0.9</v>
      </c>
      <c r="L1304" s="63">
        <f t="shared" si="59"/>
        <v>-9.9999999999999978E-2</v>
      </c>
      <c r="M1304" s="17" t="str">
        <f>IF(K1304&lt;='01_PARÂMETROS'!$B$14,"Preferencial",IF(K1304&lt;='01_PARÂMETROS'!$B$15,"Baixo",IF(K1304&lt;='01_PARÂMETROS'!$B$16,"Médio",IF(K1304&lt;='01_PARÂMETROS'!$B$17,"Alto","Elevado"))))</f>
        <v>Baixo</v>
      </c>
      <c r="N1304" s="58" t="s">
        <v>486</v>
      </c>
      <c r="O1304" s="61"/>
    </row>
    <row r="1305" spans="1:15" ht="13.5" customHeight="1" x14ac:dyDescent="0.25">
      <c r="A1305" s="24" t="s">
        <v>3006</v>
      </c>
      <c r="B1305" s="38" t="s">
        <v>2991</v>
      </c>
      <c r="C1305" s="25" t="s">
        <v>3007</v>
      </c>
      <c r="D1305" s="39" t="s">
        <v>2993</v>
      </c>
      <c r="E1305" s="65" t="s">
        <v>841</v>
      </c>
      <c r="F1305" s="54" t="s">
        <v>485</v>
      </c>
      <c r="G1305" s="54" t="s">
        <v>485</v>
      </c>
      <c r="H1305" s="54" t="s">
        <v>485</v>
      </c>
      <c r="I1305" s="43">
        <f>'01_PARÂMETROS'!$B$9</f>
        <v>50</v>
      </c>
      <c r="J1305" s="44">
        <f t="shared" si="60"/>
        <v>0.9</v>
      </c>
      <c r="K1305" s="62">
        <f>MAX('01_PARÂMETROS'!$B$11,MIN('01_PARÂMETROS'!$B$12,J1305))</f>
        <v>0.9</v>
      </c>
      <c r="L1305" s="63">
        <f t="shared" si="59"/>
        <v>-9.9999999999999978E-2</v>
      </c>
      <c r="M1305" s="17" t="str">
        <f>IF(K1305&lt;='01_PARÂMETROS'!$B$14,"Preferencial",IF(K1305&lt;='01_PARÂMETROS'!$B$15,"Baixo",IF(K1305&lt;='01_PARÂMETROS'!$B$16,"Médio",IF(K1305&lt;='01_PARÂMETROS'!$B$17,"Alto","Elevado"))))</f>
        <v>Baixo</v>
      </c>
      <c r="N1305" s="58" t="s">
        <v>486</v>
      </c>
      <c r="O1305" s="54"/>
    </row>
    <row r="1306" spans="1:15" ht="13.5" customHeight="1" x14ac:dyDescent="0.25">
      <c r="A1306" s="13" t="s">
        <v>3008</v>
      </c>
      <c r="B1306" s="49" t="s">
        <v>2991</v>
      </c>
      <c r="C1306" s="14" t="s">
        <v>3009</v>
      </c>
      <c r="D1306" s="50" t="s">
        <v>2993</v>
      </c>
      <c r="E1306" s="65" t="s">
        <v>841</v>
      </c>
      <c r="F1306" s="54" t="s">
        <v>485</v>
      </c>
      <c r="G1306" s="54" t="s">
        <v>485</v>
      </c>
      <c r="H1306" s="54" t="s">
        <v>485</v>
      </c>
      <c r="I1306" s="43">
        <f>'01_PARÂMETROS'!$B$9</f>
        <v>50</v>
      </c>
      <c r="J1306" s="44">
        <f t="shared" si="60"/>
        <v>0.9</v>
      </c>
      <c r="K1306" s="62">
        <f>MAX('01_PARÂMETROS'!$B$11,MIN('01_PARÂMETROS'!$B$12,J1306))</f>
        <v>0.9</v>
      </c>
      <c r="L1306" s="63">
        <f t="shared" si="59"/>
        <v>-9.9999999999999978E-2</v>
      </c>
      <c r="M1306" s="17" t="str">
        <f>IF(K1306&lt;='01_PARÂMETROS'!$B$14,"Preferencial",IF(K1306&lt;='01_PARÂMETROS'!$B$15,"Baixo",IF(K1306&lt;='01_PARÂMETROS'!$B$16,"Médio",IF(K1306&lt;='01_PARÂMETROS'!$B$17,"Alto","Elevado"))))</f>
        <v>Baixo</v>
      </c>
      <c r="N1306" s="58" t="s">
        <v>486</v>
      </c>
      <c r="O1306" s="61"/>
    </row>
    <row r="1307" spans="1:15" ht="13.5" customHeight="1" x14ac:dyDescent="0.25">
      <c r="A1307" s="24" t="s">
        <v>3010</v>
      </c>
      <c r="B1307" s="38" t="s">
        <v>2991</v>
      </c>
      <c r="C1307" s="25" t="s">
        <v>3011</v>
      </c>
      <c r="D1307" s="39" t="s">
        <v>3012</v>
      </c>
      <c r="E1307" s="40" t="s">
        <v>477</v>
      </c>
      <c r="F1307" s="54" t="s">
        <v>485</v>
      </c>
      <c r="G1307" s="54" t="s">
        <v>485</v>
      </c>
      <c r="H1307" s="54" t="s">
        <v>485</v>
      </c>
      <c r="I1307" s="43">
        <f>'01_PARÂMETROS'!$B$9</f>
        <v>50</v>
      </c>
      <c r="J1307" s="44">
        <f>1</f>
        <v>1</v>
      </c>
      <c r="K1307" s="55">
        <f>MAX('01_PARÂMETROS'!$B$11,MIN('01_PARÂMETROS'!$B$12,J1307))</f>
        <v>1</v>
      </c>
      <c r="L1307" s="56">
        <f t="shared" si="59"/>
        <v>0</v>
      </c>
      <c r="M1307" s="57" t="str">
        <f>IF(K1307&lt;='01_PARÂMETROS'!$B$14,"Preferencial",IF(K1307&lt;='01_PARÂMETROS'!$B$15,"Baixo",IF(K1307&lt;='01_PARÂMETROS'!$B$16,"Médio",IF(K1307&lt;='01_PARÂMETROS'!$B$17,"Alto","Elevado"))))</f>
        <v>Médio</v>
      </c>
      <c r="N1307" s="58" t="s">
        <v>486</v>
      </c>
      <c r="O1307" s="54"/>
    </row>
    <row r="1308" spans="1:15" ht="13.5" customHeight="1" x14ac:dyDescent="0.25">
      <c r="A1308" s="13" t="s">
        <v>3013</v>
      </c>
      <c r="B1308" s="49" t="s">
        <v>2991</v>
      </c>
      <c r="C1308" s="14" t="s">
        <v>3014</v>
      </c>
      <c r="D1308" s="50" t="s">
        <v>3012</v>
      </c>
      <c r="E1308" s="40" t="s">
        <v>477</v>
      </c>
      <c r="F1308" s="54" t="s">
        <v>485</v>
      </c>
      <c r="G1308" s="54" t="s">
        <v>485</v>
      </c>
      <c r="H1308" s="54" t="s">
        <v>485</v>
      </c>
      <c r="I1308" s="43">
        <f>'01_PARÂMETROS'!$B$9</f>
        <v>50</v>
      </c>
      <c r="J1308" s="44">
        <f>1</f>
        <v>1</v>
      </c>
      <c r="K1308" s="55">
        <f>MAX('01_PARÂMETROS'!$B$11,MIN('01_PARÂMETROS'!$B$12,J1308))</f>
        <v>1</v>
      </c>
      <c r="L1308" s="56">
        <f t="shared" si="59"/>
        <v>0</v>
      </c>
      <c r="M1308" s="57" t="str">
        <f>IF(K1308&lt;='01_PARÂMETROS'!$B$14,"Preferencial",IF(K1308&lt;='01_PARÂMETROS'!$B$15,"Baixo",IF(K1308&lt;='01_PARÂMETROS'!$B$16,"Médio",IF(K1308&lt;='01_PARÂMETROS'!$B$17,"Alto","Elevado"))))</f>
        <v>Médio</v>
      </c>
      <c r="N1308" s="58" t="s">
        <v>486</v>
      </c>
      <c r="O1308" s="61"/>
    </row>
    <row r="1309" spans="1:15" ht="13.5" customHeight="1" x14ac:dyDescent="0.25">
      <c r="A1309" s="24" t="s">
        <v>3015</v>
      </c>
      <c r="B1309" s="38" t="s">
        <v>2991</v>
      </c>
      <c r="C1309" s="25" t="s">
        <v>3016</v>
      </c>
      <c r="D1309" s="39" t="s">
        <v>3012</v>
      </c>
      <c r="E1309" s="40" t="s">
        <v>477</v>
      </c>
      <c r="F1309" s="54" t="s">
        <v>485</v>
      </c>
      <c r="G1309" s="54" t="s">
        <v>485</v>
      </c>
      <c r="H1309" s="54" t="s">
        <v>485</v>
      </c>
      <c r="I1309" s="43">
        <f>'01_PARÂMETROS'!$B$9</f>
        <v>50</v>
      </c>
      <c r="J1309" s="44">
        <f>1</f>
        <v>1</v>
      </c>
      <c r="K1309" s="55">
        <f>MAX('01_PARÂMETROS'!$B$11,MIN('01_PARÂMETROS'!$B$12,J1309))</f>
        <v>1</v>
      </c>
      <c r="L1309" s="56">
        <f t="shared" si="59"/>
        <v>0</v>
      </c>
      <c r="M1309" s="57" t="str">
        <f>IF(K1309&lt;='01_PARÂMETROS'!$B$14,"Preferencial",IF(K1309&lt;='01_PARÂMETROS'!$B$15,"Baixo",IF(K1309&lt;='01_PARÂMETROS'!$B$16,"Médio",IF(K1309&lt;='01_PARÂMETROS'!$B$17,"Alto","Elevado"))))</f>
        <v>Médio</v>
      </c>
      <c r="N1309" s="58" t="s">
        <v>486</v>
      </c>
      <c r="O1309" s="54"/>
    </row>
    <row r="1310" spans="1:15" ht="13.5" customHeight="1" x14ac:dyDescent="0.25">
      <c r="A1310" s="13" t="s">
        <v>3017</v>
      </c>
      <c r="B1310" s="49" t="s">
        <v>2991</v>
      </c>
      <c r="C1310" s="14" t="s">
        <v>3018</v>
      </c>
      <c r="D1310" s="50" t="s">
        <v>3012</v>
      </c>
      <c r="E1310" s="40" t="s">
        <v>477</v>
      </c>
      <c r="F1310" s="54" t="s">
        <v>485</v>
      </c>
      <c r="G1310" s="54" t="s">
        <v>485</v>
      </c>
      <c r="H1310" s="54" t="s">
        <v>485</v>
      </c>
      <c r="I1310" s="43">
        <f>'01_PARÂMETROS'!$B$9</f>
        <v>50</v>
      </c>
      <c r="J1310" s="44">
        <f>1</f>
        <v>1</v>
      </c>
      <c r="K1310" s="55">
        <f>MAX('01_PARÂMETROS'!$B$11,MIN('01_PARÂMETROS'!$B$12,J1310))</f>
        <v>1</v>
      </c>
      <c r="L1310" s="56">
        <f t="shared" si="59"/>
        <v>0</v>
      </c>
      <c r="M1310" s="57" t="str">
        <f>IF(K1310&lt;='01_PARÂMETROS'!$B$14,"Preferencial",IF(K1310&lt;='01_PARÂMETROS'!$B$15,"Baixo",IF(K1310&lt;='01_PARÂMETROS'!$B$16,"Médio",IF(K1310&lt;='01_PARÂMETROS'!$B$17,"Alto","Elevado"))))</f>
        <v>Médio</v>
      </c>
      <c r="N1310" s="58" t="s">
        <v>486</v>
      </c>
      <c r="O1310" s="61"/>
    </row>
    <row r="1311" spans="1:15" ht="13.5" customHeight="1" x14ac:dyDescent="0.25">
      <c r="A1311" s="24" t="s">
        <v>3019</v>
      </c>
      <c r="B1311" s="38" t="s">
        <v>2991</v>
      </c>
      <c r="C1311" s="25" t="s">
        <v>3020</v>
      </c>
      <c r="D1311" s="39" t="s">
        <v>3012</v>
      </c>
      <c r="E1311" s="40" t="s">
        <v>477</v>
      </c>
      <c r="F1311" s="54" t="s">
        <v>485</v>
      </c>
      <c r="G1311" s="54" t="s">
        <v>485</v>
      </c>
      <c r="H1311" s="54" t="s">
        <v>485</v>
      </c>
      <c r="I1311" s="43">
        <f>'01_PARÂMETROS'!$B$9</f>
        <v>50</v>
      </c>
      <c r="J1311" s="44">
        <f>1</f>
        <v>1</v>
      </c>
      <c r="K1311" s="55">
        <f>MAX('01_PARÂMETROS'!$B$11,MIN('01_PARÂMETROS'!$B$12,J1311))</f>
        <v>1</v>
      </c>
      <c r="L1311" s="56">
        <f t="shared" si="59"/>
        <v>0</v>
      </c>
      <c r="M1311" s="57" t="str">
        <f>IF(K1311&lt;='01_PARÂMETROS'!$B$14,"Preferencial",IF(K1311&lt;='01_PARÂMETROS'!$B$15,"Baixo",IF(K1311&lt;='01_PARÂMETROS'!$B$16,"Médio",IF(K1311&lt;='01_PARÂMETROS'!$B$17,"Alto","Elevado"))))</f>
        <v>Médio</v>
      </c>
      <c r="N1311" s="58" t="s">
        <v>486</v>
      </c>
      <c r="O1311" s="54"/>
    </row>
    <row r="1312" spans="1:15" ht="13.5" customHeight="1" x14ac:dyDescent="0.25">
      <c r="A1312" s="13" t="s">
        <v>3021</v>
      </c>
      <c r="B1312" s="49" t="s">
        <v>2991</v>
      </c>
      <c r="C1312" s="14" t="s">
        <v>3022</v>
      </c>
      <c r="D1312" s="50" t="s">
        <v>3012</v>
      </c>
      <c r="E1312" s="40" t="s">
        <v>477</v>
      </c>
      <c r="F1312" s="54" t="s">
        <v>485</v>
      </c>
      <c r="G1312" s="54" t="s">
        <v>485</v>
      </c>
      <c r="H1312" s="54" t="s">
        <v>485</v>
      </c>
      <c r="I1312" s="43">
        <f>'01_PARÂMETROS'!$B$9</f>
        <v>50</v>
      </c>
      <c r="J1312" s="44">
        <f>1</f>
        <v>1</v>
      </c>
      <c r="K1312" s="55">
        <f>MAX('01_PARÂMETROS'!$B$11,MIN('01_PARÂMETROS'!$B$12,J1312))</f>
        <v>1</v>
      </c>
      <c r="L1312" s="56">
        <f t="shared" si="59"/>
        <v>0</v>
      </c>
      <c r="M1312" s="57" t="str">
        <f>IF(K1312&lt;='01_PARÂMETROS'!$B$14,"Preferencial",IF(K1312&lt;='01_PARÂMETROS'!$B$15,"Baixo",IF(K1312&lt;='01_PARÂMETROS'!$B$16,"Médio",IF(K1312&lt;='01_PARÂMETROS'!$B$17,"Alto","Elevado"))))</f>
        <v>Médio</v>
      </c>
      <c r="N1312" s="58" t="s">
        <v>486</v>
      </c>
      <c r="O1312" s="61"/>
    </row>
    <row r="1313" spans="1:15" ht="13.5" customHeight="1" x14ac:dyDescent="0.25">
      <c r="A1313" s="24" t="s">
        <v>3023</v>
      </c>
      <c r="B1313" s="38" t="s">
        <v>2991</v>
      </c>
      <c r="C1313" s="25" t="s">
        <v>3024</v>
      </c>
      <c r="D1313" s="39" t="s">
        <v>3012</v>
      </c>
      <c r="E1313" s="40" t="s">
        <v>477</v>
      </c>
      <c r="F1313" s="54" t="s">
        <v>485</v>
      </c>
      <c r="G1313" s="54" t="s">
        <v>485</v>
      </c>
      <c r="H1313" s="54" t="s">
        <v>485</v>
      </c>
      <c r="I1313" s="43">
        <f>'01_PARÂMETROS'!$B$9</f>
        <v>50</v>
      </c>
      <c r="J1313" s="44">
        <f>1</f>
        <v>1</v>
      </c>
      <c r="K1313" s="55">
        <f>MAX('01_PARÂMETROS'!$B$11,MIN('01_PARÂMETROS'!$B$12,J1313))</f>
        <v>1</v>
      </c>
      <c r="L1313" s="56">
        <f t="shared" si="59"/>
        <v>0</v>
      </c>
      <c r="M1313" s="57" t="str">
        <f>IF(K1313&lt;='01_PARÂMETROS'!$B$14,"Preferencial",IF(K1313&lt;='01_PARÂMETROS'!$B$15,"Baixo",IF(K1313&lt;='01_PARÂMETROS'!$B$16,"Médio",IF(K1313&lt;='01_PARÂMETROS'!$B$17,"Alto","Elevado"))))</f>
        <v>Médio</v>
      </c>
      <c r="N1313" s="58" t="s">
        <v>486</v>
      </c>
      <c r="O1313" s="54"/>
    </row>
    <row r="1314" spans="1:15" ht="13.5" customHeight="1" x14ac:dyDescent="0.25">
      <c r="A1314" s="13" t="s">
        <v>3025</v>
      </c>
      <c r="B1314" s="49" t="s">
        <v>2991</v>
      </c>
      <c r="C1314" s="14" t="s">
        <v>3026</v>
      </c>
      <c r="D1314" s="50" t="s">
        <v>3012</v>
      </c>
      <c r="E1314" s="40" t="s">
        <v>477</v>
      </c>
      <c r="F1314" s="54" t="s">
        <v>485</v>
      </c>
      <c r="G1314" s="54" t="s">
        <v>485</v>
      </c>
      <c r="H1314" s="54" t="s">
        <v>485</v>
      </c>
      <c r="I1314" s="43">
        <f>'01_PARÂMETROS'!$B$9</f>
        <v>50</v>
      </c>
      <c r="J1314" s="44">
        <f>1</f>
        <v>1</v>
      </c>
      <c r="K1314" s="55">
        <f>MAX('01_PARÂMETROS'!$B$11,MIN('01_PARÂMETROS'!$B$12,J1314))</f>
        <v>1</v>
      </c>
      <c r="L1314" s="56">
        <f t="shared" si="59"/>
        <v>0</v>
      </c>
      <c r="M1314" s="57" t="str">
        <f>IF(K1314&lt;='01_PARÂMETROS'!$B$14,"Preferencial",IF(K1314&lt;='01_PARÂMETROS'!$B$15,"Baixo",IF(K1314&lt;='01_PARÂMETROS'!$B$16,"Médio",IF(K1314&lt;='01_PARÂMETROS'!$B$17,"Alto","Elevado"))))</f>
        <v>Médio</v>
      </c>
      <c r="N1314" s="58" t="s">
        <v>486</v>
      </c>
      <c r="O1314" s="61"/>
    </row>
    <row r="1315" spans="1:15" ht="13.5" customHeight="1" x14ac:dyDescent="0.25">
      <c r="A1315" s="24" t="s">
        <v>3027</v>
      </c>
      <c r="B1315" s="38" t="s">
        <v>2991</v>
      </c>
      <c r="C1315" s="25" t="s">
        <v>3028</v>
      </c>
      <c r="D1315" s="39" t="s">
        <v>3012</v>
      </c>
      <c r="E1315" s="40" t="s">
        <v>477</v>
      </c>
      <c r="F1315" s="54" t="s">
        <v>485</v>
      </c>
      <c r="G1315" s="54" t="s">
        <v>485</v>
      </c>
      <c r="H1315" s="54" t="s">
        <v>485</v>
      </c>
      <c r="I1315" s="43">
        <f>'01_PARÂMETROS'!$B$9</f>
        <v>50</v>
      </c>
      <c r="J1315" s="44">
        <f>1</f>
        <v>1</v>
      </c>
      <c r="K1315" s="55">
        <f>MAX('01_PARÂMETROS'!$B$11,MIN('01_PARÂMETROS'!$B$12,J1315))</f>
        <v>1</v>
      </c>
      <c r="L1315" s="56">
        <f t="shared" si="59"/>
        <v>0</v>
      </c>
      <c r="M1315" s="57" t="str">
        <f>IF(K1315&lt;='01_PARÂMETROS'!$B$14,"Preferencial",IF(K1315&lt;='01_PARÂMETROS'!$B$15,"Baixo",IF(K1315&lt;='01_PARÂMETROS'!$B$16,"Médio",IF(K1315&lt;='01_PARÂMETROS'!$B$17,"Alto","Elevado"))))</f>
        <v>Médio</v>
      </c>
      <c r="N1315" s="58" t="s">
        <v>486</v>
      </c>
      <c r="O1315" s="54"/>
    </row>
    <row r="1316" spans="1:15" ht="13.5" customHeight="1" x14ac:dyDescent="0.25">
      <c r="A1316" s="13" t="s">
        <v>3029</v>
      </c>
      <c r="B1316" s="49" t="s">
        <v>2991</v>
      </c>
      <c r="C1316" s="14" t="s">
        <v>3030</v>
      </c>
      <c r="D1316" s="50" t="s">
        <v>3012</v>
      </c>
      <c r="E1316" s="40" t="s">
        <v>477</v>
      </c>
      <c r="F1316" s="54" t="s">
        <v>485</v>
      </c>
      <c r="G1316" s="54" t="s">
        <v>485</v>
      </c>
      <c r="H1316" s="54" t="s">
        <v>485</v>
      </c>
      <c r="I1316" s="43">
        <f>'01_PARÂMETROS'!$B$9</f>
        <v>50</v>
      </c>
      <c r="J1316" s="44">
        <f>1</f>
        <v>1</v>
      </c>
      <c r="K1316" s="55">
        <f>MAX('01_PARÂMETROS'!$B$11,MIN('01_PARÂMETROS'!$B$12,J1316))</f>
        <v>1</v>
      </c>
      <c r="L1316" s="56">
        <f t="shared" si="59"/>
        <v>0</v>
      </c>
      <c r="M1316" s="57" t="str">
        <f>IF(K1316&lt;='01_PARÂMETROS'!$B$14,"Preferencial",IF(K1316&lt;='01_PARÂMETROS'!$B$15,"Baixo",IF(K1316&lt;='01_PARÂMETROS'!$B$16,"Médio",IF(K1316&lt;='01_PARÂMETROS'!$B$17,"Alto","Elevado"))))</f>
        <v>Médio</v>
      </c>
      <c r="N1316" s="58" t="s">
        <v>486</v>
      </c>
      <c r="O1316" s="61"/>
    </row>
    <row r="1317" spans="1:15" ht="13.5" customHeight="1" x14ac:dyDescent="0.25">
      <c r="A1317" s="24" t="s">
        <v>3031</v>
      </c>
      <c r="B1317" s="38" t="s">
        <v>2991</v>
      </c>
      <c r="C1317" s="25" t="s">
        <v>3032</v>
      </c>
      <c r="D1317" s="39" t="s">
        <v>2607</v>
      </c>
      <c r="E1317" s="65" t="s">
        <v>841</v>
      </c>
      <c r="F1317" s="54" t="s">
        <v>485</v>
      </c>
      <c r="G1317" s="54" t="s">
        <v>485</v>
      </c>
      <c r="H1317" s="54" t="s">
        <v>485</v>
      </c>
      <c r="I1317" s="43">
        <f>'01_PARÂMETROS'!$B$9</f>
        <v>50</v>
      </c>
      <c r="J1317" s="44">
        <f t="shared" ref="J1317:J1336" si="61">0.9</f>
        <v>0.9</v>
      </c>
      <c r="K1317" s="62">
        <f>MAX('01_PARÂMETROS'!$B$11,MIN('01_PARÂMETROS'!$B$12,J1317))</f>
        <v>0.9</v>
      </c>
      <c r="L1317" s="63">
        <f t="shared" si="59"/>
        <v>-9.9999999999999978E-2</v>
      </c>
      <c r="M1317" s="17" t="str">
        <f>IF(K1317&lt;='01_PARÂMETROS'!$B$14,"Preferencial",IF(K1317&lt;='01_PARÂMETROS'!$B$15,"Baixo",IF(K1317&lt;='01_PARÂMETROS'!$B$16,"Médio",IF(K1317&lt;='01_PARÂMETROS'!$B$17,"Alto","Elevado"))))</f>
        <v>Baixo</v>
      </c>
      <c r="N1317" s="58" t="s">
        <v>486</v>
      </c>
      <c r="O1317" s="54"/>
    </row>
    <row r="1318" spans="1:15" ht="13.5" customHeight="1" x14ac:dyDescent="0.25">
      <c r="A1318" s="13" t="s">
        <v>3033</v>
      </c>
      <c r="B1318" s="49" t="s">
        <v>2991</v>
      </c>
      <c r="C1318" s="14" t="s">
        <v>3034</v>
      </c>
      <c r="D1318" s="50" t="s">
        <v>2607</v>
      </c>
      <c r="E1318" s="65" t="s">
        <v>841</v>
      </c>
      <c r="F1318" s="54" t="s">
        <v>485</v>
      </c>
      <c r="G1318" s="54" t="s">
        <v>485</v>
      </c>
      <c r="H1318" s="54" t="s">
        <v>485</v>
      </c>
      <c r="I1318" s="43">
        <f>'01_PARÂMETROS'!$B$9</f>
        <v>50</v>
      </c>
      <c r="J1318" s="44">
        <f t="shared" si="61"/>
        <v>0.9</v>
      </c>
      <c r="K1318" s="62">
        <f>MAX('01_PARÂMETROS'!$B$11,MIN('01_PARÂMETROS'!$B$12,J1318))</f>
        <v>0.9</v>
      </c>
      <c r="L1318" s="63">
        <f t="shared" si="59"/>
        <v>-9.9999999999999978E-2</v>
      </c>
      <c r="M1318" s="17" t="str">
        <f>IF(K1318&lt;='01_PARÂMETROS'!$B$14,"Preferencial",IF(K1318&lt;='01_PARÂMETROS'!$B$15,"Baixo",IF(K1318&lt;='01_PARÂMETROS'!$B$16,"Médio",IF(K1318&lt;='01_PARÂMETROS'!$B$17,"Alto","Elevado"))))</f>
        <v>Baixo</v>
      </c>
      <c r="N1318" s="58" t="s">
        <v>486</v>
      </c>
      <c r="O1318" s="61"/>
    </row>
    <row r="1319" spans="1:15" ht="13.5" customHeight="1" x14ac:dyDescent="0.25">
      <c r="A1319" s="24" t="s">
        <v>3035</v>
      </c>
      <c r="B1319" s="38" t="s">
        <v>2991</v>
      </c>
      <c r="C1319" s="25" t="s">
        <v>3036</v>
      </c>
      <c r="D1319" s="39" t="s">
        <v>2607</v>
      </c>
      <c r="E1319" s="65" t="s">
        <v>841</v>
      </c>
      <c r="F1319" s="54" t="s">
        <v>485</v>
      </c>
      <c r="G1319" s="54" t="s">
        <v>485</v>
      </c>
      <c r="H1319" s="54" t="s">
        <v>485</v>
      </c>
      <c r="I1319" s="43">
        <f>'01_PARÂMETROS'!$B$9</f>
        <v>50</v>
      </c>
      <c r="J1319" s="44">
        <f t="shared" si="61"/>
        <v>0.9</v>
      </c>
      <c r="K1319" s="62">
        <f>MAX('01_PARÂMETROS'!$B$11,MIN('01_PARÂMETROS'!$B$12,J1319))</f>
        <v>0.9</v>
      </c>
      <c r="L1319" s="63">
        <f t="shared" si="59"/>
        <v>-9.9999999999999978E-2</v>
      </c>
      <c r="M1319" s="17" t="str">
        <f>IF(K1319&lt;='01_PARÂMETROS'!$B$14,"Preferencial",IF(K1319&lt;='01_PARÂMETROS'!$B$15,"Baixo",IF(K1319&lt;='01_PARÂMETROS'!$B$16,"Médio",IF(K1319&lt;='01_PARÂMETROS'!$B$17,"Alto","Elevado"))))</f>
        <v>Baixo</v>
      </c>
      <c r="N1319" s="58" t="s">
        <v>486</v>
      </c>
      <c r="O1319" s="54"/>
    </row>
    <row r="1320" spans="1:15" ht="13.5" customHeight="1" x14ac:dyDescent="0.25">
      <c r="A1320" s="13" t="s">
        <v>3037</v>
      </c>
      <c r="B1320" s="49" t="s">
        <v>2991</v>
      </c>
      <c r="C1320" s="14" t="s">
        <v>3038</v>
      </c>
      <c r="D1320" s="50" t="s">
        <v>2607</v>
      </c>
      <c r="E1320" s="65" t="s">
        <v>841</v>
      </c>
      <c r="F1320" s="54" t="s">
        <v>485</v>
      </c>
      <c r="G1320" s="54" t="s">
        <v>485</v>
      </c>
      <c r="H1320" s="54" t="s">
        <v>485</v>
      </c>
      <c r="I1320" s="43">
        <f>'01_PARÂMETROS'!$B$9</f>
        <v>50</v>
      </c>
      <c r="J1320" s="44">
        <f t="shared" si="61"/>
        <v>0.9</v>
      </c>
      <c r="K1320" s="62">
        <f>MAX('01_PARÂMETROS'!$B$11,MIN('01_PARÂMETROS'!$B$12,J1320))</f>
        <v>0.9</v>
      </c>
      <c r="L1320" s="63">
        <f t="shared" si="59"/>
        <v>-9.9999999999999978E-2</v>
      </c>
      <c r="M1320" s="17" t="str">
        <f>IF(K1320&lt;='01_PARÂMETROS'!$B$14,"Preferencial",IF(K1320&lt;='01_PARÂMETROS'!$B$15,"Baixo",IF(K1320&lt;='01_PARÂMETROS'!$B$16,"Médio",IF(K1320&lt;='01_PARÂMETROS'!$B$17,"Alto","Elevado"))))</f>
        <v>Baixo</v>
      </c>
      <c r="N1320" s="58" t="s">
        <v>486</v>
      </c>
      <c r="O1320" s="61"/>
    </row>
    <row r="1321" spans="1:15" ht="13.5" customHeight="1" x14ac:dyDescent="0.25">
      <c r="A1321" s="24" t="s">
        <v>3039</v>
      </c>
      <c r="B1321" s="38" t="s">
        <v>2991</v>
      </c>
      <c r="C1321" s="25" t="s">
        <v>3040</v>
      </c>
      <c r="D1321" s="39" t="s">
        <v>2607</v>
      </c>
      <c r="E1321" s="65" t="s">
        <v>841</v>
      </c>
      <c r="F1321" s="54" t="s">
        <v>485</v>
      </c>
      <c r="G1321" s="54" t="s">
        <v>485</v>
      </c>
      <c r="H1321" s="54" t="s">
        <v>485</v>
      </c>
      <c r="I1321" s="43">
        <f>'01_PARÂMETROS'!$B$9</f>
        <v>50</v>
      </c>
      <c r="J1321" s="44">
        <f t="shared" si="61"/>
        <v>0.9</v>
      </c>
      <c r="K1321" s="62">
        <f>MAX('01_PARÂMETROS'!$B$11,MIN('01_PARÂMETROS'!$B$12,J1321))</f>
        <v>0.9</v>
      </c>
      <c r="L1321" s="63">
        <f t="shared" si="59"/>
        <v>-9.9999999999999978E-2</v>
      </c>
      <c r="M1321" s="17" t="str">
        <f>IF(K1321&lt;='01_PARÂMETROS'!$B$14,"Preferencial",IF(K1321&lt;='01_PARÂMETROS'!$B$15,"Baixo",IF(K1321&lt;='01_PARÂMETROS'!$B$16,"Médio",IF(K1321&lt;='01_PARÂMETROS'!$B$17,"Alto","Elevado"))))</f>
        <v>Baixo</v>
      </c>
      <c r="N1321" s="58" t="s">
        <v>486</v>
      </c>
      <c r="O1321" s="54"/>
    </row>
    <row r="1322" spans="1:15" ht="13.5" customHeight="1" x14ac:dyDescent="0.25">
      <c r="A1322" s="13" t="s">
        <v>3041</v>
      </c>
      <c r="B1322" s="49" t="s">
        <v>2991</v>
      </c>
      <c r="C1322" s="14" t="s">
        <v>3042</v>
      </c>
      <c r="D1322" s="50" t="s">
        <v>2607</v>
      </c>
      <c r="E1322" s="65" t="s">
        <v>841</v>
      </c>
      <c r="F1322" s="54" t="s">
        <v>485</v>
      </c>
      <c r="G1322" s="54" t="s">
        <v>485</v>
      </c>
      <c r="H1322" s="54" t="s">
        <v>485</v>
      </c>
      <c r="I1322" s="43">
        <f>'01_PARÂMETROS'!$B$9</f>
        <v>50</v>
      </c>
      <c r="J1322" s="44">
        <f t="shared" si="61"/>
        <v>0.9</v>
      </c>
      <c r="K1322" s="62">
        <f>MAX('01_PARÂMETROS'!$B$11,MIN('01_PARÂMETROS'!$B$12,J1322))</f>
        <v>0.9</v>
      </c>
      <c r="L1322" s="63">
        <f t="shared" si="59"/>
        <v>-9.9999999999999978E-2</v>
      </c>
      <c r="M1322" s="17" t="str">
        <f>IF(K1322&lt;='01_PARÂMETROS'!$B$14,"Preferencial",IF(K1322&lt;='01_PARÂMETROS'!$B$15,"Baixo",IF(K1322&lt;='01_PARÂMETROS'!$B$16,"Médio",IF(K1322&lt;='01_PARÂMETROS'!$B$17,"Alto","Elevado"))))</f>
        <v>Baixo</v>
      </c>
      <c r="N1322" s="58" t="s">
        <v>486</v>
      </c>
      <c r="O1322" s="61"/>
    </row>
    <row r="1323" spans="1:15" ht="13.5" customHeight="1" x14ac:dyDescent="0.25">
      <c r="A1323" s="24" t="s">
        <v>3043</v>
      </c>
      <c r="B1323" s="38" t="s">
        <v>2991</v>
      </c>
      <c r="C1323" s="25" t="s">
        <v>3044</v>
      </c>
      <c r="D1323" s="39" t="s">
        <v>2607</v>
      </c>
      <c r="E1323" s="65" t="s">
        <v>841</v>
      </c>
      <c r="F1323" s="54" t="s">
        <v>485</v>
      </c>
      <c r="G1323" s="54" t="s">
        <v>485</v>
      </c>
      <c r="H1323" s="54" t="s">
        <v>485</v>
      </c>
      <c r="I1323" s="43">
        <f>'01_PARÂMETROS'!$B$9</f>
        <v>50</v>
      </c>
      <c r="J1323" s="44">
        <f t="shared" si="61"/>
        <v>0.9</v>
      </c>
      <c r="K1323" s="62">
        <f>MAX('01_PARÂMETROS'!$B$11,MIN('01_PARÂMETROS'!$B$12,J1323))</f>
        <v>0.9</v>
      </c>
      <c r="L1323" s="63">
        <f t="shared" si="59"/>
        <v>-9.9999999999999978E-2</v>
      </c>
      <c r="M1323" s="17" t="str">
        <f>IF(K1323&lt;='01_PARÂMETROS'!$B$14,"Preferencial",IF(K1323&lt;='01_PARÂMETROS'!$B$15,"Baixo",IF(K1323&lt;='01_PARÂMETROS'!$B$16,"Médio",IF(K1323&lt;='01_PARÂMETROS'!$B$17,"Alto","Elevado"))))</f>
        <v>Baixo</v>
      </c>
      <c r="N1323" s="58" t="s">
        <v>486</v>
      </c>
      <c r="O1323" s="54"/>
    </row>
    <row r="1324" spans="1:15" ht="13.5" customHeight="1" x14ac:dyDescent="0.25">
      <c r="A1324" s="13" t="s">
        <v>3045</v>
      </c>
      <c r="B1324" s="49" t="s">
        <v>2991</v>
      </c>
      <c r="C1324" s="14" t="s">
        <v>3046</v>
      </c>
      <c r="D1324" s="50" t="s">
        <v>2607</v>
      </c>
      <c r="E1324" s="65" t="s">
        <v>841</v>
      </c>
      <c r="F1324" s="54" t="s">
        <v>485</v>
      </c>
      <c r="G1324" s="54" t="s">
        <v>485</v>
      </c>
      <c r="H1324" s="54" t="s">
        <v>485</v>
      </c>
      <c r="I1324" s="43">
        <f>'01_PARÂMETROS'!$B$9</f>
        <v>50</v>
      </c>
      <c r="J1324" s="44">
        <f t="shared" si="61"/>
        <v>0.9</v>
      </c>
      <c r="K1324" s="62">
        <f>MAX('01_PARÂMETROS'!$B$11,MIN('01_PARÂMETROS'!$B$12,J1324))</f>
        <v>0.9</v>
      </c>
      <c r="L1324" s="63">
        <f t="shared" si="59"/>
        <v>-9.9999999999999978E-2</v>
      </c>
      <c r="M1324" s="17" t="str">
        <f>IF(K1324&lt;='01_PARÂMETROS'!$B$14,"Preferencial",IF(K1324&lt;='01_PARÂMETROS'!$B$15,"Baixo",IF(K1324&lt;='01_PARÂMETROS'!$B$16,"Médio",IF(K1324&lt;='01_PARÂMETROS'!$B$17,"Alto","Elevado"))))</f>
        <v>Baixo</v>
      </c>
      <c r="N1324" s="58" t="s">
        <v>486</v>
      </c>
      <c r="O1324" s="61"/>
    </row>
    <row r="1325" spans="1:15" ht="13.5" customHeight="1" x14ac:dyDescent="0.25">
      <c r="A1325" s="24" t="s">
        <v>3047</v>
      </c>
      <c r="B1325" s="38" t="s">
        <v>2991</v>
      </c>
      <c r="C1325" s="25" t="s">
        <v>3048</v>
      </c>
      <c r="D1325" s="39" t="s">
        <v>2607</v>
      </c>
      <c r="E1325" s="65" t="s">
        <v>841</v>
      </c>
      <c r="F1325" s="54" t="s">
        <v>485</v>
      </c>
      <c r="G1325" s="54" t="s">
        <v>485</v>
      </c>
      <c r="H1325" s="54" t="s">
        <v>485</v>
      </c>
      <c r="I1325" s="43">
        <f>'01_PARÂMETROS'!$B$9</f>
        <v>50</v>
      </c>
      <c r="J1325" s="44">
        <f t="shared" si="61"/>
        <v>0.9</v>
      </c>
      <c r="K1325" s="62">
        <f>MAX('01_PARÂMETROS'!$B$11,MIN('01_PARÂMETROS'!$B$12,J1325))</f>
        <v>0.9</v>
      </c>
      <c r="L1325" s="63">
        <f t="shared" si="59"/>
        <v>-9.9999999999999978E-2</v>
      </c>
      <c r="M1325" s="17" t="str">
        <f>IF(K1325&lt;='01_PARÂMETROS'!$B$14,"Preferencial",IF(K1325&lt;='01_PARÂMETROS'!$B$15,"Baixo",IF(K1325&lt;='01_PARÂMETROS'!$B$16,"Médio",IF(K1325&lt;='01_PARÂMETROS'!$B$17,"Alto","Elevado"))))</f>
        <v>Baixo</v>
      </c>
      <c r="N1325" s="58" t="s">
        <v>486</v>
      </c>
      <c r="O1325" s="54"/>
    </row>
    <row r="1326" spans="1:15" ht="13.5" customHeight="1" x14ac:dyDescent="0.25">
      <c r="A1326" s="13" t="s">
        <v>3049</v>
      </c>
      <c r="B1326" s="49" t="s">
        <v>2991</v>
      </c>
      <c r="C1326" s="14" t="s">
        <v>3050</v>
      </c>
      <c r="D1326" s="50" t="s">
        <v>2607</v>
      </c>
      <c r="E1326" s="65" t="s">
        <v>841</v>
      </c>
      <c r="F1326" s="54" t="s">
        <v>485</v>
      </c>
      <c r="G1326" s="54" t="s">
        <v>485</v>
      </c>
      <c r="H1326" s="54" t="s">
        <v>485</v>
      </c>
      <c r="I1326" s="43">
        <f>'01_PARÂMETROS'!$B$9</f>
        <v>50</v>
      </c>
      <c r="J1326" s="44">
        <f t="shared" si="61"/>
        <v>0.9</v>
      </c>
      <c r="K1326" s="62">
        <f>MAX('01_PARÂMETROS'!$B$11,MIN('01_PARÂMETROS'!$B$12,J1326))</f>
        <v>0.9</v>
      </c>
      <c r="L1326" s="63">
        <f t="shared" si="59"/>
        <v>-9.9999999999999978E-2</v>
      </c>
      <c r="M1326" s="17" t="str">
        <f>IF(K1326&lt;='01_PARÂMETROS'!$B$14,"Preferencial",IF(K1326&lt;='01_PARÂMETROS'!$B$15,"Baixo",IF(K1326&lt;='01_PARÂMETROS'!$B$16,"Médio",IF(K1326&lt;='01_PARÂMETROS'!$B$17,"Alto","Elevado"))))</f>
        <v>Baixo</v>
      </c>
      <c r="N1326" s="58" t="s">
        <v>486</v>
      </c>
      <c r="O1326" s="61"/>
    </row>
    <row r="1327" spans="1:15" ht="13.5" customHeight="1" x14ac:dyDescent="0.25">
      <c r="A1327" s="24" t="s">
        <v>3051</v>
      </c>
      <c r="B1327" s="38" t="s">
        <v>2991</v>
      </c>
      <c r="C1327" s="25" t="s">
        <v>3052</v>
      </c>
      <c r="D1327" s="39" t="s">
        <v>2607</v>
      </c>
      <c r="E1327" s="65" t="s">
        <v>841</v>
      </c>
      <c r="F1327" s="54" t="s">
        <v>485</v>
      </c>
      <c r="G1327" s="54" t="s">
        <v>485</v>
      </c>
      <c r="H1327" s="54" t="s">
        <v>485</v>
      </c>
      <c r="I1327" s="43">
        <f>'01_PARÂMETROS'!$B$9</f>
        <v>50</v>
      </c>
      <c r="J1327" s="44">
        <f t="shared" si="61"/>
        <v>0.9</v>
      </c>
      <c r="K1327" s="62">
        <f>MAX('01_PARÂMETROS'!$B$11,MIN('01_PARÂMETROS'!$B$12,J1327))</f>
        <v>0.9</v>
      </c>
      <c r="L1327" s="63">
        <f t="shared" si="59"/>
        <v>-9.9999999999999978E-2</v>
      </c>
      <c r="M1327" s="17" t="str">
        <f>IF(K1327&lt;='01_PARÂMETROS'!$B$14,"Preferencial",IF(K1327&lt;='01_PARÂMETROS'!$B$15,"Baixo",IF(K1327&lt;='01_PARÂMETROS'!$B$16,"Médio",IF(K1327&lt;='01_PARÂMETROS'!$B$17,"Alto","Elevado"))))</f>
        <v>Baixo</v>
      </c>
      <c r="N1327" s="58" t="s">
        <v>486</v>
      </c>
      <c r="O1327" s="54"/>
    </row>
    <row r="1328" spans="1:15" ht="13.5" customHeight="1" x14ac:dyDescent="0.25">
      <c r="A1328" s="13" t="s">
        <v>3053</v>
      </c>
      <c r="B1328" s="49" t="s">
        <v>2991</v>
      </c>
      <c r="C1328" s="14" t="s">
        <v>3054</v>
      </c>
      <c r="D1328" s="50" t="s">
        <v>2607</v>
      </c>
      <c r="E1328" s="65" t="s">
        <v>841</v>
      </c>
      <c r="F1328" s="54" t="s">
        <v>485</v>
      </c>
      <c r="G1328" s="54" t="s">
        <v>485</v>
      </c>
      <c r="H1328" s="54" t="s">
        <v>485</v>
      </c>
      <c r="I1328" s="43">
        <f>'01_PARÂMETROS'!$B$9</f>
        <v>50</v>
      </c>
      <c r="J1328" s="44">
        <f t="shared" si="61"/>
        <v>0.9</v>
      </c>
      <c r="K1328" s="62">
        <f>MAX('01_PARÂMETROS'!$B$11,MIN('01_PARÂMETROS'!$B$12,J1328))</f>
        <v>0.9</v>
      </c>
      <c r="L1328" s="63">
        <f t="shared" si="59"/>
        <v>-9.9999999999999978E-2</v>
      </c>
      <c r="M1328" s="17" t="str">
        <f>IF(K1328&lt;='01_PARÂMETROS'!$B$14,"Preferencial",IF(K1328&lt;='01_PARÂMETROS'!$B$15,"Baixo",IF(K1328&lt;='01_PARÂMETROS'!$B$16,"Médio",IF(K1328&lt;='01_PARÂMETROS'!$B$17,"Alto","Elevado"))))</f>
        <v>Baixo</v>
      </c>
      <c r="N1328" s="58" t="s">
        <v>486</v>
      </c>
      <c r="O1328" s="61"/>
    </row>
    <row r="1329" spans="1:15" ht="13.5" customHeight="1" x14ac:dyDescent="0.25">
      <c r="A1329" s="24" t="s">
        <v>3055</v>
      </c>
      <c r="B1329" s="38" t="s">
        <v>2991</v>
      </c>
      <c r="C1329" s="25" t="s">
        <v>3056</v>
      </c>
      <c r="D1329" s="39" t="s">
        <v>2607</v>
      </c>
      <c r="E1329" s="65" t="s">
        <v>841</v>
      </c>
      <c r="F1329" s="54" t="s">
        <v>485</v>
      </c>
      <c r="G1329" s="54" t="s">
        <v>485</v>
      </c>
      <c r="H1329" s="54" t="s">
        <v>485</v>
      </c>
      <c r="I1329" s="43">
        <f>'01_PARÂMETROS'!$B$9</f>
        <v>50</v>
      </c>
      <c r="J1329" s="44">
        <f t="shared" si="61"/>
        <v>0.9</v>
      </c>
      <c r="K1329" s="62">
        <f>MAX('01_PARÂMETROS'!$B$11,MIN('01_PARÂMETROS'!$B$12,J1329))</f>
        <v>0.9</v>
      </c>
      <c r="L1329" s="63">
        <f t="shared" si="59"/>
        <v>-9.9999999999999978E-2</v>
      </c>
      <c r="M1329" s="17" t="str">
        <f>IF(K1329&lt;='01_PARÂMETROS'!$B$14,"Preferencial",IF(K1329&lt;='01_PARÂMETROS'!$B$15,"Baixo",IF(K1329&lt;='01_PARÂMETROS'!$B$16,"Médio",IF(K1329&lt;='01_PARÂMETROS'!$B$17,"Alto","Elevado"))))</f>
        <v>Baixo</v>
      </c>
      <c r="N1329" s="58" t="s">
        <v>486</v>
      </c>
      <c r="O1329" s="54"/>
    </row>
    <row r="1330" spans="1:15" ht="13.5" customHeight="1" x14ac:dyDescent="0.25">
      <c r="A1330" s="13" t="s">
        <v>3057</v>
      </c>
      <c r="B1330" s="49" t="s">
        <v>2991</v>
      </c>
      <c r="C1330" s="14" t="s">
        <v>3058</v>
      </c>
      <c r="D1330" s="50" t="s">
        <v>2607</v>
      </c>
      <c r="E1330" s="65" t="s">
        <v>841</v>
      </c>
      <c r="F1330" s="54" t="s">
        <v>485</v>
      </c>
      <c r="G1330" s="54" t="s">
        <v>485</v>
      </c>
      <c r="H1330" s="54" t="s">
        <v>485</v>
      </c>
      <c r="I1330" s="43">
        <f>'01_PARÂMETROS'!$B$9</f>
        <v>50</v>
      </c>
      <c r="J1330" s="44">
        <f t="shared" si="61"/>
        <v>0.9</v>
      </c>
      <c r="K1330" s="62">
        <f>MAX('01_PARÂMETROS'!$B$11,MIN('01_PARÂMETROS'!$B$12,J1330))</f>
        <v>0.9</v>
      </c>
      <c r="L1330" s="63">
        <f t="shared" si="59"/>
        <v>-9.9999999999999978E-2</v>
      </c>
      <c r="M1330" s="17" t="str">
        <f>IF(K1330&lt;='01_PARÂMETROS'!$B$14,"Preferencial",IF(K1330&lt;='01_PARÂMETROS'!$B$15,"Baixo",IF(K1330&lt;='01_PARÂMETROS'!$B$16,"Médio",IF(K1330&lt;='01_PARÂMETROS'!$B$17,"Alto","Elevado"))))</f>
        <v>Baixo</v>
      </c>
      <c r="N1330" s="58" t="s">
        <v>486</v>
      </c>
      <c r="O1330" s="61"/>
    </row>
    <row r="1331" spans="1:15" ht="13.5" customHeight="1" x14ac:dyDescent="0.25">
      <c r="A1331" s="24" t="s">
        <v>3059</v>
      </c>
      <c r="B1331" s="38" t="s">
        <v>2991</v>
      </c>
      <c r="C1331" s="25" t="s">
        <v>3060</v>
      </c>
      <c r="D1331" s="39" t="s">
        <v>2607</v>
      </c>
      <c r="E1331" s="65" t="s">
        <v>841</v>
      </c>
      <c r="F1331" s="54" t="s">
        <v>485</v>
      </c>
      <c r="G1331" s="54" t="s">
        <v>485</v>
      </c>
      <c r="H1331" s="54" t="s">
        <v>485</v>
      </c>
      <c r="I1331" s="43">
        <f>'01_PARÂMETROS'!$B$9</f>
        <v>50</v>
      </c>
      <c r="J1331" s="44">
        <f t="shared" si="61"/>
        <v>0.9</v>
      </c>
      <c r="K1331" s="62">
        <f>MAX('01_PARÂMETROS'!$B$11,MIN('01_PARÂMETROS'!$B$12,J1331))</f>
        <v>0.9</v>
      </c>
      <c r="L1331" s="63">
        <f t="shared" si="59"/>
        <v>-9.9999999999999978E-2</v>
      </c>
      <c r="M1331" s="17" t="str">
        <f>IF(K1331&lt;='01_PARÂMETROS'!$B$14,"Preferencial",IF(K1331&lt;='01_PARÂMETROS'!$B$15,"Baixo",IF(K1331&lt;='01_PARÂMETROS'!$B$16,"Médio",IF(K1331&lt;='01_PARÂMETROS'!$B$17,"Alto","Elevado"))))</f>
        <v>Baixo</v>
      </c>
      <c r="N1331" s="58" t="s">
        <v>486</v>
      </c>
      <c r="O1331" s="54"/>
    </row>
    <row r="1332" spans="1:15" ht="13.5" customHeight="1" x14ac:dyDescent="0.25">
      <c r="A1332" s="13" t="s">
        <v>3061</v>
      </c>
      <c r="B1332" s="49" t="s">
        <v>2991</v>
      </c>
      <c r="C1332" s="14" t="s">
        <v>3062</v>
      </c>
      <c r="D1332" s="50" t="s">
        <v>2607</v>
      </c>
      <c r="E1332" s="65" t="s">
        <v>841</v>
      </c>
      <c r="F1332" s="54" t="s">
        <v>485</v>
      </c>
      <c r="G1332" s="54" t="s">
        <v>485</v>
      </c>
      <c r="H1332" s="54" t="s">
        <v>485</v>
      </c>
      <c r="I1332" s="43">
        <f>'01_PARÂMETROS'!$B$9</f>
        <v>50</v>
      </c>
      <c r="J1332" s="44">
        <f t="shared" si="61"/>
        <v>0.9</v>
      </c>
      <c r="K1332" s="62">
        <f>MAX('01_PARÂMETROS'!$B$11,MIN('01_PARÂMETROS'!$B$12,J1332))</f>
        <v>0.9</v>
      </c>
      <c r="L1332" s="63">
        <f t="shared" si="59"/>
        <v>-9.9999999999999978E-2</v>
      </c>
      <c r="M1332" s="17" t="str">
        <f>IF(K1332&lt;='01_PARÂMETROS'!$B$14,"Preferencial",IF(K1332&lt;='01_PARÂMETROS'!$B$15,"Baixo",IF(K1332&lt;='01_PARÂMETROS'!$B$16,"Médio",IF(K1332&lt;='01_PARÂMETROS'!$B$17,"Alto","Elevado"))))</f>
        <v>Baixo</v>
      </c>
      <c r="N1332" s="58" t="s">
        <v>486</v>
      </c>
      <c r="O1332" s="61"/>
    </row>
    <row r="1333" spans="1:15" ht="13.5" customHeight="1" x14ac:dyDescent="0.25">
      <c r="A1333" s="24" t="s">
        <v>3063</v>
      </c>
      <c r="B1333" s="38" t="s">
        <v>2991</v>
      </c>
      <c r="C1333" s="25" t="s">
        <v>3064</v>
      </c>
      <c r="D1333" s="39" t="s">
        <v>2607</v>
      </c>
      <c r="E1333" s="65" t="s">
        <v>841</v>
      </c>
      <c r="F1333" s="54" t="s">
        <v>485</v>
      </c>
      <c r="G1333" s="54" t="s">
        <v>485</v>
      </c>
      <c r="H1333" s="54" t="s">
        <v>485</v>
      </c>
      <c r="I1333" s="43">
        <f>'01_PARÂMETROS'!$B$9</f>
        <v>50</v>
      </c>
      <c r="J1333" s="44">
        <f t="shared" si="61"/>
        <v>0.9</v>
      </c>
      <c r="K1333" s="62">
        <f>MAX('01_PARÂMETROS'!$B$11,MIN('01_PARÂMETROS'!$B$12,J1333))</f>
        <v>0.9</v>
      </c>
      <c r="L1333" s="63">
        <f t="shared" si="59"/>
        <v>-9.9999999999999978E-2</v>
      </c>
      <c r="M1333" s="17" t="str">
        <f>IF(K1333&lt;='01_PARÂMETROS'!$B$14,"Preferencial",IF(K1333&lt;='01_PARÂMETROS'!$B$15,"Baixo",IF(K1333&lt;='01_PARÂMETROS'!$B$16,"Médio",IF(K1333&lt;='01_PARÂMETROS'!$B$17,"Alto","Elevado"))))</f>
        <v>Baixo</v>
      </c>
      <c r="N1333" s="58" t="s">
        <v>486</v>
      </c>
      <c r="O1333" s="54"/>
    </row>
    <row r="1334" spans="1:15" ht="13.5" customHeight="1" x14ac:dyDescent="0.25">
      <c r="A1334" s="13" t="s">
        <v>3065</v>
      </c>
      <c r="B1334" s="49" t="s">
        <v>2991</v>
      </c>
      <c r="C1334" s="14" t="s">
        <v>3066</v>
      </c>
      <c r="D1334" s="50" t="s">
        <v>2607</v>
      </c>
      <c r="E1334" s="65" t="s">
        <v>841</v>
      </c>
      <c r="F1334" s="54" t="s">
        <v>485</v>
      </c>
      <c r="G1334" s="54" t="s">
        <v>485</v>
      </c>
      <c r="H1334" s="54" t="s">
        <v>485</v>
      </c>
      <c r="I1334" s="43">
        <f>'01_PARÂMETROS'!$B$9</f>
        <v>50</v>
      </c>
      <c r="J1334" s="44">
        <f t="shared" si="61"/>
        <v>0.9</v>
      </c>
      <c r="K1334" s="62">
        <f>MAX('01_PARÂMETROS'!$B$11,MIN('01_PARÂMETROS'!$B$12,J1334))</f>
        <v>0.9</v>
      </c>
      <c r="L1334" s="63">
        <f t="shared" si="59"/>
        <v>-9.9999999999999978E-2</v>
      </c>
      <c r="M1334" s="17" t="str">
        <f>IF(K1334&lt;='01_PARÂMETROS'!$B$14,"Preferencial",IF(K1334&lt;='01_PARÂMETROS'!$B$15,"Baixo",IF(K1334&lt;='01_PARÂMETROS'!$B$16,"Médio",IF(K1334&lt;='01_PARÂMETROS'!$B$17,"Alto","Elevado"))))</f>
        <v>Baixo</v>
      </c>
      <c r="N1334" s="58" t="s">
        <v>486</v>
      </c>
      <c r="O1334" s="61"/>
    </row>
    <row r="1335" spans="1:15" ht="13.5" customHeight="1" x14ac:dyDescent="0.25">
      <c r="A1335" s="24" t="s">
        <v>3067</v>
      </c>
      <c r="B1335" s="38" t="s">
        <v>3068</v>
      </c>
      <c r="C1335" s="25" t="s">
        <v>3069</v>
      </c>
      <c r="D1335" s="39" t="s">
        <v>3070</v>
      </c>
      <c r="E1335" s="65" t="s">
        <v>841</v>
      </c>
      <c r="F1335" s="54" t="s">
        <v>485</v>
      </c>
      <c r="G1335" s="54" t="s">
        <v>485</v>
      </c>
      <c r="H1335" s="54" t="s">
        <v>485</v>
      </c>
      <c r="I1335" s="43">
        <f>'01_PARÂMETROS'!$B$9</f>
        <v>50</v>
      </c>
      <c r="J1335" s="44">
        <f t="shared" si="61"/>
        <v>0.9</v>
      </c>
      <c r="K1335" s="62">
        <f>MAX('01_PARÂMETROS'!$B$11,MIN('01_PARÂMETROS'!$B$12,J1335))</f>
        <v>0.9</v>
      </c>
      <c r="L1335" s="63">
        <f t="shared" si="59"/>
        <v>-9.9999999999999978E-2</v>
      </c>
      <c r="M1335" s="17" t="str">
        <f>IF(K1335&lt;='01_PARÂMETROS'!$B$14,"Preferencial",IF(K1335&lt;='01_PARÂMETROS'!$B$15,"Baixo",IF(K1335&lt;='01_PARÂMETROS'!$B$16,"Médio",IF(K1335&lt;='01_PARÂMETROS'!$B$17,"Alto","Elevado"))))</f>
        <v>Baixo</v>
      </c>
      <c r="N1335" s="58" t="s">
        <v>486</v>
      </c>
      <c r="O1335" s="54"/>
    </row>
    <row r="1336" spans="1:15" ht="13.5" customHeight="1" x14ac:dyDescent="0.25">
      <c r="A1336" s="13" t="s">
        <v>3071</v>
      </c>
      <c r="B1336" s="49" t="s">
        <v>3072</v>
      </c>
      <c r="C1336" s="14" t="s">
        <v>3073</v>
      </c>
      <c r="D1336" s="50" t="s">
        <v>3074</v>
      </c>
      <c r="E1336" s="65" t="s">
        <v>841</v>
      </c>
      <c r="F1336" s="54" t="s">
        <v>485</v>
      </c>
      <c r="G1336" s="54" t="s">
        <v>485</v>
      </c>
      <c r="H1336" s="54" t="s">
        <v>485</v>
      </c>
      <c r="I1336" s="43">
        <f>'01_PARÂMETROS'!$B$9</f>
        <v>50</v>
      </c>
      <c r="J1336" s="44">
        <f t="shared" si="61"/>
        <v>0.9</v>
      </c>
      <c r="K1336" s="62">
        <f>MAX('01_PARÂMETROS'!$B$11,MIN('01_PARÂMETROS'!$B$12,J1336))</f>
        <v>0.9</v>
      </c>
      <c r="L1336" s="63">
        <f t="shared" si="59"/>
        <v>-9.9999999999999978E-2</v>
      </c>
      <c r="M1336" s="17" t="str">
        <f>IF(K1336&lt;='01_PARÂMETROS'!$B$14,"Preferencial",IF(K1336&lt;='01_PARÂMETROS'!$B$15,"Baixo",IF(K1336&lt;='01_PARÂMETROS'!$B$16,"Médio",IF(K1336&lt;='01_PARÂMETROS'!$B$17,"Alto","Elevado"))))</f>
        <v>Baixo</v>
      </c>
      <c r="N1336" s="58" t="s">
        <v>486</v>
      </c>
      <c r="O1336" s="61"/>
    </row>
  </sheetData>
  <mergeCells count="6">
    <mergeCell ref="A1:O1"/>
    <mergeCell ref="A2:O2"/>
    <mergeCell ref="A3:E3"/>
    <mergeCell ref="F3:I3"/>
    <mergeCell ref="J3:L3"/>
    <mergeCell ref="M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40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44" customWidth="1"/>
    <col min="2" max="2" width="62.140625" customWidth="1"/>
    <col min="3" max="3" width="20" customWidth="1"/>
    <col min="4" max="4" width="59.85546875" customWidth="1"/>
  </cols>
  <sheetData>
    <row r="1" spans="1:4" ht="27.75" customHeight="1" x14ac:dyDescent="0.25">
      <c r="A1" s="115" t="s">
        <v>3075</v>
      </c>
      <c r="B1" s="115"/>
      <c r="C1" s="115"/>
      <c r="D1" s="115"/>
    </row>
    <row r="2" spans="1:4" ht="27.75" customHeight="1" x14ac:dyDescent="0.25">
      <c r="A2" s="116" t="s">
        <v>3076</v>
      </c>
      <c r="B2" s="116"/>
      <c r="C2" s="116"/>
      <c r="D2" s="116"/>
    </row>
    <row r="3" spans="1:4" ht="21.75" customHeight="1" x14ac:dyDescent="0.25">
      <c r="A3" s="125" t="s">
        <v>3077</v>
      </c>
      <c r="B3" s="125"/>
      <c r="C3" s="125"/>
      <c r="D3" s="125"/>
    </row>
    <row r="4" spans="1:4" ht="18" customHeight="1" x14ac:dyDescent="0.25">
      <c r="A4" s="7" t="s">
        <v>3078</v>
      </c>
      <c r="B4" s="66" t="s">
        <v>3079</v>
      </c>
      <c r="C4" s="66"/>
      <c r="D4" s="66"/>
    </row>
    <row r="5" spans="1:4" ht="18" customHeight="1" x14ac:dyDescent="0.25">
      <c r="A5" s="67" t="s">
        <v>3080</v>
      </c>
      <c r="B5" s="68" t="s">
        <v>3081</v>
      </c>
      <c r="C5" s="68"/>
      <c r="D5" s="68"/>
    </row>
    <row r="6" spans="1:4" ht="18" customHeight="1" x14ac:dyDescent="0.25">
      <c r="A6" s="7" t="s">
        <v>3082</v>
      </c>
      <c r="B6" s="66">
        <v>134</v>
      </c>
      <c r="C6" s="66"/>
      <c r="D6" s="66"/>
    </row>
    <row r="7" spans="1:4" ht="18" customHeight="1" x14ac:dyDescent="0.25">
      <c r="A7" s="67" t="s">
        <v>3083</v>
      </c>
      <c r="B7" s="68">
        <v>0.84140000000000004</v>
      </c>
      <c r="C7" s="68"/>
      <c r="D7" s="68" t="s">
        <v>3084</v>
      </c>
    </row>
    <row r="8" spans="1:4" ht="18" customHeight="1" x14ac:dyDescent="0.25">
      <c r="A8" s="7" t="s">
        <v>3085</v>
      </c>
      <c r="B8" s="66" t="s">
        <v>3086</v>
      </c>
      <c r="C8" s="66"/>
      <c r="D8" s="66"/>
    </row>
    <row r="9" spans="1:4" ht="19.5" customHeight="1" x14ac:dyDescent="0.25">
      <c r="A9" s="67" t="s">
        <v>3087</v>
      </c>
      <c r="B9" s="68" t="s">
        <v>3088</v>
      </c>
      <c r="C9" s="68"/>
      <c r="D9" s="68"/>
    </row>
    <row r="10" spans="1:4" ht="18" customHeight="1" x14ac:dyDescent="0.25"/>
    <row r="11" spans="1:4" ht="21.75" customHeight="1" x14ac:dyDescent="0.25">
      <c r="A11" s="125" t="s">
        <v>3089</v>
      </c>
      <c r="B11" s="125"/>
      <c r="C11" s="125"/>
      <c r="D11" s="125"/>
    </row>
    <row r="12" spans="1:4" ht="18" customHeight="1" x14ac:dyDescent="0.25">
      <c r="A12" s="7" t="s">
        <v>3080</v>
      </c>
      <c r="B12" s="66" t="s">
        <v>3090</v>
      </c>
      <c r="C12" s="66"/>
      <c r="D12" s="66"/>
    </row>
    <row r="13" spans="1:4" ht="18" customHeight="1" x14ac:dyDescent="0.25">
      <c r="A13" s="67" t="s">
        <v>3091</v>
      </c>
      <c r="B13" s="68" t="s">
        <v>3092</v>
      </c>
      <c r="C13" s="68"/>
      <c r="D13" s="68"/>
    </row>
    <row r="14" spans="1:4" ht="18" customHeight="1" x14ac:dyDescent="0.25">
      <c r="A14" s="7" t="s">
        <v>3093</v>
      </c>
      <c r="B14" s="69">
        <f>'01_PARÂMETROS'!B20</f>
        <v>280</v>
      </c>
      <c r="C14" s="66"/>
      <c r="D14" s="66" t="s">
        <v>3094</v>
      </c>
    </row>
    <row r="15" spans="1:4" ht="18" customHeight="1" x14ac:dyDescent="0.25">
      <c r="A15" s="67" t="s">
        <v>3095</v>
      </c>
      <c r="B15" s="70">
        <f>'01_PARÂMETROS'!B21</f>
        <v>54.25</v>
      </c>
      <c r="C15" s="68"/>
      <c r="D15" s="68" t="s">
        <v>3096</v>
      </c>
    </row>
    <row r="16" spans="1:4" ht="18" customHeight="1" x14ac:dyDescent="0.25">
      <c r="A16" s="7" t="s">
        <v>3097</v>
      </c>
      <c r="B16" s="70">
        <f>'01_PARÂMETROS'!B22</f>
        <v>24.2</v>
      </c>
      <c r="C16" s="66"/>
      <c r="D16" s="66" t="s">
        <v>3098</v>
      </c>
    </row>
    <row r="17" spans="1:4" ht="18" customHeight="1" x14ac:dyDescent="0.25">
      <c r="A17" s="67" t="s">
        <v>3099</v>
      </c>
      <c r="B17" s="69">
        <f>'01_PARÂMETROS'!B29</f>
        <v>37.511410280556696</v>
      </c>
      <c r="C17" s="68"/>
      <c r="D17" s="68" t="s">
        <v>3100</v>
      </c>
    </row>
    <row r="18" spans="1:4" ht="18" customHeight="1" x14ac:dyDescent="0.25">
      <c r="A18" s="7" t="s">
        <v>3101</v>
      </c>
      <c r="B18" s="69" t="str">
        <f>'01_PARÂMETROS'!B30</f>
        <v>NÃO — não rejeitar H0</v>
      </c>
      <c r="C18" s="66"/>
      <c r="D18" s="66"/>
    </row>
    <row r="19" spans="1:4" ht="19.5" customHeight="1" x14ac:dyDescent="0.25">
      <c r="A19" s="67" t="s">
        <v>3087</v>
      </c>
      <c r="B19" s="68" t="s">
        <v>3102</v>
      </c>
      <c r="C19" s="68"/>
      <c r="D19" s="68"/>
    </row>
    <row r="20" spans="1:4" ht="18" customHeight="1" x14ac:dyDescent="0.25"/>
    <row r="21" spans="1:4" ht="18" customHeight="1" x14ac:dyDescent="0.25">
      <c r="A21" s="67" t="s">
        <v>3103</v>
      </c>
      <c r="B21" s="68"/>
      <c r="C21" s="68"/>
    </row>
    <row r="22" spans="1:4" ht="18" customHeight="1" x14ac:dyDescent="0.25">
      <c r="A22" s="7" t="s">
        <v>3078</v>
      </c>
      <c r="B22" s="66" t="s">
        <v>3104</v>
      </c>
      <c r="C22" s="66"/>
      <c r="D22" s="66"/>
    </row>
    <row r="23" spans="1:4" ht="18" customHeight="1" x14ac:dyDescent="0.25">
      <c r="A23" s="67" t="s">
        <v>3105</v>
      </c>
      <c r="B23" s="68">
        <v>280</v>
      </c>
      <c r="C23" s="68"/>
      <c r="D23" s="68"/>
    </row>
    <row r="24" spans="1:4" ht="18" customHeight="1" x14ac:dyDescent="0.25">
      <c r="A24" s="7" t="s">
        <v>3106</v>
      </c>
      <c r="B24" s="66">
        <v>76</v>
      </c>
      <c r="C24" s="66" t="s">
        <v>3107</v>
      </c>
      <c r="D24" s="66" t="s">
        <v>3108</v>
      </c>
    </row>
    <row r="25" spans="1:4" ht="18" customHeight="1" x14ac:dyDescent="0.25">
      <c r="A25" s="67" t="s">
        <v>3109</v>
      </c>
      <c r="B25" s="68">
        <v>81</v>
      </c>
      <c r="C25" s="68" t="s">
        <v>3110</v>
      </c>
      <c r="D25" s="68" t="s">
        <v>3111</v>
      </c>
    </row>
    <row r="26" spans="1:4" ht="18" customHeight="1" x14ac:dyDescent="0.25">
      <c r="A26" s="7" t="s">
        <v>3112</v>
      </c>
      <c r="B26" s="66" t="s">
        <v>3113</v>
      </c>
      <c r="C26" s="66"/>
      <c r="D26" s="66"/>
    </row>
    <row r="27" spans="1:4" ht="19.5" customHeight="1" x14ac:dyDescent="0.25">
      <c r="A27" s="67" t="s">
        <v>3085</v>
      </c>
      <c r="B27" s="68" t="s">
        <v>3114</v>
      </c>
      <c r="C27" s="68"/>
      <c r="D27" s="68"/>
    </row>
    <row r="28" spans="1:4" ht="18" customHeight="1" x14ac:dyDescent="0.25"/>
    <row r="29" spans="1:4" ht="21.75" customHeight="1" x14ac:dyDescent="0.25">
      <c r="A29" s="125" t="s">
        <v>3115</v>
      </c>
      <c r="B29" s="125"/>
      <c r="C29" s="125"/>
      <c r="D29" s="125"/>
    </row>
    <row r="30" spans="1:4" ht="18" customHeight="1" x14ac:dyDescent="0.25">
      <c r="A30" s="7" t="s">
        <v>3078</v>
      </c>
      <c r="B30" s="66" t="s">
        <v>3116</v>
      </c>
      <c r="C30" s="66"/>
      <c r="D30" s="66"/>
    </row>
    <row r="31" spans="1:4" ht="18" customHeight="1" x14ac:dyDescent="0.25">
      <c r="A31" s="67" t="s">
        <v>3117</v>
      </c>
      <c r="B31" s="68" t="s">
        <v>3118</v>
      </c>
      <c r="C31" s="68" t="s">
        <v>3119</v>
      </c>
      <c r="D31" s="68" t="s">
        <v>3120</v>
      </c>
    </row>
    <row r="32" spans="1:4" ht="18" customHeight="1" x14ac:dyDescent="0.25">
      <c r="A32" s="7">
        <v>40</v>
      </c>
      <c r="B32" s="66" t="s">
        <v>3121</v>
      </c>
      <c r="C32" s="66" t="s">
        <v>3122</v>
      </c>
      <c r="D32" s="66" t="s">
        <v>3123</v>
      </c>
    </row>
    <row r="33" spans="1:4" ht="18" customHeight="1" x14ac:dyDescent="0.25">
      <c r="A33" s="67">
        <v>45</v>
      </c>
      <c r="B33" s="68" t="s">
        <v>3124</v>
      </c>
      <c r="C33" s="68" t="s">
        <v>3125</v>
      </c>
      <c r="D33" s="68" t="s">
        <v>3123</v>
      </c>
    </row>
    <row r="34" spans="1:4" ht="18" customHeight="1" x14ac:dyDescent="0.25">
      <c r="A34" s="7">
        <v>50</v>
      </c>
      <c r="B34" s="66" t="s">
        <v>3126</v>
      </c>
      <c r="C34" s="66" t="s">
        <v>3127</v>
      </c>
      <c r="D34" s="66" t="s">
        <v>3128</v>
      </c>
    </row>
    <row r="35" spans="1:4" ht="18" customHeight="1" x14ac:dyDescent="0.25">
      <c r="A35" s="67">
        <v>55</v>
      </c>
      <c r="B35" s="68" t="s">
        <v>3129</v>
      </c>
      <c r="C35" s="68" t="s">
        <v>3124</v>
      </c>
      <c r="D35" s="68" t="s">
        <v>3130</v>
      </c>
    </row>
    <row r="36" spans="1:4" ht="18" customHeight="1" x14ac:dyDescent="0.25">
      <c r="A36" s="7">
        <v>60</v>
      </c>
      <c r="B36" s="66" t="s">
        <v>3131</v>
      </c>
      <c r="C36" s="66" t="s">
        <v>3132</v>
      </c>
      <c r="D36" s="66" t="s">
        <v>3133</v>
      </c>
    </row>
    <row r="37" spans="1:4" ht="18" customHeight="1" x14ac:dyDescent="0.25">
      <c r="A37" s="67">
        <v>65</v>
      </c>
      <c r="B37" s="68" t="s">
        <v>3134</v>
      </c>
      <c r="C37" s="68" t="s">
        <v>3135</v>
      </c>
      <c r="D37" s="68" t="s">
        <v>3136</v>
      </c>
    </row>
    <row r="38" spans="1:4" ht="18" customHeight="1" x14ac:dyDescent="0.25"/>
    <row r="39" spans="1:4" ht="21.75" customHeight="1" x14ac:dyDescent="0.25">
      <c r="A39" s="125" t="s">
        <v>3137</v>
      </c>
      <c r="B39" s="125"/>
      <c r="C39" s="125"/>
      <c r="D39" s="125"/>
    </row>
    <row r="40" spans="1:4" ht="19.5" customHeight="1" x14ac:dyDescent="0.25">
      <c r="A40" s="7" t="s">
        <v>3138</v>
      </c>
      <c r="B40" s="66" t="s">
        <v>3139</v>
      </c>
      <c r="C40" s="66"/>
      <c r="D40" s="66"/>
    </row>
  </sheetData>
  <mergeCells count="6">
    <mergeCell ref="A39:D39"/>
    <mergeCell ref="A1:D1"/>
    <mergeCell ref="A2:D2"/>
    <mergeCell ref="A3:D3"/>
    <mergeCell ref="A11:D11"/>
    <mergeCell ref="A29:D29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0006"/>
  </sheetPr>
  <dimension ref="A1:I145"/>
  <sheetViews>
    <sheetView showGridLines="0" zoomScaleNormal="100" workbookViewId="0">
      <pane ySplit="3" topLeftCell="A4" activePane="bottomLeft" state="frozen"/>
      <selection pane="bottomLeft" activeCell="I3" sqref="I1:I1048576"/>
    </sheetView>
  </sheetViews>
  <sheetFormatPr defaultColWidth="8.7109375" defaultRowHeight="15" x14ac:dyDescent="0.25"/>
  <cols>
    <col min="1" max="2" width="9" customWidth="1"/>
    <col min="3" max="3" width="48.28515625" customWidth="1"/>
    <col min="4" max="5" width="12" customWidth="1"/>
    <col min="6" max="6" width="14" customWidth="1"/>
    <col min="7" max="7" width="12" customWidth="1"/>
    <col min="8" max="8" width="58" customWidth="1"/>
    <col min="9" max="9" width="14" customWidth="1"/>
  </cols>
  <sheetData>
    <row r="1" spans="1:9" ht="27.75" customHeight="1" x14ac:dyDescent="0.25">
      <c r="A1" s="115" t="s">
        <v>3140</v>
      </c>
      <c r="B1" s="115"/>
      <c r="C1" s="115"/>
      <c r="D1" s="115"/>
      <c r="E1" s="115"/>
      <c r="F1" s="115"/>
      <c r="G1" s="115"/>
      <c r="H1" s="115"/>
      <c r="I1" s="115"/>
    </row>
    <row r="2" spans="1:9" ht="27.75" customHeight="1" x14ac:dyDescent="0.25">
      <c r="A2" s="116" t="s">
        <v>3141</v>
      </c>
      <c r="B2" s="116"/>
      <c r="C2" s="116"/>
      <c r="D2" s="116"/>
      <c r="E2" s="116"/>
      <c r="F2" s="116"/>
      <c r="G2" s="116"/>
      <c r="H2" s="116"/>
      <c r="I2" s="116"/>
    </row>
    <row r="3" spans="1:9" ht="25.5" customHeight="1" x14ac:dyDescent="0.25">
      <c r="A3" s="71" t="s">
        <v>3142</v>
      </c>
      <c r="B3" s="71" t="s">
        <v>117</v>
      </c>
      <c r="C3" s="71" t="s">
        <v>118</v>
      </c>
      <c r="D3" s="71" t="s">
        <v>81</v>
      </c>
      <c r="E3" s="71" t="s">
        <v>3143</v>
      </c>
      <c r="F3" s="71" t="s">
        <v>471</v>
      </c>
      <c r="G3" s="71" t="s">
        <v>470</v>
      </c>
      <c r="H3" s="71" t="s">
        <v>3144</v>
      </c>
      <c r="I3" s="71" t="s">
        <v>3145</v>
      </c>
    </row>
    <row r="4" spans="1:9" ht="18" customHeight="1" x14ac:dyDescent="0.25">
      <c r="A4" s="126" t="s">
        <v>3146</v>
      </c>
      <c r="B4" s="126"/>
      <c r="C4" s="126"/>
      <c r="D4" s="126"/>
      <c r="E4" s="126"/>
      <c r="F4" s="126"/>
      <c r="G4" s="126"/>
      <c r="H4" s="126"/>
      <c r="I4" s="126"/>
    </row>
    <row r="5" spans="1:9" ht="15.75" customHeight="1" x14ac:dyDescent="0.25">
      <c r="A5" s="72" t="s">
        <v>3147</v>
      </c>
      <c r="B5" s="72" t="s">
        <v>132</v>
      </c>
      <c r="C5" s="73" t="s">
        <v>133</v>
      </c>
      <c r="D5" s="74">
        <v>22.99</v>
      </c>
      <c r="E5" s="26">
        <v>0.75</v>
      </c>
      <c r="F5" s="53" t="s">
        <v>3148</v>
      </c>
      <c r="G5" s="75">
        <v>-0.25</v>
      </c>
      <c r="H5" s="76" t="s">
        <v>3149</v>
      </c>
      <c r="I5" s="77" t="s">
        <v>3361</v>
      </c>
    </row>
    <row r="6" spans="1:9" ht="15.75" customHeight="1" x14ac:dyDescent="0.25">
      <c r="A6" s="72" t="s">
        <v>3147</v>
      </c>
      <c r="B6" s="72" t="s">
        <v>130</v>
      </c>
      <c r="C6" s="73" t="s">
        <v>131</v>
      </c>
      <c r="D6" s="74">
        <v>38.42</v>
      </c>
      <c r="E6" s="26">
        <v>0.76839999999999997</v>
      </c>
      <c r="F6" s="53" t="s">
        <v>3148</v>
      </c>
      <c r="G6" s="75">
        <v>-0.2316</v>
      </c>
      <c r="H6" s="76" t="s">
        <v>3149</v>
      </c>
      <c r="I6" s="77" t="s">
        <v>3361</v>
      </c>
    </row>
    <row r="7" spans="1:9" ht="15.75" customHeight="1" x14ac:dyDescent="0.25">
      <c r="A7" s="78" t="s">
        <v>3147</v>
      </c>
      <c r="B7" s="78" t="s">
        <v>128</v>
      </c>
      <c r="C7" s="79" t="s">
        <v>129</v>
      </c>
      <c r="D7" s="80">
        <v>56.13</v>
      </c>
      <c r="E7" s="23">
        <v>1.1226</v>
      </c>
      <c r="F7" s="47" t="s">
        <v>566</v>
      </c>
      <c r="G7" s="81">
        <v>0.1226</v>
      </c>
      <c r="H7" s="76" t="s">
        <v>3149</v>
      </c>
      <c r="I7" s="77" t="s">
        <v>3361</v>
      </c>
    </row>
    <row r="8" spans="1:9" ht="15.75" customHeight="1" x14ac:dyDescent="0.25">
      <c r="A8" s="78" t="s">
        <v>3147</v>
      </c>
      <c r="B8" s="78" t="s">
        <v>134</v>
      </c>
      <c r="C8" s="79" t="s">
        <v>135</v>
      </c>
      <c r="D8" s="80">
        <v>58.21</v>
      </c>
      <c r="E8" s="23">
        <v>1.1641999999999999</v>
      </c>
      <c r="F8" s="47" t="s">
        <v>566</v>
      </c>
      <c r="G8" s="81">
        <v>0.16420000000000001</v>
      </c>
      <c r="H8" s="76" t="s">
        <v>3149</v>
      </c>
      <c r="I8" s="77" t="s">
        <v>3361</v>
      </c>
    </row>
    <row r="10" spans="1:9" ht="18" customHeight="1" x14ac:dyDescent="0.25">
      <c r="A10" s="126" t="s">
        <v>3150</v>
      </c>
      <c r="B10" s="126"/>
      <c r="C10" s="126"/>
      <c r="D10" s="126"/>
      <c r="E10" s="126"/>
      <c r="F10" s="126"/>
      <c r="G10" s="126"/>
      <c r="H10" s="126"/>
      <c r="I10" s="126"/>
    </row>
    <row r="11" spans="1:9" ht="15.75" customHeight="1" x14ac:dyDescent="0.25">
      <c r="A11" s="72" t="s">
        <v>3151</v>
      </c>
      <c r="B11" s="72" t="s">
        <v>138</v>
      </c>
      <c r="C11" s="73" t="s">
        <v>139</v>
      </c>
      <c r="D11" s="74">
        <v>36.83</v>
      </c>
      <c r="E11" s="26">
        <v>0.75</v>
      </c>
      <c r="F11" s="53" t="s">
        <v>3148</v>
      </c>
      <c r="G11" s="75">
        <v>-0.25</v>
      </c>
      <c r="H11" s="76" t="s">
        <v>3149</v>
      </c>
      <c r="I11" s="77" t="s">
        <v>3361</v>
      </c>
    </row>
    <row r="12" spans="1:9" ht="15.75" customHeight="1" x14ac:dyDescent="0.25">
      <c r="A12" s="78" t="s">
        <v>3151</v>
      </c>
      <c r="B12" s="78" t="s">
        <v>136</v>
      </c>
      <c r="C12" s="79" t="s">
        <v>137</v>
      </c>
      <c r="D12" s="80">
        <v>54.89</v>
      </c>
      <c r="E12" s="23">
        <v>1.0978000000000001</v>
      </c>
      <c r="F12" s="47" t="s">
        <v>566</v>
      </c>
      <c r="G12" s="81">
        <v>9.7799999999999998E-2</v>
      </c>
      <c r="H12" s="76" t="s">
        <v>3149</v>
      </c>
      <c r="I12" s="77" t="s">
        <v>3361</v>
      </c>
    </row>
    <row r="14" spans="1:9" ht="18" customHeight="1" x14ac:dyDescent="0.25">
      <c r="A14" s="126" t="s">
        <v>3152</v>
      </c>
      <c r="B14" s="126"/>
      <c r="C14" s="126"/>
      <c r="D14" s="126"/>
      <c r="E14" s="126"/>
      <c r="F14" s="126"/>
      <c r="G14" s="126"/>
      <c r="H14" s="126"/>
      <c r="I14" s="126"/>
    </row>
    <row r="15" spans="1:9" ht="15.75" customHeight="1" x14ac:dyDescent="0.25">
      <c r="A15" s="72" t="s">
        <v>3153</v>
      </c>
      <c r="B15" s="72" t="s">
        <v>158</v>
      </c>
      <c r="C15" s="73" t="s">
        <v>159</v>
      </c>
      <c r="D15" s="74">
        <v>19.55</v>
      </c>
      <c r="E15" s="26">
        <v>0.75</v>
      </c>
      <c r="F15" s="53" t="s">
        <v>3148</v>
      </c>
      <c r="G15" s="75">
        <v>-0.25</v>
      </c>
      <c r="H15" s="76" t="s">
        <v>3149</v>
      </c>
      <c r="I15" s="77" t="s">
        <v>3361</v>
      </c>
    </row>
    <row r="16" spans="1:9" ht="15.75" customHeight="1" x14ac:dyDescent="0.25">
      <c r="A16" s="72" t="s">
        <v>3153</v>
      </c>
      <c r="B16" s="72" t="s">
        <v>162</v>
      </c>
      <c r="C16" s="73" t="s">
        <v>163</v>
      </c>
      <c r="D16" s="74">
        <v>19.940000000000001</v>
      </c>
      <c r="E16" s="26">
        <v>0.75</v>
      </c>
      <c r="F16" s="53" t="s">
        <v>3148</v>
      </c>
      <c r="G16" s="75">
        <v>-0.25</v>
      </c>
      <c r="H16" s="76" t="s">
        <v>3149</v>
      </c>
      <c r="I16" s="77" t="s">
        <v>3361</v>
      </c>
    </row>
    <row r="17" spans="1:9" ht="15.75" customHeight="1" x14ac:dyDescent="0.25">
      <c r="A17" s="72" t="s">
        <v>3153</v>
      </c>
      <c r="B17" s="72" t="s">
        <v>166</v>
      </c>
      <c r="C17" s="73" t="s">
        <v>167</v>
      </c>
      <c r="D17" s="74">
        <v>12.98</v>
      </c>
      <c r="E17" s="26">
        <v>0.75</v>
      </c>
      <c r="F17" s="53" t="s">
        <v>3148</v>
      </c>
      <c r="G17" s="75">
        <v>-0.25</v>
      </c>
      <c r="H17" s="76" t="s">
        <v>3149</v>
      </c>
      <c r="I17" s="77" t="s">
        <v>3361</v>
      </c>
    </row>
    <row r="18" spans="1:9" ht="15.75" customHeight="1" x14ac:dyDescent="0.25">
      <c r="A18" s="72" t="s">
        <v>3153</v>
      </c>
      <c r="B18" s="72" t="s">
        <v>172</v>
      </c>
      <c r="C18" s="73" t="s">
        <v>173</v>
      </c>
      <c r="D18" s="74">
        <v>11.72</v>
      </c>
      <c r="E18" s="26">
        <v>0.75</v>
      </c>
      <c r="F18" s="53" t="s">
        <v>3148</v>
      </c>
      <c r="G18" s="75">
        <v>-0.25</v>
      </c>
      <c r="H18" s="76" t="s">
        <v>3149</v>
      </c>
      <c r="I18" s="77" t="s">
        <v>3361</v>
      </c>
    </row>
    <row r="19" spans="1:9" ht="15.75" customHeight="1" x14ac:dyDescent="0.25">
      <c r="A19" s="82" t="s">
        <v>3153</v>
      </c>
      <c r="B19" s="82" t="s">
        <v>164</v>
      </c>
      <c r="C19" s="83" t="s">
        <v>165</v>
      </c>
      <c r="D19" s="41">
        <v>46.22</v>
      </c>
      <c r="E19" s="34">
        <v>0.9244</v>
      </c>
      <c r="F19" s="17" t="s">
        <v>841</v>
      </c>
      <c r="G19" s="84">
        <v>-7.5600000000000001E-2</v>
      </c>
      <c r="H19" s="76" t="s">
        <v>3149</v>
      </c>
      <c r="I19" s="77" t="s">
        <v>3361</v>
      </c>
    </row>
    <row r="20" spans="1:9" ht="15.75" customHeight="1" x14ac:dyDescent="0.25">
      <c r="A20" s="85" t="s">
        <v>3153</v>
      </c>
      <c r="B20" s="85" t="s">
        <v>168</v>
      </c>
      <c r="C20" s="86" t="s">
        <v>169</v>
      </c>
      <c r="D20" s="87">
        <v>50.88</v>
      </c>
      <c r="E20" s="33">
        <v>1.0176000000000001</v>
      </c>
      <c r="F20" s="57" t="s">
        <v>477</v>
      </c>
      <c r="G20" s="88">
        <v>1.7600000000000001E-2</v>
      </c>
      <c r="H20" s="76" t="s">
        <v>3149</v>
      </c>
      <c r="I20" s="77" t="s">
        <v>3361</v>
      </c>
    </row>
    <row r="21" spans="1:9" ht="15.75" customHeight="1" x14ac:dyDescent="0.25">
      <c r="A21" s="78" t="s">
        <v>3153</v>
      </c>
      <c r="B21" s="78" t="s">
        <v>160</v>
      </c>
      <c r="C21" s="79" t="s">
        <v>161</v>
      </c>
      <c r="D21" s="80">
        <v>57.81</v>
      </c>
      <c r="E21" s="23">
        <v>1.1561999999999999</v>
      </c>
      <c r="F21" s="47" t="s">
        <v>566</v>
      </c>
      <c r="G21" s="81">
        <v>0.15620000000000001</v>
      </c>
      <c r="H21" s="76" t="s">
        <v>3149</v>
      </c>
      <c r="I21" s="77" t="s">
        <v>3361</v>
      </c>
    </row>
    <row r="22" spans="1:9" ht="15.75" customHeight="1" x14ac:dyDescent="0.25">
      <c r="A22" s="89" t="s">
        <v>3153</v>
      </c>
      <c r="B22" s="89" t="s">
        <v>174</v>
      </c>
      <c r="C22" s="90" t="s">
        <v>175</v>
      </c>
      <c r="D22" s="91">
        <v>64.349999999999994</v>
      </c>
      <c r="E22" s="32">
        <v>1.2869999999999999</v>
      </c>
      <c r="F22" s="29" t="s">
        <v>3154</v>
      </c>
      <c r="G22" s="92">
        <v>0.28699999999999998</v>
      </c>
      <c r="H22" s="76" t="s">
        <v>3149</v>
      </c>
      <c r="I22" s="77" t="s">
        <v>3361</v>
      </c>
    </row>
    <row r="24" spans="1:9" ht="18" customHeight="1" x14ac:dyDescent="0.25">
      <c r="A24" s="126" t="s">
        <v>3155</v>
      </c>
      <c r="B24" s="126"/>
      <c r="C24" s="126"/>
      <c r="D24" s="126"/>
      <c r="E24" s="126"/>
      <c r="F24" s="126"/>
      <c r="G24" s="126"/>
      <c r="H24" s="126"/>
      <c r="I24" s="126"/>
    </row>
    <row r="25" spans="1:9" ht="15.75" customHeight="1" x14ac:dyDescent="0.25">
      <c r="A25" s="72" t="s">
        <v>3156</v>
      </c>
      <c r="B25" s="72" t="s">
        <v>186</v>
      </c>
      <c r="C25" s="73" t="s">
        <v>187</v>
      </c>
      <c r="D25" s="74">
        <v>36.450000000000003</v>
      </c>
      <c r="E25" s="26">
        <v>0.75</v>
      </c>
      <c r="F25" s="53" t="s">
        <v>3148</v>
      </c>
      <c r="G25" s="75">
        <v>-0.25</v>
      </c>
      <c r="H25" s="76" t="s">
        <v>3157</v>
      </c>
      <c r="I25" s="29" t="s">
        <v>3360</v>
      </c>
    </row>
    <row r="26" spans="1:9" ht="15.75" customHeight="1" x14ac:dyDescent="0.25">
      <c r="A26" s="72" t="s">
        <v>3156</v>
      </c>
      <c r="B26" s="72" t="s">
        <v>204</v>
      </c>
      <c r="C26" s="73" t="s">
        <v>205</v>
      </c>
      <c r="D26" s="74">
        <v>38.26</v>
      </c>
      <c r="E26" s="26">
        <v>0.76519999999999999</v>
      </c>
      <c r="F26" s="53" t="s">
        <v>3148</v>
      </c>
      <c r="G26" s="75">
        <v>-0.23480000000000001</v>
      </c>
      <c r="H26" s="76" t="s">
        <v>3149</v>
      </c>
      <c r="I26" s="77" t="s">
        <v>3361</v>
      </c>
    </row>
    <row r="27" spans="1:9" ht="15.75" customHeight="1" x14ac:dyDescent="0.25">
      <c r="A27" s="72" t="s">
        <v>3156</v>
      </c>
      <c r="B27" s="72" t="s">
        <v>192</v>
      </c>
      <c r="C27" s="73" t="s">
        <v>193</v>
      </c>
      <c r="D27" s="74">
        <v>38.700000000000003</v>
      </c>
      <c r="E27" s="26">
        <v>0.77400000000000002</v>
      </c>
      <c r="F27" s="53" t="s">
        <v>3148</v>
      </c>
      <c r="G27" s="75">
        <v>-0.22600000000000001</v>
      </c>
      <c r="H27" s="76" t="s">
        <v>3149</v>
      </c>
      <c r="I27" s="77" t="s">
        <v>3361</v>
      </c>
    </row>
    <row r="28" spans="1:9" ht="15.75" customHeight="1" x14ac:dyDescent="0.25">
      <c r="A28" s="72" t="s">
        <v>3156</v>
      </c>
      <c r="B28" s="72" t="s">
        <v>202</v>
      </c>
      <c r="C28" s="73" t="s">
        <v>203</v>
      </c>
      <c r="D28" s="74">
        <v>38.840000000000003</v>
      </c>
      <c r="E28" s="26">
        <v>0.77680000000000005</v>
      </c>
      <c r="F28" s="53" t="s">
        <v>3148</v>
      </c>
      <c r="G28" s="75">
        <v>-0.22320000000000001</v>
      </c>
      <c r="H28" s="76" t="s">
        <v>3149</v>
      </c>
      <c r="I28" s="77" t="s">
        <v>3361</v>
      </c>
    </row>
    <row r="29" spans="1:9" ht="15.75" customHeight="1" x14ac:dyDescent="0.25">
      <c r="A29" s="82" t="s">
        <v>3156</v>
      </c>
      <c r="B29" s="82" t="s">
        <v>208</v>
      </c>
      <c r="C29" s="83" t="s">
        <v>209</v>
      </c>
      <c r="D29" s="41">
        <v>47.3</v>
      </c>
      <c r="E29" s="34">
        <v>0.94599999999999995</v>
      </c>
      <c r="F29" s="17" t="s">
        <v>841</v>
      </c>
      <c r="G29" s="84">
        <v>-5.3999999999999999E-2</v>
      </c>
      <c r="H29" s="76" t="s">
        <v>3149</v>
      </c>
      <c r="I29" s="77" t="s">
        <v>3361</v>
      </c>
    </row>
    <row r="30" spans="1:9" ht="15.75" customHeight="1" x14ac:dyDescent="0.25">
      <c r="A30" s="78" t="s">
        <v>3156</v>
      </c>
      <c r="B30" s="78" t="s">
        <v>200</v>
      </c>
      <c r="C30" s="79" t="s">
        <v>201</v>
      </c>
      <c r="D30" s="80">
        <v>56.39</v>
      </c>
      <c r="E30" s="23">
        <v>1.1277999999999999</v>
      </c>
      <c r="F30" s="47" t="s">
        <v>566</v>
      </c>
      <c r="G30" s="81">
        <v>0.1278</v>
      </c>
      <c r="H30" s="76" t="s">
        <v>3149</v>
      </c>
      <c r="I30" s="77" t="s">
        <v>3361</v>
      </c>
    </row>
    <row r="31" spans="1:9" ht="15.75" customHeight="1" x14ac:dyDescent="0.25">
      <c r="A31" s="89" t="s">
        <v>3156</v>
      </c>
      <c r="B31" s="89" t="s">
        <v>188</v>
      </c>
      <c r="C31" s="90" t="s">
        <v>189</v>
      </c>
      <c r="D31" s="91">
        <v>62.91</v>
      </c>
      <c r="E31" s="32">
        <v>1.2582</v>
      </c>
      <c r="F31" s="29" t="s">
        <v>3154</v>
      </c>
      <c r="G31" s="92">
        <v>0.25819999999999999</v>
      </c>
      <c r="H31" s="76" t="s">
        <v>3149</v>
      </c>
      <c r="I31" s="77" t="s">
        <v>3361</v>
      </c>
    </row>
    <row r="32" spans="1:9" ht="15.75" customHeight="1" x14ac:dyDescent="0.25">
      <c r="A32" s="89" t="s">
        <v>3156</v>
      </c>
      <c r="B32" s="89" t="s">
        <v>194</v>
      </c>
      <c r="C32" s="90" t="s">
        <v>195</v>
      </c>
      <c r="D32" s="91">
        <v>65.61</v>
      </c>
      <c r="E32" s="32">
        <v>1.3122</v>
      </c>
      <c r="F32" s="29" t="s">
        <v>3154</v>
      </c>
      <c r="G32" s="92">
        <v>0.31219999999999998</v>
      </c>
      <c r="H32" s="76" t="s">
        <v>3149</v>
      </c>
      <c r="I32" s="77" t="s">
        <v>3361</v>
      </c>
    </row>
    <row r="33" spans="1:9" ht="15.75" customHeight="1" x14ac:dyDescent="0.25">
      <c r="A33" s="89" t="s">
        <v>3156</v>
      </c>
      <c r="B33" s="89" t="s">
        <v>198</v>
      </c>
      <c r="C33" s="90" t="s">
        <v>199</v>
      </c>
      <c r="D33" s="91">
        <v>67.3</v>
      </c>
      <c r="E33" s="32">
        <v>1.3460000000000001</v>
      </c>
      <c r="F33" s="29" t="s">
        <v>3154</v>
      </c>
      <c r="G33" s="92">
        <v>0.34599999999999997</v>
      </c>
      <c r="H33" s="76" t="s">
        <v>3149</v>
      </c>
      <c r="I33" s="77" t="s">
        <v>3361</v>
      </c>
    </row>
    <row r="34" spans="1:9" ht="15.75" customHeight="1" x14ac:dyDescent="0.25">
      <c r="A34" s="89" t="s">
        <v>3156</v>
      </c>
      <c r="B34" s="89" t="s">
        <v>190</v>
      </c>
      <c r="C34" s="90" t="s">
        <v>191</v>
      </c>
      <c r="D34" s="91">
        <v>87.2</v>
      </c>
      <c r="E34" s="32">
        <v>1.4</v>
      </c>
      <c r="F34" s="29" t="s">
        <v>3154</v>
      </c>
      <c r="G34" s="92">
        <v>0.4</v>
      </c>
      <c r="H34" s="76" t="s">
        <v>3149</v>
      </c>
      <c r="I34" s="77" t="s">
        <v>3361</v>
      </c>
    </row>
    <row r="36" spans="1:9" ht="18" customHeight="1" x14ac:dyDescent="0.25">
      <c r="A36" s="126" t="s">
        <v>3158</v>
      </c>
      <c r="B36" s="126"/>
      <c r="C36" s="126"/>
      <c r="D36" s="126"/>
      <c r="E36" s="126"/>
      <c r="F36" s="126"/>
      <c r="G36" s="126"/>
      <c r="H36" s="126"/>
      <c r="I36" s="126"/>
    </row>
    <row r="37" spans="1:9" ht="15.75" customHeight="1" x14ac:dyDescent="0.25">
      <c r="A37" s="72" t="s">
        <v>3159</v>
      </c>
      <c r="B37" s="72" t="s">
        <v>220</v>
      </c>
      <c r="C37" s="73" t="s">
        <v>221</v>
      </c>
      <c r="D37" s="74">
        <v>28.54</v>
      </c>
      <c r="E37" s="26">
        <v>0.75</v>
      </c>
      <c r="F37" s="53" t="s">
        <v>3148</v>
      </c>
      <c r="G37" s="75">
        <v>-0.25</v>
      </c>
      <c r="H37" s="76" t="s">
        <v>3157</v>
      </c>
      <c r="I37" s="29" t="s">
        <v>3360</v>
      </c>
    </row>
    <row r="38" spans="1:9" ht="15.75" customHeight="1" x14ac:dyDescent="0.25">
      <c r="A38" s="72" t="s">
        <v>3159</v>
      </c>
      <c r="B38" s="72" t="s">
        <v>224</v>
      </c>
      <c r="C38" s="73" t="s">
        <v>225</v>
      </c>
      <c r="D38" s="74">
        <v>15.46</v>
      </c>
      <c r="E38" s="26">
        <v>0.75</v>
      </c>
      <c r="F38" s="53" t="s">
        <v>3148</v>
      </c>
      <c r="G38" s="75">
        <v>-0.25</v>
      </c>
      <c r="H38" s="76" t="s">
        <v>3157</v>
      </c>
      <c r="I38" s="29" t="s">
        <v>3360</v>
      </c>
    </row>
    <row r="39" spans="1:9" ht="15.75" customHeight="1" x14ac:dyDescent="0.25">
      <c r="A39" s="82" t="s">
        <v>3159</v>
      </c>
      <c r="B39" s="82" t="s">
        <v>216</v>
      </c>
      <c r="C39" s="83" t="s">
        <v>217</v>
      </c>
      <c r="D39" s="41">
        <v>44.55</v>
      </c>
      <c r="E39" s="34">
        <v>0.89100000000000001</v>
      </c>
      <c r="F39" s="17" t="s">
        <v>841</v>
      </c>
      <c r="G39" s="84">
        <v>-0.109</v>
      </c>
      <c r="H39" s="76" t="s">
        <v>3149</v>
      </c>
      <c r="I39" s="77" t="s">
        <v>3361</v>
      </c>
    </row>
    <row r="40" spans="1:9" ht="15.75" customHeight="1" x14ac:dyDescent="0.25">
      <c r="A40" s="78" t="s">
        <v>3159</v>
      </c>
      <c r="B40" s="78" t="s">
        <v>226</v>
      </c>
      <c r="C40" s="79" t="s">
        <v>227</v>
      </c>
      <c r="D40" s="80">
        <v>55.61</v>
      </c>
      <c r="E40" s="23">
        <v>1.1122000000000001</v>
      </c>
      <c r="F40" s="47" t="s">
        <v>566</v>
      </c>
      <c r="G40" s="81">
        <v>0.11219999999999999</v>
      </c>
      <c r="H40" s="76" t="s">
        <v>3149</v>
      </c>
      <c r="I40" s="77" t="s">
        <v>3361</v>
      </c>
    </row>
    <row r="41" spans="1:9" ht="15.75" customHeight="1" x14ac:dyDescent="0.25">
      <c r="A41" s="89" t="s">
        <v>3159</v>
      </c>
      <c r="B41" s="89" t="s">
        <v>222</v>
      </c>
      <c r="C41" s="90" t="s">
        <v>223</v>
      </c>
      <c r="D41" s="91">
        <v>69.86</v>
      </c>
      <c r="E41" s="32">
        <v>1.3972</v>
      </c>
      <c r="F41" s="29" t="s">
        <v>3154</v>
      </c>
      <c r="G41" s="92">
        <v>0.3972</v>
      </c>
      <c r="H41" s="76" t="s">
        <v>3149</v>
      </c>
      <c r="I41" s="77" t="s">
        <v>3361</v>
      </c>
    </row>
    <row r="42" spans="1:9" ht="15.75" customHeight="1" x14ac:dyDescent="0.25">
      <c r="A42" s="89" t="s">
        <v>3159</v>
      </c>
      <c r="B42" s="89" t="s">
        <v>218</v>
      </c>
      <c r="C42" s="90" t="s">
        <v>219</v>
      </c>
      <c r="D42" s="91">
        <v>76.650000000000006</v>
      </c>
      <c r="E42" s="32">
        <v>1.4</v>
      </c>
      <c r="F42" s="29" t="s">
        <v>3154</v>
      </c>
      <c r="G42" s="92">
        <v>0.4</v>
      </c>
      <c r="H42" s="76" t="s">
        <v>3149</v>
      </c>
      <c r="I42" s="77" t="s">
        <v>3361</v>
      </c>
    </row>
    <row r="44" spans="1:9" ht="18" customHeight="1" x14ac:dyDescent="0.25">
      <c r="A44" s="126" t="s">
        <v>3160</v>
      </c>
      <c r="B44" s="126"/>
      <c r="C44" s="126"/>
      <c r="D44" s="126"/>
      <c r="E44" s="126"/>
      <c r="F44" s="126"/>
      <c r="G44" s="126"/>
      <c r="H44" s="126"/>
      <c r="I44" s="126"/>
    </row>
    <row r="45" spans="1:9" ht="15.75" customHeight="1" x14ac:dyDescent="0.25">
      <c r="A45" s="72" t="s">
        <v>3161</v>
      </c>
      <c r="B45" s="72" t="s">
        <v>228</v>
      </c>
      <c r="C45" s="73" t="s">
        <v>229</v>
      </c>
      <c r="D45" s="74">
        <v>34.28</v>
      </c>
      <c r="E45" s="26">
        <v>0.75</v>
      </c>
      <c r="F45" s="53" t="s">
        <v>3148</v>
      </c>
      <c r="G45" s="75">
        <v>-0.25</v>
      </c>
      <c r="H45" s="76" t="s">
        <v>3157</v>
      </c>
      <c r="I45" s="29" t="s">
        <v>3360</v>
      </c>
    </row>
    <row r="46" spans="1:9" ht="15.75" customHeight="1" x14ac:dyDescent="0.25">
      <c r="A46" s="89" t="s">
        <v>3161</v>
      </c>
      <c r="B46" s="89" t="s">
        <v>230</v>
      </c>
      <c r="C46" s="90" t="s">
        <v>231</v>
      </c>
      <c r="D46" s="91">
        <v>72.02</v>
      </c>
      <c r="E46" s="32">
        <v>1.4</v>
      </c>
      <c r="F46" s="29" t="s">
        <v>3154</v>
      </c>
      <c r="G46" s="92">
        <v>0.4</v>
      </c>
      <c r="H46" s="76" t="s">
        <v>3149</v>
      </c>
      <c r="I46" s="77" t="s">
        <v>3361</v>
      </c>
    </row>
    <row r="48" spans="1:9" ht="18" customHeight="1" x14ac:dyDescent="0.25">
      <c r="A48" s="126" t="s">
        <v>3162</v>
      </c>
      <c r="B48" s="126"/>
      <c r="C48" s="126"/>
      <c r="D48" s="126"/>
      <c r="E48" s="126"/>
      <c r="F48" s="126"/>
      <c r="G48" s="126"/>
      <c r="H48" s="126"/>
      <c r="I48" s="126"/>
    </row>
    <row r="49" spans="1:9" ht="15.75" customHeight="1" x14ac:dyDescent="0.25">
      <c r="A49" s="72" t="s">
        <v>3163</v>
      </c>
      <c r="B49" s="72" t="s">
        <v>240</v>
      </c>
      <c r="C49" s="73" t="s">
        <v>241</v>
      </c>
      <c r="D49" s="74">
        <v>34.340000000000003</v>
      </c>
      <c r="E49" s="26">
        <v>0.75</v>
      </c>
      <c r="F49" s="53" t="s">
        <v>3148</v>
      </c>
      <c r="G49" s="75">
        <v>-0.25</v>
      </c>
      <c r="H49" s="76" t="s">
        <v>3157</v>
      </c>
      <c r="I49" s="29" t="s">
        <v>3360</v>
      </c>
    </row>
    <row r="50" spans="1:9" ht="15.75" customHeight="1" x14ac:dyDescent="0.25">
      <c r="A50" s="78" t="s">
        <v>3163</v>
      </c>
      <c r="B50" s="78" t="s">
        <v>242</v>
      </c>
      <c r="C50" s="79" t="s">
        <v>243</v>
      </c>
      <c r="D50" s="80">
        <v>59.38</v>
      </c>
      <c r="E50" s="23">
        <v>1.1876</v>
      </c>
      <c r="F50" s="47" t="s">
        <v>566</v>
      </c>
      <c r="G50" s="81">
        <v>0.18759999999999999</v>
      </c>
      <c r="H50" s="76" t="s">
        <v>3149</v>
      </c>
      <c r="I50" s="77" t="s">
        <v>3361</v>
      </c>
    </row>
    <row r="51" spans="1:9" ht="15.75" customHeight="1" x14ac:dyDescent="0.25">
      <c r="A51" s="89" t="s">
        <v>3163</v>
      </c>
      <c r="B51" s="89" t="s">
        <v>244</v>
      </c>
      <c r="C51" s="90" t="s">
        <v>245</v>
      </c>
      <c r="D51" s="91">
        <v>86.05</v>
      </c>
      <c r="E51" s="32">
        <v>1.4</v>
      </c>
      <c r="F51" s="29" t="s">
        <v>3154</v>
      </c>
      <c r="G51" s="92">
        <v>0.4</v>
      </c>
      <c r="H51" s="76" t="s">
        <v>3149</v>
      </c>
      <c r="I51" s="77" t="s">
        <v>3361</v>
      </c>
    </row>
    <row r="53" spans="1:9" ht="18" customHeight="1" x14ac:dyDescent="0.25">
      <c r="A53" s="126" t="s">
        <v>3164</v>
      </c>
      <c r="B53" s="126"/>
      <c r="C53" s="126"/>
      <c r="D53" s="126"/>
      <c r="E53" s="126"/>
      <c r="F53" s="126"/>
      <c r="G53" s="126"/>
      <c r="H53" s="126"/>
      <c r="I53" s="126"/>
    </row>
    <row r="54" spans="1:9" ht="15.75" customHeight="1" x14ac:dyDescent="0.25">
      <c r="A54" s="72" t="s">
        <v>3165</v>
      </c>
      <c r="B54" s="72" t="s">
        <v>246</v>
      </c>
      <c r="C54" s="73" t="s">
        <v>247</v>
      </c>
      <c r="D54" s="74">
        <v>17.36</v>
      </c>
      <c r="E54" s="26">
        <v>0.75</v>
      </c>
      <c r="F54" s="53" t="s">
        <v>3148</v>
      </c>
      <c r="G54" s="75">
        <v>-0.25</v>
      </c>
      <c r="H54" s="76" t="s">
        <v>3149</v>
      </c>
      <c r="I54" s="77" t="s">
        <v>3361</v>
      </c>
    </row>
    <row r="55" spans="1:9" ht="15.75" customHeight="1" x14ac:dyDescent="0.25">
      <c r="A55" s="78" t="s">
        <v>3165</v>
      </c>
      <c r="B55" s="78" t="s">
        <v>248</v>
      </c>
      <c r="C55" s="79" t="s">
        <v>249</v>
      </c>
      <c r="D55" s="80">
        <v>57.51</v>
      </c>
      <c r="E55" s="23">
        <v>1.1501999999999999</v>
      </c>
      <c r="F55" s="47" t="s">
        <v>566</v>
      </c>
      <c r="G55" s="81">
        <v>0.1502</v>
      </c>
      <c r="H55" s="76" t="s">
        <v>3149</v>
      </c>
      <c r="I55" s="77" t="s">
        <v>3361</v>
      </c>
    </row>
    <row r="57" spans="1:9" ht="18" customHeight="1" x14ac:dyDescent="0.25">
      <c r="A57" s="126" t="s">
        <v>3166</v>
      </c>
      <c r="B57" s="126"/>
      <c r="C57" s="126"/>
      <c r="D57" s="126"/>
      <c r="E57" s="126"/>
      <c r="F57" s="126"/>
      <c r="G57" s="126"/>
      <c r="H57" s="126"/>
      <c r="I57" s="126"/>
    </row>
    <row r="58" spans="1:9" ht="15.75" customHeight="1" x14ac:dyDescent="0.25">
      <c r="A58" s="72" t="s">
        <v>3167</v>
      </c>
      <c r="B58" s="72" t="s">
        <v>258</v>
      </c>
      <c r="C58" s="73" t="s">
        <v>259</v>
      </c>
      <c r="D58" s="74">
        <v>34.770000000000003</v>
      </c>
      <c r="E58" s="26">
        <v>0.75</v>
      </c>
      <c r="F58" s="53" t="s">
        <v>3148</v>
      </c>
      <c r="G58" s="75">
        <v>-0.25</v>
      </c>
      <c r="H58" s="76" t="s">
        <v>3168</v>
      </c>
      <c r="I58" s="29" t="s">
        <v>3360</v>
      </c>
    </row>
    <row r="59" spans="1:9" ht="15.75" customHeight="1" x14ac:dyDescent="0.25">
      <c r="A59" s="78" t="s">
        <v>3167</v>
      </c>
      <c r="B59" s="78" t="s">
        <v>252</v>
      </c>
      <c r="C59" s="79" t="s">
        <v>253</v>
      </c>
      <c r="D59" s="80">
        <v>53.95</v>
      </c>
      <c r="E59" s="23">
        <v>1.079</v>
      </c>
      <c r="F59" s="47" t="s">
        <v>566</v>
      </c>
      <c r="G59" s="81">
        <v>7.9000000000000001E-2</v>
      </c>
      <c r="H59" s="76" t="s">
        <v>3149</v>
      </c>
      <c r="I59" s="77" t="s">
        <v>3361</v>
      </c>
    </row>
    <row r="60" spans="1:9" ht="15.75" customHeight="1" x14ac:dyDescent="0.25">
      <c r="A60" s="89" t="s">
        <v>3167</v>
      </c>
      <c r="B60" s="89" t="s">
        <v>260</v>
      </c>
      <c r="C60" s="90" t="s">
        <v>261</v>
      </c>
      <c r="D60" s="91">
        <v>66.45</v>
      </c>
      <c r="E60" s="32">
        <v>1.329</v>
      </c>
      <c r="F60" s="29" t="s">
        <v>3154</v>
      </c>
      <c r="G60" s="92">
        <v>0.32900000000000001</v>
      </c>
      <c r="H60" s="76" t="s">
        <v>3149</v>
      </c>
      <c r="I60" s="77" t="s">
        <v>3361</v>
      </c>
    </row>
    <row r="61" spans="1:9" ht="15.75" customHeight="1" x14ac:dyDescent="0.25">
      <c r="A61" s="89" t="s">
        <v>3167</v>
      </c>
      <c r="B61" s="89" t="s">
        <v>254</v>
      </c>
      <c r="C61" s="90" t="s">
        <v>255</v>
      </c>
      <c r="D61" s="91">
        <v>73.38</v>
      </c>
      <c r="E61" s="32">
        <v>1.4</v>
      </c>
      <c r="F61" s="29" t="s">
        <v>3154</v>
      </c>
      <c r="G61" s="92">
        <v>0.4</v>
      </c>
      <c r="H61" s="76" t="s">
        <v>3149</v>
      </c>
      <c r="I61" s="77" t="s">
        <v>3361</v>
      </c>
    </row>
    <row r="62" spans="1:9" ht="15.75" customHeight="1" x14ac:dyDescent="0.25">
      <c r="A62" s="89" t="s">
        <v>3167</v>
      </c>
      <c r="B62" s="89" t="s">
        <v>256</v>
      </c>
      <c r="C62" s="90" t="s">
        <v>257</v>
      </c>
      <c r="D62" s="91">
        <v>83.97</v>
      </c>
      <c r="E62" s="32">
        <v>1.4</v>
      </c>
      <c r="F62" s="29" t="s">
        <v>3154</v>
      </c>
      <c r="G62" s="92">
        <v>0.4</v>
      </c>
      <c r="H62" s="76" t="s">
        <v>3149</v>
      </c>
      <c r="I62" s="77" t="s">
        <v>3361</v>
      </c>
    </row>
    <row r="64" spans="1:9" ht="18" customHeight="1" x14ac:dyDescent="0.25">
      <c r="A64" s="126" t="s">
        <v>3169</v>
      </c>
      <c r="B64" s="126"/>
      <c r="C64" s="126"/>
      <c r="D64" s="126"/>
      <c r="E64" s="126"/>
      <c r="F64" s="126"/>
      <c r="G64" s="126"/>
      <c r="H64" s="126"/>
      <c r="I64" s="126"/>
    </row>
    <row r="65" spans="1:9" ht="15.75" customHeight="1" x14ac:dyDescent="0.25">
      <c r="A65" s="82" t="s">
        <v>3170</v>
      </c>
      <c r="B65" s="82" t="s">
        <v>274</v>
      </c>
      <c r="C65" s="83" t="s">
        <v>275</v>
      </c>
      <c r="D65" s="41">
        <v>46.32</v>
      </c>
      <c r="E65" s="34">
        <v>0.9264</v>
      </c>
      <c r="F65" s="17" t="s">
        <v>841</v>
      </c>
      <c r="G65" s="84">
        <v>-7.3599999999999999E-2</v>
      </c>
      <c r="H65" s="76" t="s">
        <v>3171</v>
      </c>
      <c r="I65" s="77" t="s">
        <v>3361</v>
      </c>
    </row>
    <row r="66" spans="1:9" ht="15.75" customHeight="1" x14ac:dyDescent="0.25">
      <c r="A66" s="85" t="s">
        <v>3170</v>
      </c>
      <c r="B66" s="85" t="s">
        <v>272</v>
      </c>
      <c r="C66" s="86" t="s">
        <v>273</v>
      </c>
      <c r="D66" s="87">
        <v>48.09</v>
      </c>
      <c r="E66" s="33">
        <v>0.96179999999999999</v>
      </c>
      <c r="F66" s="57" t="s">
        <v>477</v>
      </c>
      <c r="G66" s="88">
        <v>-3.8199999999999998E-2</v>
      </c>
      <c r="H66" s="76" t="s">
        <v>3171</v>
      </c>
      <c r="I66" s="77" t="s">
        <v>3361</v>
      </c>
    </row>
    <row r="67" spans="1:9" ht="15.75" customHeight="1" x14ac:dyDescent="0.25">
      <c r="A67" s="85" t="s">
        <v>3170</v>
      </c>
      <c r="B67" s="85" t="s">
        <v>268</v>
      </c>
      <c r="C67" s="86" t="s">
        <v>269</v>
      </c>
      <c r="D67" s="87">
        <v>48.17</v>
      </c>
      <c r="E67" s="33">
        <v>0.96340000000000003</v>
      </c>
      <c r="F67" s="57" t="s">
        <v>477</v>
      </c>
      <c r="G67" s="88">
        <v>-3.6600000000000001E-2</v>
      </c>
      <c r="H67" s="76" t="s">
        <v>3171</v>
      </c>
      <c r="I67" s="77" t="s">
        <v>3361</v>
      </c>
    </row>
    <row r="68" spans="1:9" ht="15.75" customHeight="1" x14ac:dyDescent="0.25">
      <c r="A68" s="89" t="s">
        <v>3170</v>
      </c>
      <c r="B68" s="89" t="s">
        <v>270</v>
      </c>
      <c r="C68" s="90" t="s">
        <v>271</v>
      </c>
      <c r="D68" s="91">
        <v>81.44</v>
      </c>
      <c r="E68" s="32">
        <v>1.4</v>
      </c>
      <c r="F68" s="29" t="s">
        <v>3154</v>
      </c>
      <c r="G68" s="92">
        <v>0.4</v>
      </c>
      <c r="H68" s="76" t="s">
        <v>3171</v>
      </c>
      <c r="I68" s="77" t="s">
        <v>3361</v>
      </c>
    </row>
    <row r="70" spans="1:9" ht="18" customHeight="1" x14ac:dyDescent="0.25">
      <c r="A70" s="126" t="s">
        <v>3172</v>
      </c>
      <c r="B70" s="126"/>
      <c r="C70" s="126"/>
      <c r="D70" s="126"/>
      <c r="E70" s="126"/>
      <c r="F70" s="126"/>
      <c r="G70" s="126"/>
      <c r="H70" s="126"/>
      <c r="I70" s="126"/>
    </row>
    <row r="71" spans="1:9" ht="15.75" customHeight="1" x14ac:dyDescent="0.25">
      <c r="A71" s="72" t="s">
        <v>3173</v>
      </c>
      <c r="B71" s="72" t="s">
        <v>290</v>
      </c>
      <c r="C71" s="73" t="s">
        <v>291</v>
      </c>
      <c r="D71" s="74">
        <v>34.979999999999997</v>
      </c>
      <c r="E71" s="26">
        <v>0.75</v>
      </c>
      <c r="F71" s="53" t="s">
        <v>3148</v>
      </c>
      <c r="G71" s="75">
        <v>-0.25</v>
      </c>
      <c r="H71" s="76" t="s">
        <v>3157</v>
      </c>
      <c r="I71" s="29" t="s">
        <v>3360</v>
      </c>
    </row>
    <row r="72" spans="1:9" ht="15.75" customHeight="1" x14ac:dyDescent="0.25">
      <c r="A72" s="72" t="s">
        <v>3173</v>
      </c>
      <c r="B72" s="72" t="s">
        <v>304</v>
      </c>
      <c r="C72" s="73" t="s">
        <v>305</v>
      </c>
      <c r="D72" s="74">
        <v>18.98</v>
      </c>
      <c r="E72" s="26">
        <v>0.75</v>
      </c>
      <c r="F72" s="53" t="s">
        <v>3148</v>
      </c>
      <c r="G72" s="75">
        <v>-0.25</v>
      </c>
      <c r="H72" s="76" t="s">
        <v>3174</v>
      </c>
      <c r="I72" s="77" t="s">
        <v>3361</v>
      </c>
    </row>
    <row r="73" spans="1:9" ht="15.75" customHeight="1" x14ac:dyDescent="0.25">
      <c r="A73" s="72" t="s">
        <v>3173</v>
      </c>
      <c r="B73" s="72" t="s">
        <v>306</v>
      </c>
      <c r="C73" s="73" t="s">
        <v>307</v>
      </c>
      <c r="D73" s="74">
        <v>41.16</v>
      </c>
      <c r="E73" s="26">
        <v>0.82320000000000004</v>
      </c>
      <c r="F73" s="53" t="s">
        <v>3148</v>
      </c>
      <c r="G73" s="75">
        <v>-0.17680000000000001</v>
      </c>
      <c r="H73" s="76" t="s">
        <v>3174</v>
      </c>
      <c r="I73" s="77" t="s">
        <v>3361</v>
      </c>
    </row>
    <row r="74" spans="1:9" ht="15.75" customHeight="1" x14ac:dyDescent="0.25">
      <c r="A74" s="72" t="s">
        <v>3173</v>
      </c>
      <c r="B74" s="72" t="s">
        <v>296</v>
      </c>
      <c r="C74" s="73" t="s">
        <v>297</v>
      </c>
      <c r="D74" s="74">
        <v>41.5</v>
      </c>
      <c r="E74" s="26">
        <v>0.83</v>
      </c>
      <c r="F74" s="53" t="s">
        <v>3148</v>
      </c>
      <c r="G74" s="75">
        <v>-0.17</v>
      </c>
      <c r="H74" s="76" t="s">
        <v>3149</v>
      </c>
      <c r="I74" s="77" t="s">
        <v>3361</v>
      </c>
    </row>
    <row r="75" spans="1:9" ht="15.75" customHeight="1" x14ac:dyDescent="0.25">
      <c r="A75" s="78" t="s">
        <v>3173</v>
      </c>
      <c r="B75" s="78" t="s">
        <v>298</v>
      </c>
      <c r="C75" s="79" t="s">
        <v>299</v>
      </c>
      <c r="D75" s="80">
        <v>59.21</v>
      </c>
      <c r="E75" s="23">
        <v>1.1841999999999999</v>
      </c>
      <c r="F75" s="47" t="s">
        <v>566</v>
      </c>
      <c r="G75" s="81">
        <v>0.1842</v>
      </c>
      <c r="H75" s="76" t="s">
        <v>3174</v>
      </c>
      <c r="I75" s="77" t="s">
        <v>3361</v>
      </c>
    </row>
    <row r="76" spans="1:9" ht="15.75" customHeight="1" x14ac:dyDescent="0.25">
      <c r="A76" s="78" t="s">
        <v>3173</v>
      </c>
      <c r="B76" s="78" t="s">
        <v>288</v>
      </c>
      <c r="C76" s="79" t="s">
        <v>289</v>
      </c>
      <c r="D76" s="80">
        <v>59.74</v>
      </c>
      <c r="E76" s="23">
        <v>1.1948000000000001</v>
      </c>
      <c r="F76" s="47" t="s">
        <v>566</v>
      </c>
      <c r="G76" s="81">
        <v>0.1948</v>
      </c>
      <c r="H76" s="76" t="s">
        <v>3149</v>
      </c>
      <c r="I76" s="77" t="s">
        <v>3361</v>
      </c>
    </row>
    <row r="77" spans="1:9" ht="15.75" customHeight="1" x14ac:dyDescent="0.25">
      <c r="A77" s="89" t="s">
        <v>3173</v>
      </c>
      <c r="B77" s="89" t="s">
        <v>302</v>
      </c>
      <c r="C77" s="90" t="s">
        <v>303</v>
      </c>
      <c r="D77" s="91">
        <v>69.900000000000006</v>
      </c>
      <c r="E77" s="32">
        <v>1.3979999999999999</v>
      </c>
      <c r="F77" s="29" t="s">
        <v>3154</v>
      </c>
      <c r="G77" s="92">
        <v>0.39800000000000002</v>
      </c>
      <c r="H77" s="76" t="s">
        <v>3174</v>
      </c>
      <c r="I77" s="77" t="s">
        <v>3361</v>
      </c>
    </row>
    <row r="78" spans="1:9" ht="15.75" customHeight="1" x14ac:dyDescent="0.25">
      <c r="A78" s="89" t="s">
        <v>3173</v>
      </c>
      <c r="B78" s="89" t="s">
        <v>292</v>
      </c>
      <c r="C78" s="90" t="s">
        <v>293</v>
      </c>
      <c r="D78" s="91">
        <v>92.16</v>
      </c>
      <c r="E78" s="32">
        <v>1.4</v>
      </c>
      <c r="F78" s="29" t="s">
        <v>3154</v>
      </c>
      <c r="G78" s="92">
        <v>0.4</v>
      </c>
      <c r="H78" s="76" t="s">
        <v>3149</v>
      </c>
      <c r="I78" s="77" t="s">
        <v>3361</v>
      </c>
    </row>
    <row r="79" spans="1:9" ht="15.75" customHeight="1" x14ac:dyDescent="0.25">
      <c r="A79" s="89" t="s">
        <v>3173</v>
      </c>
      <c r="B79" s="89" t="s">
        <v>294</v>
      </c>
      <c r="C79" s="90" t="s">
        <v>295</v>
      </c>
      <c r="D79" s="91">
        <v>72.31</v>
      </c>
      <c r="E79" s="32">
        <v>1.4</v>
      </c>
      <c r="F79" s="29" t="s">
        <v>3154</v>
      </c>
      <c r="G79" s="92">
        <v>0.4</v>
      </c>
      <c r="H79" s="76" t="s">
        <v>3149</v>
      </c>
      <c r="I79" s="77" t="s">
        <v>3361</v>
      </c>
    </row>
    <row r="80" spans="1:9" ht="15.75" customHeight="1" x14ac:dyDescent="0.25">
      <c r="A80" s="89" t="s">
        <v>3173</v>
      </c>
      <c r="B80" s="89" t="s">
        <v>300</v>
      </c>
      <c r="C80" s="90" t="s">
        <v>301</v>
      </c>
      <c r="D80" s="91">
        <v>90.27</v>
      </c>
      <c r="E80" s="32">
        <v>1.4</v>
      </c>
      <c r="F80" s="29" t="s">
        <v>3154</v>
      </c>
      <c r="G80" s="92">
        <v>0.4</v>
      </c>
      <c r="H80" s="76" t="s">
        <v>3175</v>
      </c>
      <c r="I80" s="77" t="s">
        <v>3361</v>
      </c>
    </row>
    <row r="82" spans="1:9" ht="18" customHeight="1" x14ac:dyDescent="0.25">
      <c r="A82" s="126" t="s">
        <v>3176</v>
      </c>
      <c r="B82" s="126"/>
      <c r="C82" s="126"/>
      <c r="D82" s="126"/>
      <c r="E82" s="126"/>
      <c r="F82" s="126"/>
      <c r="G82" s="126"/>
      <c r="H82" s="126"/>
      <c r="I82" s="126"/>
    </row>
    <row r="83" spans="1:9" ht="15.75" customHeight="1" x14ac:dyDescent="0.25">
      <c r="A83" s="82" t="s">
        <v>3177</v>
      </c>
      <c r="B83" s="82" t="s">
        <v>320</v>
      </c>
      <c r="C83" s="83" t="s">
        <v>321</v>
      </c>
      <c r="D83" s="41">
        <v>47.39</v>
      </c>
      <c r="E83" s="34">
        <v>0.94779999999999998</v>
      </c>
      <c r="F83" s="17" t="s">
        <v>841</v>
      </c>
      <c r="G83" s="84">
        <v>-5.2200000000000003E-2</v>
      </c>
      <c r="H83" s="76" t="s">
        <v>3175</v>
      </c>
      <c r="I83" s="77" t="s">
        <v>3361</v>
      </c>
    </row>
    <row r="84" spans="1:9" ht="15.75" customHeight="1" x14ac:dyDescent="0.25">
      <c r="A84" s="78" t="s">
        <v>3177</v>
      </c>
      <c r="B84" s="78" t="s">
        <v>314</v>
      </c>
      <c r="C84" s="79" t="s">
        <v>315</v>
      </c>
      <c r="D84" s="80">
        <v>59.79</v>
      </c>
      <c r="E84" s="23">
        <v>1.1958</v>
      </c>
      <c r="F84" s="47" t="s">
        <v>566</v>
      </c>
      <c r="G84" s="81">
        <v>0.1958</v>
      </c>
      <c r="H84" s="76" t="s">
        <v>3175</v>
      </c>
      <c r="I84" s="77" t="s">
        <v>3361</v>
      </c>
    </row>
    <row r="85" spans="1:9" ht="15.75" customHeight="1" x14ac:dyDescent="0.25">
      <c r="A85" s="89" t="s">
        <v>3177</v>
      </c>
      <c r="B85" s="89" t="s">
        <v>310</v>
      </c>
      <c r="C85" s="90" t="s">
        <v>311</v>
      </c>
      <c r="D85" s="91">
        <v>64.61</v>
      </c>
      <c r="E85" s="32">
        <v>1.2922</v>
      </c>
      <c r="F85" s="29" t="s">
        <v>3154</v>
      </c>
      <c r="G85" s="92">
        <v>0.29220000000000002</v>
      </c>
      <c r="H85" s="76" t="s">
        <v>3174</v>
      </c>
      <c r="I85" s="77" t="s">
        <v>3361</v>
      </c>
    </row>
    <row r="86" spans="1:9" ht="15.75" customHeight="1" x14ac:dyDescent="0.25">
      <c r="A86" s="89" t="s">
        <v>3177</v>
      </c>
      <c r="B86" s="89" t="s">
        <v>318</v>
      </c>
      <c r="C86" s="90" t="s">
        <v>319</v>
      </c>
      <c r="D86" s="91">
        <v>67.67</v>
      </c>
      <c r="E86" s="32">
        <v>1.3533999999999999</v>
      </c>
      <c r="F86" s="29" t="s">
        <v>3154</v>
      </c>
      <c r="G86" s="92">
        <v>0.35339999999999999</v>
      </c>
      <c r="H86" s="76" t="s">
        <v>3174</v>
      </c>
      <c r="I86" s="77" t="s">
        <v>3361</v>
      </c>
    </row>
    <row r="87" spans="1:9" ht="15.75" customHeight="1" x14ac:dyDescent="0.25">
      <c r="A87" s="89" t="s">
        <v>3177</v>
      </c>
      <c r="B87" s="89" t="s">
        <v>308</v>
      </c>
      <c r="C87" s="90" t="s">
        <v>309</v>
      </c>
      <c r="D87" s="91">
        <v>87.1</v>
      </c>
      <c r="E87" s="32">
        <v>1.4</v>
      </c>
      <c r="F87" s="29" t="s">
        <v>3154</v>
      </c>
      <c r="G87" s="92">
        <v>0.4</v>
      </c>
      <c r="H87" s="76" t="s">
        <v>3175</v>
      </c>
      <c r="I87" s="77" t="s">
        <v>3361</v>
      </c>
    </row>
    <row r="88" spans="1:9" ht="15.75" customHeight="1" x14ac:dyDescent="0.25">
      <c r="A88" s="89" t="s">
        <v>3177</v>
      </c>
      <c r="B88" s="89" t="s">
        <v>312</v>
      </c>
      <c r="C88" s="90" t="s">
        <v>313</v>
      </c>
      <c r="D88" s="91">
        <v>84.3</v>
      </c>
      <c r="E88" s="32">
        <v>1.4</v>
      </c>
      <c r="F88" s="29" t="s">
        <v>3154</v>
      </c>
      <c r="G88" s="92">
        <v>0.4</v>
      </c>
      <c r="H88" s="76" t="s">
        <v>3175</v>
      </c>
      <c r="I88" s="77" t="s">
        <v>3361</v>
      </c>
    </row>
    <row r="89" spans="1:9" ht="15.75" customHeight="1" x14ac:dyDescent="0.25">
      <c r="A89" s="89" t="s">
        <v>3177</v>
      </c>
      <c r="B89" s="89" t="s">
        <v>316</v>
      </c>
      <c r="C89" s="90" t="s">
        <v>317</v>
      </c>
      <c r="D89" s="91">
        <v>99.89</v>
      </c>
      <c r="E89" s="32">
        <v>1.4</v>
      </c>
      <c r="F89" s="29" t="s">
        <v>3154</v>
      </c>
      <c r="G89" s="92">
        <v>0.4</v>
      </c>
      <c r="H89" s="76" t="s">
        <v>3175</v>
      </c>
      <c r="I89" s="77" t="s">
        <v>3361</v>
      </c>
    </row>
    <row r="91" spans="1:9" ht="18" customHeight="1" x14ac:dyDescent="0.25">
      <c r="A91" s="126" t="s">
        <v>3178</v>
      </c>
      <c r="B91" s="126"/>
      <c r="C91" s="126"/>
      <c r="D91" s="126"/>
      <c r="E91" s="126"/>
      <c r="F91" s="126"/>
      <c r="G91" s="126"/>
      <c r="H91" s="126"/>
      <c r="I91" s="126"/>
    </row>
    <row r="92" spans="1:9" ht="15.75" customHeight="1" x14ac:dyDescent="0.25">
      <c r="A92" s="72" t="s">
        <v>3179</v>
      </c>
      <c r="B92" s="72" t="s">
        <v>330</v>
      </c>
      <c r="C92" s="73" t="s">
        <v>331</v>
      </c>
      <c r="D92" s="74">
        <v>29.38</v>
      </c>
      <c r="E92" s="26">
        <v>0.75</v>
      </c>
      <c r="F92" s="53" t="s">
        <v>3148</v>
      </c>
      <c r="G92" s="75">
        <v>-0.25</v>
      </c>
      <c r="H92" s="76" t="s">
        <v>3171</v>
      </c>
      <c r="I92" s="77" t="s">
        <v>3361</v>
      </c>
    </row>
    <row r="93" spans="1:9" ht="15.75" customHeight="1" x14ac:dyDescent="0.25">
      <c r="A93" s="85" t="s">
        <v>3179</v>
      </c>
      <c r="B93" s="85" t="s">
        <v>326</v>
      </c>
      <c r="C93" s="86" t="s">
        <v>327</v>
      </c>
      <c r="D93" s="87">
        <v>49.14</v>
      </c>
      <c r="E93" s="33">
        <v>0.98280000000000001</v>
      </c>
      <c r="F93" s="57" t="s">
        <v>477</v>
      </c>
      <c r="G93" s="88">
        <v>-1.72E-2</v>
      </c>
      <c r="H93" s="76" t="s">
        <v>3175</v>
      </c>
      <c r="I93" s="77" t="s">
        <v>3361</v>
      </c>
    </row>
    <row r="94" spans="1:9" ht="15.75" customHeight="1" x14ac:dyDescent="0.25">
      <c r="A94" s="89" t="s">
        <v>3179</v>
      </c>
      <c r="B94" s="89" t="s">
        <v>324</v>
      </c>
      <c r="C94" s="90" t="s">
        <v>325</v>
      </c>
      <c r="D94" s="91">
        <v>84.09</v>
      </c>
      <c r="E94" s="32">
        <v>1.4</v>
      </c>
      <c r="F94" s="29" t="s">
        <v>3154</v>
      </c>
      <c r="G94" s="92">
        <v>0.4</v>
      </c>
      <c r="H94" s="76" t="s">
        <v>3175</v>
      </c>
      <c r="I94" s="77" t="s">
        <v>3361</v>
      </c>
    </row>
    <row r="95" spans="1:9" ht="15.75" customHeight="1" x14ac:dyDescent="0.25">
      <c r="A95" s="89" t="s">
        <v>3179</v>
      </c>
      <c r="B95" s="89" t="s">
        <v>328</v>
      </c>
      <c r="C95" s="90" t="s">
        <v>329</v>
      </c>
      <c r="D95" s="91">
        <v>99.75</v>
      </c>
      <c r="E95" s="32">
        <v>1.4</v>
      </c>
      <c r="F95" s="29" t="s">
        <v>3154</v>
      </c>
      <c r="G95" s="92">
        <v>0.4</v>
      </c>
      <c r="H95" s="76" t="s">
        <v>3175</v>
      </c>
      <c r="I95" s="77" t="s">
        <v>3361</v>
      </c>
    </row>
    <row r="97" spans="1:9" ht="18" customHeight="1" x14ac:dyDescent="0.25">
      <c r="A97" s="126" t="s">
        <v>3180</v>
      </c>
      <c r="B97" s="126"/>
      <c r="C97" s="126"/>
      <c r="D97" s="126"/>
      <c r="E97" s="126"/>
      <c r="F97" s="126"/>
      <c r="G97" s="126"/>
      <c r="H97" s="126"/>
      <c r="I97" s="126"/>
    </row>
    <row r="98" spans="1:9" ht="15.75" customHeight="1" x14ac:dyDescent="0.25">
      <c r="A98" s="72" t="s">
        <v>3181</v>
      </c>
      <c r="B98" s="72" t="s">
        <v>334</v>
      </c>
      <c r="C98" s="73" t="s">
        <v>335</v>
      </c>
      <c r="D98" s="74">
        <v>30.77</v>
      </c>
      <c r="E98" s="26">
        <v>0.75</v>
      </c>
      <c r="F98" s="53" t="s">
        <v>3148</v>
      </c>
      <c r="G98" s="75">
        <v>-0.25</v>
      </c>
      <c r="H98" s="76" t="s">
        <v>3175</v>
      </c>
      <c r="I98" s="77" t="s">
        <v>3361</v>
      </c>
    </row>
    <row r="99" spans="1:9" ht="15.75" customHeight="1" x14ac:dyDescent="0.25">
      <c r="A99" s="89" t="s">
        <v>3181</v>
      </c>
      <c r="B99" s="89" t="s">
        <v>332</v>
      </c>
      <c r="C99" s="90" t="s">
        <v>333</v>
      </c>
      <c r="D99" s="91">
        <v>63.78</v>
      </c>
      <c r="E99" s="32">
        <v>1.2756000000000001</v>
      </c>
      <c r="F99" s="29" t="s">
        <v>3154</v>
      </c>
      <c r="G99" s="92">
        <v>0.27560000000000001</v>
      </c>
      <c r="H99" s="76" t="s">
        <v>3175</v>
      </c>
      <c r="I99" s="77" t="s">
        <v>3361</v>
      </c>
    </row>
    <row r="101" spans="1:9" ht="18" customHeight="1" x14ac:dyDescent="0.25">
      <c r="A101" s="126" t="s">
        <v>3182</v>
      </c>
      <c r="B101" s="126"/>
      <c r="C101" s="126"/>
      <c r="D101" s="126"/>
      <c r="E101" s="126"/>
      <c r="F101" s="126"/>
      <c r="G101" s="126"/>
      <c r="H101" s="126"/>
      <c r="I101" s="126"/>
    </row>
    <row r="102" spans="1:9" ht="15.75" customHeight="1" x14ac:dyDescent="0.25">
      <c r="A102" s="72" t="s">
        <v>3183</v>
      </c>
      <c r="B102" s="72" t="s">
        <v>346</v>
      </c>
      <c r="C102" s="73" t="s">
        <v>347</v>
      </c>
      <c r="D102" s="74">
        <v>26.66</v>
      </c>
      <c r="E102" s="26">
        <v>0.75</v>
      </c>
      <c r="F102" s="53" t="s">
        <v>3148</v>
      </c>
      <c r="G102" s="75">
        <v>-0.25</v>
      </c>
      <c r="H102" s="76" t="s">
        <v>3171</v>
      </c>
      <c r="I102" s="77" t="s">
        <v>3361</v>
      </c>
    </row>
    <row r="103" spans="1:9" ht="15.75" customHeight="1" x14ac:dyDescent="0.25">
      <c r="A103" s="72" t="s">
        <v>3183</v>
      </c>
      <c r="B103" s="72" t="s">
        <v>348</v>
      </c>
      <c r="C103" s="73" t="s">
        <v>349</v>
      </c>
      <c r="D103" s="74">
        <v>9</v>
      </c>
      <c r="E103" s="26">
        <v>0.75</v>
      </c>
      <c r="F103" s="53" t="s">
        <v>3148</v>
      </c>
      <c r="G103" s="75">
        <v>-0.25</v>
      </c>
      <c r="H103" s="76" t="s">
        <v>3157</v>
      </c>
      <c r="I103" s="29" t="s">
        <v>3360</v>
      </c>
    </row>
    <row r="104" spans="1:9" ht="15.75" customHeight="1" x14ac:dyDescent="0.25">
      <c r="A104" s="72" t="s">
        <v>3183</v>
      </c>
      <c r="B104" s="72" t="s">
        <v>340</v>
      </c>
      <c r="C104" s="73" t="s">
        <v>341</v>
      </c>
      <c r="D104" s="74">
        <v>39.22</v>
      </c>
      <c r="E104" s="26">
        <v>0.78439999999999999</v>
      </c>
      <c r="F104" s="53" t="s">
        <v>3148</v>
      </c>
      <c r="G104" s="75">
        <v>-0.21560000000000001</v>
      </c>
      <c r="H104" s="76" t="s">
        <v>3149</v>
      </c>
      <c r="I104" s="77" t="s">
        <v>3361</v>
      </c>
    </row>
    <row r="105" spans="1:9" ht="15.75" customHeight="1" x14ac:dyDescent="0.25">
      <c r="A105" s="89" t="s">
        <v>3183</v>
      </c>
      <c r="B105" s="89" t="s">
        <v>344</v>
      </c>
      <c r="C105" s="90" t="s">
        <v>345</v>
      </c>
      <c r="D105" s="91">
        <v>85.31</v>
      </c>
      <c r="E105" s="32">
        <v>1.4</v>
      </c>
      <c r="F105" s="29" t="s">
        <v>3154</v>
      </c>
      <c r="G105" s="92">
        <v>0.4</v>
      </c>
      <c r="H105" s="76" t="s">
        <v>3168</v>
      </c>
      <c r="I105" s="29" t="s">
        <v>3360</v>
      </c>
    </row>
    <row r="107" spans="1:9" ht="18" customHeight="1" x14ac:dyDescent="0.25">
      <c r="A107" s="126" t="s">
        <v>3184</v>
      </c>
      <c r="B107" s="126"/>
      <c r="C107" s="126"/>
      <c r="D107" s="126"/>
      <c r="E107" s="126"/>
      <c r="F107" s="126"/>
      <c r="G107" s="126"/>
      <c r="H107" s="126"/>
      <c r="I107" s="126"/>
    </row>
    <row r="108" spans="1:9" ht="15.75" customHeight="1" x14ac:dyDescent="0.25">
      <c r="A108" s="72" t="s">
        <v>3185</v>
      </c>
      <c r="B108" s="72" t="s">
        <v>378</v>
      </c>
      <c r="C108" s="73" t="s">
        <v>379</v>
      </c>
      <c r="D108" s="74">
        <v>8.8699999999999992</v>
      </c>
      <c r="E108" s="26">
        <v>0.75</v>
      </c>
      <c r="F108" s="53" t="s">
        <v>3148</v>
      </c>
      <c r="G108" s="75">
        <v>-0.25</v>
      </c>
      <c r="H108" s="76" t="s">
        <v>3175</v>
      </c>
      <c r="I108" s="77" t="s">
        <v>3361</v>
      </c>
    </row>
    <row r="109" spans="1:9" ht="15.75" customHeight="1" x14ac:dyDescent="0.25">
      <c r="A109" s="89" t="s">
        <v>3185</v>
      </c>
      <c r="B109" s="89" t="s">
        <v>380</v>
      </c>
      <c r="C109" s="90" t="s">
        <v>381</v>
      </c>
      <c r="D109" s="91">
        <v>78.989999999999995</v>
      </c>
      <c r="E109" s="32">
        <v>1.4</v>
      </c>
      <c r="F109" s="29" t="s">
        <v>3154</v>
      </c>
      <c r="G109" s="92">
        <v>0.4</v>
      </c>
      <c r="H109" s="76" t="s">
        <v>3171</v>
      </c>
      <c r="I109" s="77" t="s">
        <v>3361</v>
      </c>
    </row>
    <row r="111" spans="1:9" ht="18" customHeight="1" x14ac:dyDescent="0.25">
      <c r="A111" s="126" t="s">
        <v>3186</v>
      </c>
      <c r="B111" s="126"/>
      <c r="C111" s="126"/>
      <c r="D111" s="126"/>
      <c r="E111" s="126"/>
      <c r="F111" s="126"/>
      <c r="G111" s="126"/>
      <c r="H111" s="126"/>
      <c r="I111" s="126"/>
    </row>
    <row r="112" spans="1:9" ht="15.75" customHeight="1" x14ac:dyDescent="0.25">
      <c r="A112" s="72" t="s">
        <v>3187</v>
      </c>
      <c r="B112" s="72" t="s">
        <v>397</v>
      </c>
      <c r="C112" s="73" t="s">
        <v>398</v>
      </c>
      <c r="D112" s="74">
        <v>10.08</v>
      </c>
      <c r="E112" s="26">
        <v>0.75</v>
      </c>
      <c r="F112" s="53" t="s">
        <v>3148</v>
      </c>
      <c r="G112" s="75">
        <v>-0.25</v>
      </c>
      <c r="H112" s="76" t="s">
        <v>3175</v>
      </c>
      <c r="I112" s="77" t="s">
        <v>3361</v>
      </c>
    </row>
    <row r="113" spans="1:9" ht="15.75" customHeight="1" x14ac:dyDescent="0.25">
      <c r="A113" s="72" t="s">
        <v>3187</v>
      </c>
      <c r="B113" s="72" t="s">
        <v>399</v>
      </c>
      <c r="C113" s="73" t="s">
        <v>400</v>
      </c>
      <c r="D113" s="74">
        <v>8.2899999999999991</v>
      </c>
      <c r="E113" s="26">
        <v>0.75</v>
      </c>
      <c r="F113" s="53" t="s">
        <v>3148</v>
      </c>
      <c r="G113" s="75">
        <v>-0.25</v>
      </c>
      <c r="H113" s="76" t="s">
        <v>3175</v>
      </c>
      <c r="I113" s="77" t="s">
        <v>3361</v>
      </c>
    </row>
    <row r="114" spans="1:9" ht="15.75" customHeight="1" x14ac:dyDescent="0.25">
      <c r="A114" s="72" t="s">
        <v>3187</v>
      </c>
      <c r="B114" s="72" t="s">
        <v>401</v>
      </c>
      <c r="C114" s="73" t="s">
        <v>402</v>
      </c>
      <c r="D114" s="74">
        <v>31.65</v>
      </c>
      <c r="E114" s="26">
        <v>0.75</v>
      </c>
      <c r="F114" s="53" t="s">
        <v>3148</v>
      </c>
      <c r="G114" s="75">
        <v>-0.25</v>
      </c>
      <c r="H114" s="76" t="s">
        <v>3175</v>
      </c>
      <c r="I114" s="77" t="s">
        <v>3361</v>
      </c>
    </row>
    <row r="115" spans="1:9" ht="15.75" customHeight="1" x14ac:dyDescent="0.25">
      <c r="A115" s="72" t="s">
        <v>3187</v>
      </c>
      <c r="B115" s="72" t="s">
        <v>403</v>
      </c>
      <c r="C115" s="73" t="s">
        <v>404</v>
      </c>
      <c r="D115" s="74">
        <v>43.42</v>
      </c>
      <c r="E115" s="26">
        <v>0.86839999999999995</v>
      </c>
      <c r="F115" s="53" t="s">
        <v>3148</v>
      </c>
      <c r="G115" s="75">
        <v>-0.13159999999999999</v>
      </c>
      <c r="H115" s="76" t="s">
        <v>3175</v>
      </c>
      <c r="I115" s="77" t="s">
        <v>3361</v>
      </c>
    </row>
    <row r="116" spans="1:9" ht="15.75" customHeight="1" x14ac:dyDescent="0.25">
      <c r="A116" s="78" t="s">
        <v>3187</v>
      </c>
      <c r="B116" s="78" t="s">
        <v>405</v>
      </c>
      <c r="C116" s="79" t="s">
        <v>406</v>
      </c>
      <c r="D116" s="80">
        <v>55.39</v>
      </c>
      <c r="E116" s="23">
        <v>1.1077999999999999</v>
      </c>
      <c r="F116" s="47" t="s">
        <v>566</v>
      </c>
      <c r="G116" s="81">
        <v>0.10780000000000001</v>
      </c>
      <c r="H116" s="76" t="s">
        <v>3171</v>
      </c>
      <c r="I116" s="77" t="s">
        <v>3361</v>
      </c>
    </row>
    <row r="118" spans="1:9" ht="18" customHeight="1" x14ac:dyDescent="0.25">
      <c r="A118" s="126" t="s">
        <v>3188</v>
      </c>
      <c r="B118" s="126"/>
      <c r="C118" s="126"/>
      <c r="D118" s="126"/>
      <c r="E118" s="126"/>
      <c r="F118" s="126"/>
      <c r="G118" s="126"/>
      <c r="H118" s="126"/>
      <c r="I118" s="126"/>
    </row>
    <row r="119" spans="1:9" ht="15.75" customHeight="1" x14ac:dyDescent="0.25">
      <c r="A119" s="72" t="s">
        <v>3189</v>
      </c>
      <c r="B119" s="72" t="s">
        <v>421</v>
      </c>
      <c r="C119" s="73" t="s">
        <v>422</v>
      </c>
      <c r="D119" s="74">
        <v>35.57</v>
      </c>
      <c r="E119" s="26">
        <v>0.75</v>
      </c>
      <c r="F119" s="53" t="s">
        <v>3148</v>
      </c>
      <c r="G119" s="75">
        <v>-0.25</v>
      </c>
      <c r="H119" s="76" t="s">
        <v>3171</v>
      </c>
      <c r="I119" s="77" t="s">
        <v>3361</v>
      </c>
    </row>
    <row r="120" spans="1:9" ht="15.75" customHeight="1" x14ac:dyDescent="0.25">
      <c r="A120" s="72" t="s">
        <v>3189</v>
      </c>
      <c r="B120" s="72" t="s">
        <v>425</v>
      </c>
      <c r="C120" s="73" t="s">
        <v>426</v>
      </c>
      <c r="D120" s="74">
        <v>10.36</v>
      </c>
      <c r="E120" s="26">
        <v>0.75</v>
      </c>
      <c r="F120" s="53" t="s">
        <v>3148</v>
      </c>
      <c r="G120" s="75">
        <v>-0.25</v>
      </c>
      <c r="H120" s="76" t="s">
        <v>3171</v>
      </c>
      <c r="I120" s="77" t="s">
        <v>3361</v>
      </c>
    </row>
    <row r="121" spans="1:9" ht="15.75" customHeight="1" x14ac:dyDescent="0.25">
      <c r="A121" s="89" t="s">
        <v>3189</v>
      </c>
      <c r="B121" s="89" t="s">
        <v>407</v>
      </c>
      <c r="C121" s="90" t="s">
        <v>408</v>
      </c>
      <c r="D121" s="91">
        <v>95.39</v>
      </c>
      <c r="E121" s="32">
        <v>1.4</v>
      </c>
      <c r="F121" s="29" t="s">
        <v>3154</v>
      </c>
      <c r="G121" s="92">
        <v>0.4</v>
      </c>
      <c r="H121" s="76" t="s">
        <v>3171</v>
      </c>
      <c r="I121" s="77" t="s">
        <v>3361</v>
      </c>
    </row>
    <row r="122" spans="1:9" ht="15.75" customHeight="1" x14ac:dyDescent="0.25">
      <c r="A122" s="89" t="s">
        <v>3189</v>
      </c>
      <c r="B122" s="89" t="s">
        <v>409</v>
      </c>
      <c r="C122" s="90" t="s">
        <v>410</v>
      </c>
      <c r="D122" s="91">
        <v>93.48</v>
      </c>
      <c r="E122" s="32">
        <v>1.4</v>
      </c>
      <c r="F122" s="29" t="s">
        <v>3154</v>
      </c>
      <c r="G122" s="92">
        <v>0.4</v>
      </c>
      <c r="H122" s="76" t="s">
        <v>3171</v>
      </c>
      <c r="I122" s="77" t="s">
        <v>3361</v>
      </c>
    </row>
    <row r="123" spans="1:9" ht="15.75" customHeight="1" x14ac:dyDescent="0.25">
      <c r="A123" s="89" t="s">
        <v>3189</v>
      </c>
      <c r="B123" s="89" t="s">
        <v>411</v>
      </c>
      <c r="C123" s="90" t="s">
        <v>412</v>
      </c>
      <c r="D123" s="91">
        <v>91.05</v>
      </c>
      <c r="E123" s="32">
        <v>1.4</v>
      </c>
      <c r="F123" s="29" t="s">
        <v>3154</v>
      </c>
      <c r="G123" s="92">
        <v>0.4</v>
      </c>
      <c r="H123" s="76" t="s">
        <v>3171</v>
      </c>
      <c r="I123" s="77" t="s">
        <v>3361</v>
      </c>
    </row>
    <row r="124" spans="1:9" ht="15.75" customHeight="1" x14ac:dyDescent="0.25">
      <c r="A124" s="89" t="s">
        <v>3189</v>
      </c>
      <c r="B124" s="89" t="s">
        <v>413</v>
      </c>
      <c r="C124" s="90" t="s">
        <v>414</v>
      </c>
      <c r="D124" s="91">
        <v>78.67</v>
      </c>
      <c r="E124" s="32">
        <v>1.4</v>
      </c>
      <c r="F124" s="29" t="s">
        <v>3154</v>
      </c>
      <c r="G124" s="92">
        <v>0.4</v>
      </c>
      <c r="H124" s="76" t="s">
        <v>3171</v>
      </c>
      <c r="I124" s="77" t="s">
        <v>3361</v>
      </c>
    </row>
    <row r="125" spans="1:9" ht="15.75" customHeight="1" x14ac:dyDescent="0.25">
      <c r="A125" s="89" t="s">
        <v>3189</v>
      </c>
      <c r="B125" s="89" t="s">
        <v>415</v>
      </c>
      <c r="C125" s="90" t="s">
        <v>416</v>
      </c>
      <c r="D125" s="91">
        <v>74.61</v>
      </c>
      <c r="E125" s="32">
        <v>1.4</v>
      </c>
      <c r="F125" s="29" t="s">
        <v>3154</v>
      </c>
      <c r="G125" s="92">
        <v>0.4</v>
      </c>
      <c r="H125" s="76" t="s">
        <v>3175</v>
      </c>
      <c r="I125" s="77" t="s">
        <v>3361</v>
      </c>
    </row>
    <row r="126" spans="1:9" ht="15.75" customHeight="1" x14ac:dyDescent="0.25">
      <c r="A126" s="89" t="s">
        <v>3189</v>
      </c>
      <c r="B126" s="89" t="s">
        <v>417</v>
      </c>
      <c r="C126" s="90" t="s">
        <v>418</v>
      </c>
      <c r="D126" s="91">
        <v>78.790000000000006</v>
      </c>
      <c r="E126" s="32">
        <v>1.4</v>
      </c>
      <c r="F126" s="29" t="s">
        <v>3154</v>
      </c>
      <c r="G126" s="92">
        <v>0.4</v>
      </c>
      <c r="H126" s="76" t="s">
        <v>3171</v>
      </c>
      <c r="I126" s="77" t="s">
        <v>3361</v>
      </c>
    </row>
    <row r="127" spans="1:9" ht="15.75" customHeight="1" x14ac:dyDescent="0.25">
      <c r="A127" s="89" t="s">
        <v>3189</v>
      </c>
      <c r="B127" s="89" t="s">
        <v>419</v>
      </c>
      <c r="C127" s="90" t="s">
        <v>420</v>
      </c>
      <c r="D127" s="91">
        <v>72.56</v>
      </c>
      <c r="E127" s="32">
        <v>1.4</v>
      </c>
      <c r="F127" s="29" t="s">
        <v>3154</v>
      </c>
      <c r="G127" s="92">
        <v>0.4</v>
      </c>
      <c r="H127" s="76" t="s">
        <v>3171</v>
      </c>
      <c r="I127" s="77" t="s">
        <v>3361</v>
      </c>
    </row>
    <row r="128" spans="1:9" ht="15.75" customHeight="1" x14ac:dyDescent="0.25">
      <c r="A128" s="89" t="s">
        <v>3189</v>
      </c>
      <c r="B128" s="89" t="s">
        <v>423</v>
      </c>
      <c r="C128" s="90" t="s">
        <v>424</v>
      </c>
      <c r="D128" s="91">
        <v>97.92</v>
      </c>
      <c r="E128" s="32">
        <v>1.4</v>
      </c>
      <c r="F128" s="29" t="s">
        <v>3154</v>
      </c>
      <c r="G128" s="92">
        <v>0.4</v>
      </c>
      <c r="H128" s="76" t="s">
        <v>3171</v>
      </c>
      <c r="I128" s="77" t="s">
        <v>3361</v>
      </c>
    </row>
    <row r="129" spans="1:9" ht="15.75" customHeight="1" x14ac:dyDescent="0.25">
      <c r="A129" s="89" t="s">
        <v>3189</v>
      </c>
      <c r="B129" s="89" t="s">
        <v>427</v>
      </c>
      <c r="C129" s="90" t="s">
        <v>428</v>
      </c>
      <c r="D129" s="91">
        <v>88</v>
      </c>
      <c r="E129" s="32">
        <v>1.4</v>
      </c>
      <c r="F129" s="29" t="s">
        <v>3154</v>
      </c>
      <c r="G129" s="92">
        <v>0.4</v>
      </c>
      <c r="H129" s="76" t="s">
        <v>3171</v>
      </c>
      <c r="I129" s="77" t="s">
        <v>3361</v>
      </c>
    </row>
    <row r="131" spans="1:9" ht="18" customHeight="1" x14ac:dyDescent="0.25">
      <c r="A131" s="126" t="s">
        <v>3190</v>
      </c>
      <c r="B131" s="126"/>
      <c r="C131" s="126"/>
      <c r="D131" s="126"/>
      <c r="E131" s="126"/>
      <c r="F131" s="126"/>
      <c r="G131" s="126"/>
      <c r="H131" s="126"/>
      <c r="I131" s="126"/>
    </row>
    <row r="132" spans="1:9" ht="15.75" customHeight="1" x14ac:dyDescent="0.25">
      <c r="A132" s="72" t="s">
        <v>3191</v>
      </c>
      <c r="B132" s="72" t="s">
        <v>433</v>
      </c>
      <c r="C132" s="73" t="s">
        <v>434</v>
      </c>
      <c r="D132" s="74">
        <v>26.24</v>
      </c>
      <c r="E132" s="26">
        <v>0.75</v>
      </c>
      <c r="F132" s="53" t="s">
        <v>3148</v>
      </c>
      <c r="G132" s="75">
        <v>-0.25</v>
      </c>
      <c r="H132" s="76" t="s">
        <v>3175</v>
      </c>
      <c r="I132" s="77" t="s">
        <v>3361</v>
      </c>
    </row>
    <row r="133" spans="1:9" ht="15.75" customHeight="1" x14ac:dyDescent="0.25">
      <c r="A133" s="78" t="s">
        <v>3191</v>
      </c>
      <c r="B133" s="78" t="s">
        <v>431</v>
      </c>
      <c r="C133" s="79" t="s">
        <v>432</v>
      </c>
      <c r="D133" s="80">
        <v>56.72</v>
      </c>
      <c r="E133" s="23">
        <v>1.1344000000000001</v>
      </c>
      <c r="F133" s="47" t="s">
        <v>566</v>
      </c>
      <c r="G133" s="81">
        <v>0.13439999999999999</v>
      </c>
      <c r="H133" s="76" t="s">
        <v>3175</v>
      </c>
      <c r="I133" s="77" t="s">
        <v>3361</v>
      </c>
    </row>
    <row r="134" spans="1:9" ht="15.75" customHeight="1" x14ac:dyDescent="0.25">
      <c r="A134" s="78" t="s">
        <v>3191</v>
      </c>
      <c r="B134" s="78" t="s">
        <v>435</v>
      </c>
      <c r="C134" s="79" t="s">
        <v>436</v>
      </c>
      <c r="D134" s="80">
        <v>59.01</v>
      </c>
      <c r="E134" s="23">
        <v>1.1801999999999999</v>
      </c>
      <c r="F134" s="47" t="s">
        <v>566</v>
      </c>
      <c r="G134" s="81">
        <v>0.1802</v>
      </c>
      <c r="H134" s="76" t="s">
        <v>3149</v>
      </c>
      <c r="I134" s="77" t="s">
        <v>3361</v>
      </c>
    </row>
    <row r="136" spans="1:9" ht="18" customHeight="1" x14ac:dyDescent="0.25">
      <c r="A136" s="126" t="s">
        <v>3192</v>
      </c>
      <c r="B136" s="126"/>
      <c r="C136" s="126"/>
      <c r="D136" s="126"/>
      <c r="E136" s="126"/>
      <c r="F136" s="126"/>
      <c r="G136" s="126"/>
      <c r="H136" s="126"/>
      <c r="I136" s="126"/>
    </row>
    <row r="137" spans="1:9" ht="15.75" customHeight="1" x14ac:dyDescent="0.25">
      <c r="A137" s="72" t="s">
        <v>3193</v>
      </c>
      <c r="B137" s="72" t="s">
        <v>439</v>
      </c>
      <c r="C137" s="73" t="s">
        <v>440</v>
      </c>
      <c r="D137" s="74">
        <v>29.16</v>
      </c>
      <c r="E137" s="26">
        <v>0.75</v>
      </c>
      <c r="F137" s="53" t="s">
        <v>3148</v>
      </c>
      <c r="G137" s="75">
        <v>-0.25</v>
      </c>
      <c r="H137" s="76" t="s">
        <v>3175</v>
      </c>
      <c r="I137" s="77" t="s">
        <v>3361</v>
      </c>
    </row>
    <row r="138" spans="1:9" ht="15.75" customHeight="1" x14ac:dyDescent="0.25">
      <c r="A138" s="82" t="s">
        <v>3193</v>
      </c>
      <c r="B138" s="82" t="s">
        <v>443</v>
      </c>
      <c r="C138" s="83" t="s">
        <v>444</v>
      </c>
      <c r="D138" s="41">
        <v>45.39</v>
      </c>
      <c r="E138" s="34">
        <v>0.90780000000000005</v>
      </c>
      <c r="F138" s="17" t="s">
        <v>841</v>
      </c>
      <c r="G138" s="84">
        <v>-9.2200000000000004E-2</v>
      </c>
      <c r="H138" s="76" t="s">
        <v>3175</v>
      </c>
      <c r="I138" s="77" t="s">
        <v>3361</v>
      </c>
    </row>
    <row r="139" spans="1:9" ht="15.75" customHeight="1" x14ac:dyDescent="0.25">
      <c r="A139" s="89" t="s">
        <v>3193</v>
      </c>
      <c r="B139" s="89" t="s">
        <v>441</v>
      </c>
      <c r="C139" s="90" t="s">
        <v>442</v>
      </c>
      <c r="D139" s="91">
        <v>90.09</v>
      </c>
      <c r="E139" s="32">
        <v>1.4</v>
      </c>
      <c r="F139" s="29" t="s">
        <v>3154</v>
      </c>
      <c r="G139" s="92">
        <v>0.4</v>
      </c>
      <c r="H139" s="76" t="s">
        <v>3175</v>
      </c>
      <c r="I139" s="77" t="s">
        <v>3361</v>
      </c>
    </row>
    <row r="140" spans="1:9" ht="15.75" customHeight="1" x14ac:dyDescent="0.25">
      <c r="A140" s="89" t="s">
        <v>3193</v>
      </c>
      <c r="B140" s="89" t="s">
        <v>445</v>
      </c>
      <c r="C140" s="90" t="s">
        <v>446</v>
      </c>
      <c r="D140" s="91">
        <v>80.39</v>
      </c>
      <c r="E140" s="32">
        <v>1.4</v>
      </c>
      <c r="F140" s="29" t="s">
        <v>3154</v>
      </c>
      <c r="G140" s="92">
        <v>0.4</v>
      </c>
      <c r="H140" s="76" t="s">
        <v>3175</v>
      </c>
      <c r="I140" s="77" t="s">
        <v>3361</v>
      </c>
    </row>
    <row r="142" spans="1:9" ht="18" customHeight="1" x14ac:dyDescent="0.25">
      <c r="A142" s="126" t="s">
        <v>3194</v>
      </c>
      <c r="B142" s="126"/>
      <c r="C142" s="126"/>
      <c r="D142" s="126"/>
      <c r="E142" s="126"/>
      <c r="F142" s="126"/>
      <c r="G142" s="126"/>
      <c r="H142" s="126"/>
      <c r="I142" s="126"/>
    </row>
    <row r="143" spans="1:9" ht="15.75" customHeight="1" x14ac:dyDescent="0.25">
      <c r="A143" s="82" t="s">
        <v>3195</v>
      </c>
      <c r="B143" s="82" t="s">
        <v>451</v>
      </c>
      <c r="C143" s="83" t="s">
        <v>452</v>
      </c>
      <c r="D143" s="41">
        <v>45.89</v>
      </c>
      <c r="E143" s="34">
        <v>0.91779999999999995</v>
      </c>
      <c r="F143" s="17" t="s">
        <v>841</v>
      </c>
      <c r="G143" s="84">
        <v>-8.2199999999999995E-2</v>
      </c>
      <c r="H143" s="76" t="s">
        <v>3171</v>
      </c>
      <c r="I143" s="77" t="s">
        <v>3361</v>
      </c>
    </row>
    <row r="144" spans="1:9" ht="15.75" customHeight="1" x14ac:dyDescent="0.25">
      <c r="A144" s="89" t="s">
        <v>3195</v>
      </c>
      <c r="B144" s="89" t="s">
        <v>449</v>
      </c>
      <c r="C144" s="90" t="s">
        <v>450</v>
      </c>
      <c r="D144" s="91">
        <v>63.03</v>
      </c>
      <c r="E144" s="32">
        <v>1.2605999999999999</v>
      </c>
      <c r="F144" s="29" t="s">
        <v>3154</v>
      </c>
      <c r="G144" s="92">
        <v>0.2606</v>
      </c>
      <c r="H144" s="76" t="s">
        <v>3171</v>
      </c>
      <c r="I144" s="77" t="s">
        <v>3361</v>
      </c>
    </row>
    <row r="145" spans="1:9" ht="15.75" customHeight="1" x14ac:dyDescent="0.25">
      <c r="A145" s="89" t="s">
        <v>3195</v>
      </c>
      <c r="B145" s="89" t="s">
        <v>453</v>
      </c>
      <c r="C145" s="90" t="s">
        <v>454</v>
      </c>
      <c r="D145" s="91">
        <v>83.98</v>
      </c>
      <c r="E145" s="32">
        <v>1.4</v>
      </c>
      <c r="F145" s="29" t="s">
        <v>3154</v>
      </c>
      <c r="G145" s="92">
        <v>0.4</v>
      </c>
      <c r="H145" s="76" t="s">
        <v>3171</v>
      </c>
      <c r="I145" s="77" t="s">
        <v>3361</v>
      </c>
    </row>
  </sheetData>
  <mergeCells count="23">
    <mergeCell ref="A1:I1"/>
    <mergeCell ref="A2:I2"/>
    <mergeCell ref="A4:I4"/>
    <mergeCell ref="A10:I10"/>
    <mergeCell ref="A14:I14"/>
    <mergeCell ref="A24:I24"/>
    <mergeCell ref="A36:I36"/>
    <mergeCell ref="A44:I44"/>
    <mergeCell ref="A48:I48"/>
    <mergeCell ref="A53:I53"/>
    <mergeCell ref="A57:I57"/>
    <mergeCell ref="A64:I64"/>
    <mergeCell ref="A70:I70"/>
    <mergeCell ref="A82:I82"/>
    <mergeCell ref="A91:I91"/>
    <mergeCell ref="A131:I131"/>
    <mergeCell ref="A136:I136"/>
    <mergeCell ref="A142:I142"/>
    <mergeCell ref="A97:I97"/>
    <mergeCell ref="A101:I101"/>
    <mergeCell ref="A107:I107"/>
    <mergeCell ref="A111:I111"/>
    <mergeCell ref="A118:I11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C37"/>
  <sheetViews>
    <sheetView showGridLines="0" zoomScaleNormal="100" workbookViewId="0">
      <selection activeCell="B12" sqref="B12"/>
    </sheetView>
  </sheetViews>
  <sheetFormatPr defaultColWidth="8.7109375" defaultRowHeight="15" x14ac:dyDescent="0.25"/>
  <cols>
    <col min="1" max="1" width="38" customWidth="1"/>
    <col min="2" max="2" width="52" customWidth="1"/>
    <col min="3" max="3" width="46" customWidth="1"/>
  </cols>
  <sheetData>
    <row r="1" spans="1:3" ht="27.75" customHeight="1" x14ac:dyDescent="0.25">
      <c r="A1" s="122" t="s">
        <v>3196</v>
      </c>
      <c r="B1" s="122"/>
      <c r="C1" s="122"/>
    </row>
    <row r="2" spans="1:3" ht="27.75" customHeight="1" x14ac:dyDescent="0.25">
      <c r="A2" s="123" t="s">
        <v>3197</v>
      </c>
      <c r="B2" s="123"/>
      <c r="C2" s="123"/>
    </row>
    <row r="4" spans="1:3" ht="9.75" customHeight="1" x14ac:dyDescent="0.25"/>
    <row r="5" spans="1:3" ht="30" customHeight="1" x14ac:dyDescent="0.25">
      <c r="A5" s="128" t="s">
        <v>3198</v>
      </c>
      <c r="B5" s="128"/>
      <c r="C5" s="128"/>
    </row>
    <row r="6" spans="1:3" ht="36" customHeight="1" x14ac:dyDescent="0.25">
      <c r="A6" s="129" t="s">
        <v>474</v>
      </c>
      <c r="B6" s="129"/>
      <c r="C6" s="129"/>
    </row>
    <row r="7" spans="1:3" ht="9.75" customHeight="1" x14ac:dyDescent="0.25"/>
    <row r="8" spans="1:3" ht="21.75" customHeight="1" x14ac:dyDescent="0.25">
      <c r="A8" s="121" t="s">
        <v>113</v>
      </c>
      <c r="B8" s="121"/>
      <c r="C8" s="121"/>
    </row>
    <row r="9" spans="1:3" ht="19.5" customHeight="1" x14ac:dyDescent="0.25">
      <c r="A9" s="7" t="s">
        <v>117</v>
      </c>
      <c r="B9" s="93" t="str">
        <f>IFERROR(INDEX('04_MOTOR_CÁLCULO'!A:A,MATCH($A$6,'04_MOTOR_CÁLCULO'!$A:$A,0)),"Código não encontrado")</f>
        <v>0111-3/01</v>
      </c>
      <c r="C9" s="94"/>
    </row>
    <row r="10" spans="1:3" ht="19.5" customHeight="1" x14ac:dyDescent="0.25">
      <c r="A10" s="7" t="s">
        <v>3199</v>
      </c>
      <c r="B10" s="93" t="str">
        <f>IFERROR(INDEX('04_MOTOR_CÁLCULO'!B:B,MATCH($A$6,'04_MOTOR_CÁLCULO'!$A:$A,0)),"Código não encontrado")</f>
        <v>A</v>
      </c>
      <c r="C10" s="94"/>
    </row>
    <row r="11" spans="1:3" ht="19.5" customHeight="1" x14ac:dyDescent="0.25">
      <c r="A11" s="7" t="s">
        <v>3200</v>
      </c>
      <c r="B11" s="93" t="str">
        <f>IFERROR(INDEX('04_MOTOR_CÁLCULO'!C:C,MATCH($A$6,'04_MOTOR_CÁLCULO'!$A:$A,0)),"Código não encontrado")</f>
        <v>Cultivo de arroz</v>
      </c>
      <c r="C11" s="94"/>
    </row>
    <row r="12" spans="1:3" ht="19.5" customHeight="1" x14ac:dyDescent="0.25">
      <c r="A12" s="7" t="s">
        <v>3201</v>
      </c>
      <c r="B12" s="93" t="str">
        <f>IFERROR(INDEX('04_MOTOR_CÁLCULO'!E:E,MATCH($A$6,'04_MOTOR_CÁLCULO'!$A:$A,0)),"Código não encontrado")</f>
        <v>Médio</v>
      </c>
      <c r="C12" s="94"/>
    </row>
    <row r="13" spans="1:3" ht="19.5" customHeight="1" x14ac:dyDescent="0.25"/>
    <row r="14" spans="1:3" ht="21.75" customHeight="1" x14ac:dyDescent="0.25">
      <c r="A14" s="121" t="s">
        <v>3202</v>
      </c>
      <c r="B14" s="121"/>
      <c r="C14" s="121"/>
    </row>
    <row r="15" spans="1:3" ht="19.5" customHeight="1" x14ac:dyDescent="0.25">
      <c r="A15" s="7" t="s">
        <v>3203</v>
      </c>
      <c r="B15" s="93" t="str">
        <f>IFERROR(INDEX('03_FONTE_FAP'!C:C,MATCH($A$6,'03_FONTE_FAP'!$A:$A,0)),"N/D")</f>
        <v>N/D</v>
      </c>
      <c r="C15" s="94" t="s">
        <v>3204</v>
      </c>
    </row>
    <row r="16" spans="1:3" ht="19.5" customHeight="1" x14ac:dyDescent="0.25">
      <c r="A16" s="7" t="s">
        <v>3205</v>
      </c>
      <c r="B16" s="93" t="str">
        <f>IFERROR(INDEX('03_FONTE_FAP'!D:D,MATCH($A$6,'03_FONTE_FAP'!$A:$A,0)),"N/D")</f>
        <v>N/D</v>
      </c>
      <c r="C16" s="94"/>
    </row>
    <row r="17" spans="1:3" ht="19.5" customHeight="1" x14ac:dyDescent="0.25">
      <c r="A17" s="7" t="s">
        <v>3206</v>
      </c>
      <c r="B17" s="93" t="str">
        <f>IFERROR(INDEX('03_FONTE_FAP'!E:E,MATCH($A$6,'03_FONTE_FAP'!$A:$A,0)),"N/D")</f>
        <v>N/D</v>
      </c>
      <c r="C17" s="94"/>
    </row>
    <row r="18" spans="1:3" ht="19.5" customHeight="1" x14ac:dyDescent="0.25">
      <c r="A18" s="7" t="s">
        <v>3207</v>
      </c>
      <c r="B18" s="93" t="str">
        <f>IFERROR(INDEX('03_FONTE_FAP'!H:H,MATCH($A$6,'03_FONTE_FAP'!$A:$A,0)),"N/D")</f>
        <v>N/D</v>
      </c>
      <c r="C18" s="94" t="s">
        <v>3208</v>
      </c>
    </row>
    <row r="19" spans="1:3" ht="19.5" customHeight="1" x14ac:dyDescent="0.25">
      <c r="A19" s="7" t="s">
        <v>3209</v>
      </c>
      <c r="B19" s="93" t="str">
        <f>IFERROR(INDEX('03_FONTE_FAP'!I:I,MATCH($A$6,'03_FONTE_FAP'!$A:$A,0)),"N/D")</f>
        <v>N/D</v>
      </c>
      <c r="C19" s="94"/>
    </row>
    <row r="20" spans="1:3" ht="19.5" customHeight="1" x14ac:dyDescent="0.25">
      <c r="A20" s="7" t="s">
        <v>3210</v>
      </c>
      <c r="B20" s="93" t="str">
        <f>IFERROR(INDEX('03_FONTE_FAP'!J:J,MATCH($A$6,'03_FONTE_FAP'!$A:$A,0)),"N/D")</f>
        <v>N/D</v>
      </c>
      <c r="C20" s="94"/>
    </row>
    <row r="21" spans="1:3" ht="19.5" customHeight="1" x14ac:dyDescent="0.25"/>
    <row r="22" spans="1:3" ht="21.75" customHeight="1" x14ac:dyDescent="0.25">
      <c r="A22" s="121" t="s">
        <v>3211</v>
      </c>
      <c r="B22" s="121"/>
      <c r="C22" s="121"/>
    </row>
    <row r="23" spans="1:3" ht="19.5" customHeight="1" x14ac:dyDescent="0.25">
      <c r="A23" s="7" t="s">
        <v>3212</v>
      </c>
      <c r="B23" s="95" t="str">
        <f>IFERROR(INDEX('03_FONTE_FAP'!F:F,MATCH($A$6,'03_FONTE_FAP'!$A:$A,0)),"N/D")</f>
        <v>N/D</v>
      </c>
      <c r="C23" s="94"/>
    </row>
    <row r="24" spans="1:3" ht="19.5" customHeight="1" x14ac:dyDescent="0.25">
      <c r="A24" s="7" t="s">
        <v>3213</v>
      </c>
      <c r="B24" s="95" t="str">
        <f>IFERROR(INDEX('03_FONTE_FAP'!K:K,MATCH($A$6,'03_FONTE_FAP'!$A:$A,0)),"N/D")</f>
        <v>N/D</v>
      </c>
      <c r="C24" s="94"/>
    </row>
    <row r="25" spans="1:3" ht="19.5" customHeight="1" x14ac:dyDescent="0.25">
      <c r="A25" s="7" t="s">
        <v>81</v>
      </c>
      <c r="B25" s="95" t="str">
        <f>IFERROR(INDEX('03_FONTE_FAP'!M:M,MATCH($A$6,'03_FONTE_FAP'!$A:$A,0)),"N/D")</f>
        <v>N/D</v>
      </c>
      <c r="C25" s="94" t="s">
        <v>3214</v>
      </c>
    </row>
    <row r="26" spans="1:3" ht="19.5" customHeight="1" x14ac:dyDescent="0.25">
      <c r="A26" s="7" t="s">
        <v>3215</v>
      </c>
      <c r="B26" s="95">
        <f>'01_PARÂMETROS'!$B$9</f>
        <v>50</v>
      </c>
      <c r="C26" s="94" t="s">
        <v>3216</v>
      </c>
    </row>
    <row r="27" spans="1:3" ht="19.5" customHeight="1" x14ac:dyDescent="0.25"/>
    <row r="28" spans="1:3" ht="21.75" customHeight="1" x14ac:dyDescent="0.25">
      <c r="A28" s="121" t="s">
        <v>3217</v>
      </c>
      <c r="B28" s="121"/>
      <c r="C28" s="121"/>
    </row>
    <row r="29" spans="1:3" ht="19.5" customHeight="1" x14ac:dyDescent="0.25">
      <c r="A29" s="7" t="s">
        <v>3218</v>
      </c>
      <c r="B29" s="96" t="str">
        <f>IFERROR(INDEX('03_FONTE_FAP'!N:N,MATCH($A$6,'03_FONTE_FAP'!$A:$A,0)),"N/D")</f>
        <v>N/D</v>
      </c>
      <c r="C29" s="94"/>
    </row>
    <row r="30" spans="1:3" ht="19.5" customHeight="1" x14ac:dyDescent="0.25">
      <c r="A30" s="97" t="s">
        <v>3219</v>
      </c>
      <c r="B30" s="98">
        <f>IFERROR(INDEX('04_MOTOR_CÁLCULO'!K:K,MATCH($A$6,'04_MOTOR_CÁLCULO'!$A:$A,0)),"Código não encontrado")</f>
        <v>1.12263</v>
      </c>
      <c r="C30" s="94"/>
    </row>
    <row r="31" spans="1:3" ht="19.5" customHeight="1" x14ac:dyDescent="0.25">
      <c r="A31" s="7" t="s">
        <v>3220</v>
      </c>
      <c r="B31" s="99">
        <f>IFERROR(INDEX('04_MOTOR_CÁLCULO'!L:L,MATCH($A$6,'04_MOTOR_CÁLCULO'!$A:$A,0)),"Código não encontrado")</f>
        <v>0.12263000000000002</v>
      </c>
      <c r="C31" s="94"/>
    </row>
    <row r="32" spans="1:3" ht="19.5" customHeight="1" x14ac:dyDescent="0.25">
      <c r="A32" s="7" t="s">
        <v>3221</v>
      </c>
      <c r="B32" s="93" t="str">
        <f>IFERROR(INDEX('04_MOTOR_CÁLCULO'!M:M,MATCH($A$6,'04_MOTOR_CÁLCULO'!$A:$A,0)),"Código não encontrado")</f>
        <v>Alto</v>
      </c>
      <c r="C32" s="94"/>
    </row>
    <row r="33" spans="1:3" ht="19.5" customHeight="1" x14ac:dyDescent="0.25">
      <c r="A33" s="7" t="s">
        <v>3222</v>
      </c>
      <c r="B33" s="93" t="str">
        <f>IFERROR(INDEX('04_MOTOR_CÁLCULO'!N:N,MATCH($A$6,'04_MOTOR_CÁLCULO'!$A:$A,0)),"Código não encontrado")</f>
        <v>FAP/MPS</v>
      </c>
      <c r="C33" s="94" t="s">
        <v>3223</v>
      </c>
    </row>
    <row r="34" spans="1:3" ht="19.5" customHeight="1" x14ac:dyDescent="0.25">
      <c r="A34" s="7" t="s">
        <v>3224</v>
      </c>
      <c r="B34" s="93" t="str">
        <f>IFERROR(INDEX('04_MOTOR_CÁLCULO'!O:O,MATCH($A$6,'04_MOTOR_CÁLCULO'!$A:$A,0)),"Código não encontrado")</f>
        <v>Revisar</v>
      </c>
      <c r="C34" s="94" t="s">
        <v>3225</v>
      </c>
    </row>
    <row r="36" spans="1:3" ht="39.75" customHeight="1" x14ac:dyDescent="0.25">
      <c r="A36" s="127" t="s">
        <v>3226</v>
      </c>
      <c r="B36" s="127"/>
      <c r="C36" s="127"/>
    </row>
    <row r="37" spans="1:3" ht="15" customHeight="1" x14ac:dyDescent="0.25">
      <c r="A37" s="127"/>
      <c r="B37" s="127"/>
      <c r="C37" s="127"/>
    </row>
  </sheetData>
  <mergeCells count="9">
    <mergeCell ref="A14:C14"/>
    <mergeCell ref="A22:C22"/>
    <mergeCell ref="A28:C28"/>
    <mergeCell ref="A36:C37"/>
    <mergeCell ref="A1:C1"/>
    <mergeCell ref="A2:C2"/>
    <mergeCell ref="A5:C5"/>
    <mergeCell ref="A6:C6"/>
    <mergeCell ref="A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75B6"/>
  </sheetPr>
  <dimension ref="A1:H1335"/>
  <sheetViews>
    <sheetView showGridLines="0" zoomScaleNormal="100" workbookViewId="0">
      <pane ySplit="3" topLeftCell="A1301" activePane="bottomLeft" state="frozen"/>
      <selection pane="bottomLeft" activeCell="F87" sqref="F87"/>
    </sheetView>
  </sheetViews>
  <sheetFormatPr defaultColWidth="8.7109375" defaultRowHeight="15" x14ac:dyDescent="0.25"/>
  <cols>
    <col min="1" max="1" width="10" customWidth="1"/>
    <col min="2" max="2" width="4" customWidth="1"/>
    <col min="3" max="3" width="109.5703125" customWidth="1"/>
    <col min="4" max="4" width="38.85546875" customWidth="1"/>
    <col min="5" max="6" width="12" customWidth="1"/>
    <col min="7" max="7" width="16" customWidth="1"/>
    <col min="8" max="8" width="12" customWidth="1"/>
  </cols>
  <sheetData>
    <row r="1" spans="1:8" ht="27.75" customHeight="1" x14ac:dyDescent="0.25">
      <c r="A1" s="115" t="s">
        <v>3227</v>
      </c>
      <c r="B1" s="115"/>
      <c r="C1" s="115"/>
      <c r="D1" s="115"/>
      <c r="E1" s="115"/>
      <c r="F1" s="115"/>
      <c r="G1" s="115"/>
      <c r="H1" s="115"/>
    </row>
    <row r="2" spans="1:8" ht="19.5" customHeight="1" x14ac:dyDescent="0.25">
      <c r="A2" s="116" t="s">
        <v>3228</v>
      </c>
      <c r="B2" s="116"/>
      <c r="C2" s="116"/>
      <c r="D2" s="116"/>
      <c r="E2" s="116"/>
      <c r="F2" s="116"/>
      <c r="G2" s="116"/>
      <c r="H2" s="116"/>
    </row>
    <row r="3" spans="1:8" ht="27.75" customHeight="1" x14ac:dyDescent="0.25">
      <c r="A3" s="71" t="s">
        <v>3229</v>
      </c>
      <c r="B3" s="71" t="s">
        <v>461</v>
      </c>
      <c r="C3" s="71" t="s">
        <v>118</v>
      </c>
      <c r="D3" s="71" t="s">
        <v>3142</v>
      </c>
      <c r="E3" s="71" t="s">
        <v>472</v>
      </c>
      <c r="F3" s="71" t="s">
        <v>3143</v>
      </c>
      <c r="G3" s="71" t="s">
        <v>470</v>
      </c>
      <c r="H3" s="71" t="s">
        <v>471</v>
      </c>
    </row>
    <row r="4" spans="1:8" ht="13.5" customHeight="1" x14ac:dyDescent="0.25">
      <c r="A4" s="24" t="str">
        <f>'04_MOTOR_CÁLCULO'!A7</f>
        <v>0111-3/03</v>
      </c>
      <c r="B4" s="38" t="str">
        <f>'04_MOTOR_CÁLCULO'!B7</f>
        <v>A</v>
      </c>
      <c r="C4" s="100" t="str">
        <f>'04_MOTOR_CÁLCULO'!C7</f>
        <v>Cultivo de trigo</v>
      </c>
      <c r="D4" s="25" t="str">
        <f>'04_MOTOR_CÁLCULO'!D7</f>
        <v>AGRICULTURA, PEC</v>
      </c>
      <c r="E4" s="82" t="str">
        <f>'04_MOTOR_CÁLCULO'!N7</f>
        <v>FAP/MPS</v>
      </c>
      <c r="F4" s="51">
        <f>'04_MOTOR_CÁLCULO'!K7</f>
        <v>0.75</v>
      </c>
      <c r="G4" s="52">
        <f>'04_MOTOR_CÁLCULO'!K7-1</f>
        <v>-0.25</v>
      </c>
      <c r="H4" s="53" t="str">
        <f>'04_MOTOR_CÁLCULO'!M7</f>
        <v>Preferencial</v>
      </c>
    </row>
    <row r="5" spans="1:8" ht="13.5" customHeight="1" x14ac:dyDescent="0.25">
      <c r="A5" s="13" t="str">
        <f>'04_MOTOR_CÁLCULO'!A10</f>
        <v>0112-1/02</v>
      </c>
      <c r="B5" s="49" t="str">
        <f>'04_MOTOR_CÁLCULO'!B10</f>
        <v>A</v>
      </c>
      <c r="C5" s="101" t="str">
        <f>'04_MOTOR_CÁLCULO'!C10</f>
        <v>Cultivo de juta</v>
      </c>
      <c r="D5" s="14" t="str">
        <f>'04_MOTOR_CÁLCULO'!D10</f>
        <v>AGRICULTURA, PEC</v>
      </c>
      <c r="E5" s="82" t="str">
        <f>'04_MOTOR_CÁLCULO'!N10</f>
        <v>FAP/MPS</v>
      </c>
      <c r="F5" s="51">
        <f>'04_MOTOR_CÁLCULO'!K10</f>
        <v>0.75</v>
      </c>
      <c r="G5" s="52">
        <f>'04_MOTOR_CÁLCULO'!K10-1</f>
        <v>-0.25</v>
      </c>
      <c r="H5" s="53" t="str">
        <f>'04_MOTOR_CÁLCULO'!M10</f>
        <v>Preferencial</v>
      </c>
    </row>
    <row r="6" spans="1:8" ht="13.5" customHeight="1" x14ac:dyDescent="0.25">
      <c r="A6" s="24" t="str">
        <f>'04_MOTOR_CÁLCULO'!A18</f>
        <v>0116-4/99</v>
      </c>
      <c r="B6" s="38" t="str">
        <f>'04_MOTOR_CÁLCULO'!B18</f>
        <v>A</v>
      </c>
      <c r="C6" s="100" t="str">
        <f>'04_MOTOR_CÁLCULO'!C18</f>
        <v>Cultivo de outras oleaginosas de lavoura temporária não especificadas anteriormente</v>
      </c>
      <c r="D6" s="25" t="str">
        <f>'04_MOTOR_CÁLCULO'!D18</f>
        <v>AGRICULTURA, PEC</v>
      </c>
      <c r="E6" s="82" t="str">
        <f>'04_MOTOR_CÁLCULO'!N18</f>
        <v>FAP/MPS</v>
      </c>
      <c r="F6" s="51">
        <f>'04_MOTOR_CÁLCULO'!K18</f>
        <v>0.75</v>
      </c>
      <c r="G6" s="52">
        <f>'04_MOTOR_CÁLCULO'!K18-1</f>
        <v>-0.25</v>
      </c>
      <c r="H6" s="53" t="str">
        <f>'04_MOTOR_CÁLCULO'!M18</f>
        <v>Preferencial</v>
      </c>
    </row>
    <row r="7" spans="1:8" ht="13.5" customHeight="1" x14ac:dyDescent="0.25">
      <c r="A7" s="13" t="str">
        <f>'04_MOTOR_CÁLCULO'!A20</f>
        <v>0119-9/02</v>
      </c>
      <c r="B7" s="49" t="str">
        <f>'04_MOTOR_CÁLCULO'!B20</f>
        <v>A</v>
      </c>
      <c r="C7" s="101" t="str">
        <f>'04_MOTOR_CÁLCULO'!C20</f>
        <v>Cultivo de alho</v>
      </c>
      <c r="D7" s="14" t="str">
        <f>'04_MOTOR_CÁLCULO'!D20</f>
        <v>AGRICULTURA, PEC</v>
      </c>
      <c r="E7" s="82" t="str">
        <f>'04_MOTOR_CÁLCULO'!N20</f>
        <v>FAP/MPS</v>
      </c>
      <c r="F7" s="51">
        <f>'04_MOTOR_CÁLCULO'!K20</f>
        <v>0.75</v>
      </c>
      <c r="G7" s="52">
        <f>'04_MOTOR_CÁLCULO'!K20-1</f>
        <v>-0.25</v>
      </c>
      <c r="H7" s="53" t="str">
        <f>'04_MOTOR_CÁLCULO'!M20</f>
        <v>Preferencial</v>
      </c>
    </row>
    <row r="8" spans="1:8" ht="13.5" customHeight="1" x14ac:dyDescent="0.25">
      <c r="A8" s="24" t="str">
        <f>'04_MOTOR_CÁLCULO'!A22</f>
        <v>0119-9/04</v>
      </c>
      <c r="B8" s="38" t="str">
        <f>'04_MOTOR_CÁLCULO'!B22</f>
        <v>A</v>
      </c>
      <c r="C8" s="100" t="str">
        <f>'04_MOTOR_CÁLCULO'!C22</f>
        <v>Cultivo de cebola</v>
      </c>
      <c r="D8" s="25" t="str">
        <f>'04_MOTOR_CÁLCULO'!D22</f>
        <v>AGRICULTURA, PEC</v>
      </c>
      <c r="E8" s="82" t="str">
        <f>'04_MOTOR_CÁLCULO'!N22</f>
        <v>FAP/MPS</v>
      </c>
      <c r="F8" s="51">
        <f>'04_MOTOR_CÁLCULO'!K22</f>
        <v>0.75</v>
      </c>
      <c r="G8" s="52">
        <f>'04_MOTOR_CÁLCULO'!K22-1</f>
        <v>-0.25</v>
      </c>
      <c r="H8" s="53" t="str">
        <f>'04_MOTOR_CÁLCULO'!M22</f>
        <v>Preferencial</v>
      </c>
    </row>
    <row r="9" spans="1:8" ht="13.5" customHeight="1" x14ac:dyDescent="0.25">
      <c r="A9" s="13" t="str">
        <f>'04_MOTOR_CÁLCULO'!A24</f>
        <v>0119-9/06</v>
      </c>
      <c r="B9" s="49" t="str">
        <f>'04_MOTOR_CÁLCULO'!B24</f>
        <v>A</v>
      </c>
      <c r="C9" s="101" t="str">
        <f>'04_MOTOR_CÁLCULO'!C24</f>
        <v>Cultivo de mandioca</v>
      </c>
      <c r="D9" s="14" t="str">
        <f>'04_MOTOR_CÁLCULO'!D24</f>
        <v>AGRICULTURA, PEC</v>
      </c>
      <c r="E9" s="82" t="str">
        <f>'04_MOTOR_CÁLCULO'!N24</f>
        <v>FAP/MPS</v>
      </c>
      <c r="F9" s="51">
        <f>'04_MOTOR_CÁLCULO'!K24</f>
        <v>0.75</v>
      </c>
      <c r="G9" s="52">
        <f>'04_MOTOR_CÁLCULO'!K24-1</f>
        <v>-0.25</v>
      </c>
      <c r="H9" s="53" t="str">
        <f>'04_MOTOR_CÁLCULO'!M24</f>
        <v>Preferencial</v>
      </c>
    </row>
    <row r="10" spans="1:8" ht="13.5" customHeight="1" x14ac:dyDescent="0.25">
      <c r="A10" s="24" t="str">
        <f>'04_MOTOR_CÁLCULO'!A27</f>
        <v>0119-9/09</v>
      </c>
      <c r="B10" s="38" t="str">
        <f>'04_MOTOR_CÁLCULO'!B27</f>
        <v>A</v>
      </c>
      <c r="C10" s="100" t="str">
        <f>'04_MOTOR_CÁLCULO'!C27</f>
        <v>Cultivo de tomate rasteiro</v>
      </c>
      <c r="D10" s="25" t="str">
        <f>'04_MOTOR_CÁLCULO'!D27</f>
        <v>AGRICULTURA, PEC</v>
      </c>
      <c r="E10" s="82" t="str">
        <f>'04_MOTOR_CÁLCULO'!N27</f>
        <v>FAP/MPS</v>
      </c>
      <c r="F10" s="51">
        <f>'04_MOTOR_CÁLCULO'!K27</f>
        <v>0.75</v>
      </c>
      <c r="G10" s="52">
        <f>'04_MOTOR_CÁLCULO'!K27-1</f>
        <v>-0.25</v>
      </c>
      <c r="H10" s="53" t="str">
        <f>'04_MOTOR_CÁLCULO'!M27</f>
        <v>Preferencial</v>
      </c>
    </row>
    <row r="11" spans="1:8" ht="13.5" customHeight="1" x14ac:dyDescent="0.25">
      <c r="A11" s="13" t="str">
        <f>'04_MOTOR_CÁLCULO'!A29</f>
        <v>0121-1/01</v>
      </c>
      <c r="B11" s="49" t="str">
        <f>'04_MOTOR_CÁLCULO'!B29</f>
        <v>A</v>
      </c>
      <c r="C11" s="101" t="str">
        <f>'04_MOTOR_CÁLCULO'!C29</f>
        <v>Horticultura, exceto morango</v>
      </c>
      <c r="D11" s="14" t="str">
        <f>'04_MOTOR_CÁLCULO'!D29</f>
        <v>AGRICULTURA, PEC</v>
      </c>
      <c r="E11" s="82" t="str">
        <f>'04_MOTOR_CÁLCULO'!N29</f>
        <v>FAP/MPS</v>
      </c>
      <c r="F11" s="51">
        <f>'04_MOTOR_CÁLCULO'!K29</f>
        <v>0.75</v>
      </c>
      <c r="G11" s="52">
        <f>'04_MOTOR_CÁLCULO'!K29-1</f>
        <v>-0.25</v>
      </c>
      <c r="H11" s="53" t="str">
        <f>'04_MOTOR_CÁLCULO'!M29</f>
        <v>Preferencial</v>
      </c>
    </row>
    <row r="12" spans="1:8" ht="13.5" customHeight="1" x14ac:dyDescent="0.25">
      <c r="A12" s="24" t="str">
        <f>'04_MOTOR_CÁLCULO'!A31</f>
        <v>0122-9/00</v>
      </c>
      <c r="B12" s="38" t="str">
        <f>'04_MOTOR_CÁLCULO'!B31</f>
        <v>A</v>
      </c>
      <c r="C12" s="100" t="str">
        <f>'04_MOTOR_CÁLCULO'!C31</f>
        <v>Cultivo de flores e plantas ornamentais</v>
      </c>
      <c r="D12" s="25" t="str">
        <f>'04_MOTOR_CÁLCULO'!D31</f>
        <v>AGRICULTURA, PEC</v>
      </c>
      <c r="E12" s="82" t="str">
        <f>'04_MOTOR_CÁLCULO'!N31</f>
        <v>FAP/MPS</v>
      </c>
      <c r="F12" s="51">
        <f>'04_MOTOR_CÁLCULO'!K31</f>
        <v>0.75</v>
      </c>
      <c r="G12" s="52">
        <f>'04_MOTOR_CÁLCULO'!K31-1</f>
        <v>-0.25</v>
      </c>
      <c r="H12" s="53" t="str">
        <f>'04_MOTOR_CÁLCULO'!M31</f>
        <v>Preferencial</v>
      </c>
    </row>
    <row r="13" spans="1:8" ht="13.5" customHeight="1" x14ac:dyDescent="0.25">
      <c r="A13" s="13" t="str">
        <f>'04_MOTOR_CÁLCULO'!A34</f>
        <v>0133-4/01</v>
      </c>
      <c r="B13" s="49" t="str">
        <f>'04_MOTOR_CÁLCULO'!B34</f>
        <v>A</v>
      </c>
      <c r="C13" s="101" t="str">
        <f>'04_MOTOR_CÁLCULO'!C34</f>
        <v>Cultivo de açaí</v>
      </c>
      <c r="D13" s="14" t="str">
        <f>'04_MOTOR_CÁLCULO'!D34</f>
        <v>AGRICULTURA, PEC</v>
      </c>
      <c r="E13" s="82" t="str">
        <f>'04_MOTOR_CÁLCULO'!N34</f>
        <v>FAP/MPS</v>
      </c>
      <c r="F13" s="51">
        <f>'04_MOTOR_CÁLCULO'!K34</f>
        <v>0.75</v>
      </c>
      <c r="G13" s="52">
        <f>'04_MOTOR_CÁLCULO'!K34-1</f>
        <v>-0.25</v>
      </c>
      <c r="H13" s="53" t="str">
        <f>'04_MOTOR_CÁLCULO'!M34</f>
        <v>Preferencial</v>
      </c>
    </row>
    <row r="14" spans="1:8" ht="13.5" customHeight="1" x14ac:dyDescent="0.25">
      <c r="A14" s="24" t="str">
        <f>'04_MOTOR_CÁLCULO'!A51</f>
        <v>0139-3/04</v>
      </c>
      <c r="B14" s="38" t="str">
        <f>'04_MOTOR_CÁLCULO'!B51</f>
        <v>A</v>
      </c>
      <c r="C14" s="100" t="str">
        <f>'04_MOTOR_CÁLCULO'!C51</f>
        <v>Cultivo de plantas para condimento, exceto pimenta-do-reino</v>
      </c>
      <c r="D14" s="25" t="str">
        <f>'04_MOTOR_CÁLCULO'!D51</f>
        <v>AGRICULTURA, PEC</v>
      </c>
      <c r="E14" s="82" t="str">
        <f>'04_MOTOR_CÁLCULO'!N51</f>
        <v>FAP/MPS</v>
      </c>
      <c r="F14" s="51">
        <f>'04_MOTOR_CÁLCULO'!K51</f>
        <v>0.75</v>
      </c>
      <c r="G14" s="52">
        <f>'04_MOTOR_CÁLCULO'!K51-1</f>
        <v>-0.25</v>
      </c>
      <c r="H14" s="53" t="str">
        <f>'04_MOTOR_CÁLCULO'!M51</f>
        <v>Preferencial</v>
      </c>
    </row>
    <row r="15" spans="1:8" ht="13.5" customHeight="1" x14ac:dyDescent="0.25">
      <c r="A15" s="13" t="str">
        <f>'04_MOTOR_CÁLCULO'!A53</f>
        <v>0139-3/06</v>
      </c>
      <c r="B15" s="49" t="str">
        <f>'04_MOTOR_CÁLCULO'!B53</f>
        <v>A</v>
      </c>
      <c r="C15" s="101" t="str">
        <f>'04_MOTOR_CÁLCULO'!C53</f>
        <v>Cultivo de seringueira</v>
      </c>
      <c r="D15" s="14" t="str">
        <f>'04_MOTOR_CÁLCULO'!D53</f>
        <v>AGRICULTURA, PEC</v>
      </c>
      <c r="E15" s="82" t="str">
        <f>'04_MOTOR_CÁLCULO'!N53</f>
        <v>FAP/MPS</v>
      </c>
      <c r="F15" s="51">
        <f>'04_MOTOR_CÁLCULO'!K53</f>
        <v>0.75</v>
      </c>
      <c r="G15" s="52">
        <f>'04_MOTOR_CÁLCULO'!K53-1</f>
        <v>-0.25</v>
      </c>
      <c r="H15" s="53" t="str">
        <f>'04_MOTOR_CÁLCULO'!M53</f>
        <v>Preferencial</v>
      </c>
    </row>
    <row r="16" spans="1:8" ht="13.5" customHeight="1" x14ac:dyDescent="0.25">
      <c r="A16" s="24" t="str">
        <f>'04_MOTOR_CÁLCULO'!A55</f>
        <v>0141-5/01</v>
      </c>
      <c r="B16" s="38" t="str">
        <f>'04_MOTOR_CÁLCULO'!B55</f>
        <v>A</v>
      </c>
      <c r="C16" s="100" t="str">
        <f>'04_MOTOR_CÁLCULO'!C55</f>
        <v>Produção de sementes certificadas, exceto de forrageiras para pasto</v>
      </c>
      <c r="D16" s="25" t="str">
        <f>'04_MOTOR_CÁLCULO'!D55</f>
        <v>AGRICULTURA, PEC</v>
      </c>
      <c r="E16" s="82" t="str">
        <f>'04_MOTOR_CÁLCULO'!N55</f>
        <v>FAP/MPS</v>
      </c>
      <c r="F16" s="51">
        <f>'04_MOTOR_CÁLCULO'!K55</f>
        <v>0.75</v>
      </c>
      <c r="G16" s="52">
        <f>'04_MOTOR_CÁLCULO'!K55-1</f>
        <v>-0.25</v>
      </c>
      <c r="H16" s="53" t="str">
        <f>'04_MOTOR_CÁLCULO'!M55</f>
        <v>Preferencial</v>
      </c>
    </row>
    <row r="17" spans="1:8" ht="13.5" customHeight="1" x14ac:dyDescent="0.25">
      <c r="A17" s="13" t="str">
        <f>'04_MOTOR_CÁLCULO'!A61</f>
        <v>0152-1/01</v>
      </c>
      <c r="B17" s="49" t="str">
        <f>'04_MOTOR_CÁLCULO'!B61</f>
        <v>A</v>
      </c>
      <c r="C17" s="101" t="str">
        <f>'04_MOTOR_CÁLCULO'!C61</f>
        <v>Criação de bufalinos</v>
      </c>
      <c r="D17" s="14" t="str">
        <f>'04_MOTOR_CÁLCULO'!D61</f>
        <v>AGRICULTURA, PEC</v>
      </c>
      <c r="E17" s="82" t="str">
        <f>'04_MOTOR_CÁLCULO'!N61</f>
        <v>FAP/MPS</v>
      </c>
      <c r="F17" s="51">
        <f>'04_MOTOR_CÁLCULO'!K61</f>
        <v>0.75</v>
      </c>
      <c r="G17" s="52">
        <f>'04_MOTOR_CÁLCULO'!K61-1</f>
        <v>-0.25</v>
      </c>
      <c r="H17" s="53" t="str">
        <f>'04_MOTOR_CÁLCULO'!M61</f>
        <v>Preferencial</v>
      </c>
    </row>
    <row r="18" spans="1:8" ht="13.5" customHeight="1" x14ac:dyDescent="0.25">
      <c r="A18" s="24" t="str">
        <f>'04_MOTOR_CÁLCULO'!A64</f>
        <v>0153-9/01</v>
      </c>
      <c r="B18" s="38" t="str">
        <f>'04_MOTOR_CÁLCULO'!B64</f>
        <v>A</v>
      </c>
      <c r="C18" s="100" t="str">
        <f>'04_MOTOR_CÁLCULO'!C64</f>
        <v>Criação de caprinos</v>
      </c>
      <c r="D18" s="25" t="str">
        <f>'04_MOTOR_CÁLCULO'!D64</f>
        <v>AGRICULTURA, PEC</v>
      </c>
      <c r="E18" s="82" t="str">
        <f>'04_MOTOR_CÁLCULO'!N64</f>
        <v>FAP/MPS</v>
      </c>
      <c r="F18" s="51">
        <f>'04_MOTOR_CÁLCULO'!K64</f>
        <v>0.75</v>
      </c>
      <c r="G18" s="52">
        <f>'04_MOTOR_CÁLCULO'!K64-1</f>
        <v>-0.25</v>
      </c>
      <c r="H18" s="53" t="str">
        <f>'04_MOTOR_CÁLCULO'!M64</f>
        <v>Preferencial</v>
      </c>
    </row>
    <row r="19" spans="1:8" ht="13.5" customHeight="1" x14ac:dyDescent="0.25">
      <c r="A19" s="13" t="str">
        <f>'04_MOTOR_CÁLCULO'!A70</f>
        <v>0155-5/04</v>
      </c>
      <c r="B19" s="49" t="str">
        <f>'04_MOTOR_CÁLCULO'!B70</f>
        <v>A</v>
      </c>
      <c r="C19" s="101" t="str">
        <f>'04_MOTOR_CÁLCULO'!C70</f>
        <v>Criação de aves, exceto galináceos</v>
      </c>
      <c r="D19" s="14" t="str">
        <f>'04_MOTOR_CÁLCULO'!D70</f>
        <v>AGRICULTURA, PEC</v>
      </c>
      <c r="E19" s="82" t="str">
        <f>'04_MOTOR_CÁLCULO'!N70</f>
        <v>FAP/MPS</v>
      </c>
      <c r="F19" s="51">
        <f>'04_MOTOR_CÁLCULO'!K70</f>
        <v>0.75</v>
      </c>
      <c r="G19" s="52">
        <f>'04_MOTOR_CÁLCULO'!K70-1</f>
        <v>-0.25</v>
      </c>
      <c r="H19" s="53" t="str">
        <f>'04_MOTOR_CÁLCULO'!M70</f>
        <v>Preferencial</v>
      </c>
    </row>
    <row r="20" spans="1:8" ht="13.5" customHeight="1" x14ac:dyDescent="0.25">
      <c r="A20" s="24" t="str">
        <f>'04_MOTOR_CÁLCULO'!A88</f>
        <v>0210-1/02</v>
      </c>
      <c r="B20" s="38" t="str">
        <f>'04_MOTOR_CÁLCULO'!B88</f>
        <v>A</v>
      </c>
      <c r="C20" s="100" t="str">
        <f>'04_MOTOR_CÁLCULO'!C88</f>
        <v>Cultivo de acácia-negra</v>
      </c>
      <c r="D20" s="25" t="str">
        <f>'04_MOTOR_CÁLCULO'!D88</f>
        <v>PRODUÇÃO FLOREST</v>
      </c>
      <c r="E20" s="82" t="str">
        <f>'04_MOTOR_CÁLCULO'!N88</f>
        <v>FAP/MPS</v>
      </c>
      <c r="F20" s="51">
        <f>'04_MOTOR_CÁLCULO'!K88</f>
        <v>0.75</v>
      </c>
      <c r="G20" s="52">
        <f>'04_MOTOR_CÁLCULO'!K88-1</f>
        <v>-0.25</v>
      </c>
      <c r="H20" s="53" t="str">
        <f>'04_MOTOR_CÁLCULO'!M88</f>
        <v>Preferencial</v>
      </c>
    </row>
    <row r="21" spans="1:8" ht="13.5" customHeight="1" x14ac:dyDescent="0.25">
      <c r="A21" s="13" t="str">
        <f>'04_MOTOR_CÁLCULO'!A95</f>
        <v>0210-1/09</v>
      </c>
      <c r="B21" s="49" t="str">
        <f>'04_MOTOR_CÁLCULO'!B95</f>
        <v>A</v>
      </c>
      <c r="C21" s="101" t="str">
        <f>'04_MOTOR_CÁLCULO'!C95</f>
        <v>Produção de casca de acácia-negra - florestas plantadas</v>
      </c>
      <c r="D21" s="14" t="str">
        <f>'04_MOTOR_CÁLCULO'!D95</f>
        <v>PRODUÇÃO FLOREST</v>
      </c>
      <c r="E21" s="82" t="str">
        <f>'04_MOTOR_CÁLCULO'!N95</f>
        <v>FAP/MPS</v>
      </c>
      <c r="F21" s="51">
        <f>'04_MOTOR_CÁLCULO'!K95</f>
        <v>0.75</v>
      </c>
      <c r="G21" s="52">
        <f>'04_MOTOR_CÁLCULO'!K95-1</f>
        <v>-0.25</v>
      </c>
      <c r="H21" s="53" t="str">
        <f>'04_MOTOR_CÁLCULO'!M95</f>
        <v>Preferencial</v>
      </c>
    </row>
    <row r="22" spans="1:8" ht="13.5" customHeight="1" x14ac:dyDescent="0.25">
      <c r="A22" s="24" t="str">
        <f>'04_MOTOR_CÁLCULO'!A108</f>
        <v>0311-6/04</v>
      </c>
      <c r="B22" s="38" t="str">
        <f>'04_MOTOR_CÁLCULO'!B108</f>
        <v>A</v>
      </c>
      <c r="C22" s="100" t="str">
        <f>'04_MOTOR_CÁLCULO'!C108</f>
        <v>Atividades de apoio à pesca em água salgada</v>
      </c>
      <c r="D22" s="25" t="str">
        <f>'04_MOTOR_CÁLCULO'!D108</f>
        <v>PESCA E AQÜICULT</v>
      </c>
      <c r="E22" s="82" t="str">
        <f>'04_MOTOR_CÁLCULO'!N108</f>
        <v>FAP/MPS</v>
      </c>
      <c r="F22" s="51">
        <f>'04_MOTOR_CÁLCULO'!K108</f>
        <v>0.75</v>
      </c>
      <c r="G22" s="52">
        <f>'04_MOTOR_CÁLCULO'!K108-1</f>
        <v>-0.25</v>
      </c>
      <c r="H22" s="53" t="str">
        <f>'04_MOTOR_CÁLCULO'!M108</f>
        <v>Preferencial</v>
      </c>
    </row>
    <row r="23" spans="1:8" ht="13.5" customHeight="1" x14ac:dyDescent="0.25">
      <c r="A23" s="13" t="str">
        <f>'04_MOTOR_CÁLCULO'!A111</f>
        <v>0312-4/03</v>
      </c>
      <c r="B23" s="49" t="str">
        <f>'04_MOTOR_CÁLCULO'!B111</f>
        <v>A</v>
      </c>
      <c r="C23" s="101" t="str">
        <f>'04_MOTOR_CÁLCULO'!C111</f>
        <v>Coleta de outros produtos aquáticos de água doce</v>
      </c>
      <c r="D23" s="14" t="str">
        <f>'04_MOTOR_CÁLCULO'!D111</f>
        <v>PESCA E AQÜICULT</v>
      </c>
      <c r="E23" s="82" t="str">
        <f>'04_MOTOR_CÁLCULO'!N111</f>
        <v>FAP/MPS</v>
      </c>
      <c r="F23" s="51">
        <f>'04_MOTOR_CÁLCULO'!K111</f>
        <v>0.75</v>
      </c>
      <c r="G23" s="52">
        <f>'04_MOTOR_CÁLCULO'!K111-1</f>
        <v>-0.25</v>
      </c>
      <c r="H23" s="53" t="str">
        <f>'04_MOTOR_CÁLCULO'!M111</f>
        <v>Preferencial</v>
      </c>
    </row>
    <row r="24" spans="1:8" ht="13.5" customHeight="1" x14ac:dyDescent="0.25">
      <c r="A24" s="24" t="str">
        <f>'04_MOTOR_CÁLCULO'!A117</f>
        <v>0321-3/05</v>
      </c>
      <c r="B24" s="38" t="str">
        <f>'04_MOTOR_CÁLCULO'!B117</f>
        <v>A</v>
      </c>
      <c r="C24" s="100" t="str">
        <f>'04_MOTOR_CÁLCULO'!C117</f>
        <v>Atividades de apoio à aquicultura em água salgada e salobra</v>
      </c>
      <c r="D24" s="25" t="str">
        <f>'04_MOTOR_CÁLCULO'!D117</f>
        <v>PESCA E AQÜICULT</v>
      </c>
      <c r="E24" s="82" t="str">
        <f>'04_MOTOR_CÁLCULO'!N117</f>
        <v>FAP/MPS</v>
      </c>
      <c r="F24" s="51">
        <f>'04_MOTOR_CÁLCULO'!K117</f>
        <v>0.75</v>
      </c>
      <c r="G24" s="52">
        <f>'04_MOTOR_CÁLCULO'!K117-1</f>
        <v>-0.25</v>
      </c>
      <c r="H24" s="53" t="str">
        <f>'04_MOTOR_CÁLCULO'!M117</f>
        <v>Preferencial</v>
      </c>
    </row>
    <row r="25" spans="1:8" ht="13.5" customHeight="1" x14ac:dyDescent="0.25">
      <c r="A25" s="13" t="str">
        <f>'04_MOTOR_CÁLCULO'!A118</f>
        <v>0321-3/99</v>
      </c>
      <c r="B25" s="49" t="str">
        <f>'04_MOTOR_CÁLCULO'!B118</f>
        <v>A</v>
      </c>
      <c r="C25" s="101" t="str">
        <f>'04_MOTOR_CÁLCULO'!C118</f>
        <v>Cultivos e semicultivos da aquicultura em água salgada e salobra não especificados anteriormente</v>
      </c>
      <c r="D25" s="14" t="str">
        <f>'04_MOTOR_CÁLCULO'!D118</f>
        <v>PESCA E AQÜICULT</v>
      </c>
      <c r="E25" s="82" t="str">
        <f>'04_MOTOR_CÁLCULO'!N118</f>
        <v>FAP/MPS</v>
      </c>
      <c r="F25" s="51">
        <f>'04_MOTOR_CÁLCULO'!K118</f>
        <v>0.75</v>
      </c>
      <c r="G25" s="52">
        <f>'04_MOTOR_CÁLCULO'!K118-1</f>
        <v>-0.25</v>
      </c>
      <c r="H25" s="53" t="str">
        <f>'04_MOTOR_CÁLCULO'!M118</f>
        <v>Preferencial</v>
      </c>
    </row>
    <row r="26" spans="1:8" ht="13.5" customHeight="1" x14ac:dyDescent="0.25">
      <c r="A26" s="24" t="str">
        <f>'04_MOTOR_CÁLCULO'!A119</f>
        <v>0322-1/01</v>
      </c>
      <c r="B26" s="38" t="str">
        <f>'04_MOTOR_CÁLCULO'!B119</f>
        <v>A</v>
      </c>
      <c r="C26" s="100" t="str">
        <f>'04_MOTOR_CÁLCULO'!C119</f>
        <v>Criação de peixes em água doce</v>
      </c>
      <c r="D26" s="25" t="str">
        <f>'04_MOTOR_CÁLCULO'!D119</f>
        <v>PESCA E AQÜICULT</v>
      </c>
      <c r="E26" s="82" t="str">
        <f>'04_MOTOR_CÁLCULO'!N119</f>
        <v>FAP/MPS</v>
      </c>
      <c r="F26" s="51">
        <f>'04_MOTOR_CÁLCULO'!K119</f>
        <v>0.75</v>
      </c>
      <c r="G26" s="52">
        <f>'04_MOTOR_CÁLCULO'!K119-1</f>
        <v>-0.25</v>
      </c>
      <c r="H26" s="53" t="str">
        <f>'04_MOTOR_CÁLCULO'!M119</f>
        <v>Preferencial</v>
      </c>
    </row>
    <row r="27" spans="1:8" ht="13.5" customHeight="1" x14ac:dyDescent="0.25">
      <c r="A27" s="13" t="str">
        <f>'04_MOTOR_CÁLCULO'!A120</f>
        <v>0322-1/02</v>
      </c>
      <c r="B27" s="49" t="str">
        <f>'04_MOTOR_CÁLCULO'!B120</f>
        <v>A</v>
      </c>
      <c r="C27" s="101" t="str">
        <f>'04_MOTOR_CÁLCULO'!C120</f>
        <v>Criação de camarões em água doce</v>
      </c>
      <c r="D27" s="14" t="str">
        <f>'04_MOTOR_CÁLCULO'!D120</f>
        <v>PESCA E AQÜICULT</v>
      </c>
      <c r="E27" s="82" t="str">
        <f>'04_MOTOR_CÁLCULO'!N120</f>
        <v>FAP/MPS</v>
      </c>
      <c r="F27" s="51">
        <f>'04_MOTOR_CÁLCULO'!K120</f>
        <v>0.75</v>
      </c>
      <c r="G27" s="52">
        <f>'04_MOTOR_CÁLCULO'!K120-1</f>
        <v>-0.25</v>
      </c>
      <c r="H27" s="53" t="str">
        <f>'04_MOTOR_CÁLCULO'!M120</f>
        <v>Preferencial</v>
      </c>
    </row>
    <row r="28" spans="1:8" ht="13.5" customHeight="1" x14ac:dyDescent="0.25">
      <c r="A28" s="24" t="str">
        <f>'04_MOTOR_CÁLCULO'!A122</f>
        <v>0322-1/04</v>
      </c>
      <c r="B28" s="38" t="str">
        <f>'04_MOTOR_CÁLCULO'!B122</f>
        <v>A</v>
      </c>
      <c r="C28" s="100" t="str">
        <f>'04_MOTOR_CÁLCULO'!C122</f>
        <v>Criação de peixes ornamentais em água doce</v>
      </c>
      <c r="D28" s="25" t="str">
        <f>'04_MOTOR_CÁLCULO'!D122</f>
        <v>PESCA E AQÜICULT</v>
      </c>
      <c r="E28" s="82" t="str">
        <f>'04_MOTOR_CÁLCULO'!N122</f>
        <v>FAP/MPS</v>
      </c>
      <c r="F28" s="51">
        <f>'04_MOTOR_CÁLCULO'!K122</f>
        <v>0.75</v>
      </c>
      <c r="G28" s="52">
        <f>'04_MOTOR_CÁLCULO'!K122-1</f>
        <v>-0.25</v>
      </c>
      <c r="H28" s="53" t="str">
        <f>'04_MOTOR_CÁLCULO'!M122</f>
        <v>Preferencial</v>
      </c>
    </row>
    <row r="29" spans="1:8" ht="13.5" customHeight="1" x14ac:dyDescent="0.25">
      <c r="A29" s="13" t="str">
        <f>'04_MOTOR_CÁLCULO'!A123</f>
        <v>0322-1/05</v>
      </c>
      <c r="B29" s="49" t="str">
        <f>'04_MOTOR_CÁLCULO'!B123</f>
        <v>A</v>
      </c>
      <c r="C29" s="101" t="str">
        <f>'04_MOTOR_CÁLCULO'!C123</f>
        <v>Ranicultura</v>
      </c>
      <c r="D29" s="14" t="str">
        <f>'04_MOTOR_CÁLCULO'!D123</f>
        <v>PESCA E AQÜICULT</v>
      </c>
      <c r="E29" s="82" t="str">
        <f>'04_MOTOR_CÁLCULO'!N123</f>
        <v>FAP/MPS</v>
      </c>
      <c r="F29" s="51">
        <f>'04_MOTOR_CÁLCULO'!K123</f>
        <v>0.75</v>
      </c>
      <c r="G29" s="52">
        <f>'04_MOTOR_CÁLCULO'!K123-1</f>
        <v>-0.25</v>
      </c>
      <c r="H29" s="53" t="str">
        <f>'04_MOTOR_CÁLCULO'!M123</f>
        <v>Preferencial</v>
      </c>
    </row>
    <row r="30" spans="1:8" ht="13.5" customHeight="1" x14ac:dyDescent="0.25">
      <c r="A30" s="24" t="str">
        <f>'04_MOTOR_CÁLCULO'!A126</f>
        <v>0322-1/99</v>
      </c>
      <c r="B30" s="38" t="str">
        <f>'04_MOTOR_CÁLCULO'!B126</f>
        <v>A</v>
      </c>
      <c r="C30" s="100" t="str">
        <f>'04_MOTOR_CÁLCULO'!C126</f>
        <v>Cultivos e semicultivos da aquicultura em água doce não especificados anteriormente</v>
      </c>
      <c r="D30" s="25" t="str">
        <f>'04_MOTOR_CÁLCULO'!D126</f>
        <v>PESCA E AQÜICULT</v>
      </c>
      <c r="E30" s="82" t="str">
        <f>'04_MOTOR_CÁLCULO'!N126</f>
        <v>FAP/MPS</v>
      </c>
      <c r="F30" s="51">
        <f>'04_MOTOR_CÁLCULO'!K126</f>
        <v>0.75</v>
      </c>
      <c r="G30" s="52">
        <f>'04_MOTOR_CÁLCULO'!K126-1</f>
        <v>-0.25</v>
      </c>
      <c r="H30" s="53" t="str">
        <f>'04_MOTOR_CÁLCULO'!M126</f>
        <v>Preferencial</v>
      </c>
    </row>
    <row r="31" spans="1:8" ht="13.5" customHeight="1" x14ac:dyDescent="0.25">
      <c r="A31" s="13" t="str">
        <f>'04_MOTOR_CÁLCULO'!A130</f>
        <v>0600-0/02</v>
      </c>
      <c r="B31" s="49" t="str">
        <f>'04_MOTOR_CÁLCULO'!B130</f>
        <v>B</v>
      </c>
      <c r="C31" s="101" t="str">
        <f>'04_MOTOR_CÁLCULO'!C130</f>
        <v>Extração e beneficiamento de xisto</v>
      </c>
      <c r="D31" s="14" t="str">
        <f>'04_MOTOR_CÁLCULO'!D130</f>
        <v>EXTRAÇÃO DE PETR</v>
      </c>
      <c r="E31" s="82" t="str">
        <f>'04_MOTOR_CÁLCULO'!N130</f>
        <v>FAP/MPS</v>
      </c>
      <c r="F31" s="51">
        <f>'04_MOTOR_CÁLCULO'!K130</f>
        <v>0.75</v>
      </c>
      <c r="G31" s="52">
        <f>'04_MOTOR_CÁLCULO'!K130-1</f>
        <v>-0.25</v>
      </c>
      <c r="H31" s="53" t="str">
        <f>'04_MOTOR_CÁLCULO'!M130</f>
        <v>Preferencial</v>
      </c>
    </row>
    <row r="32" spans="1:8" ht="13.5" customHeight="1" x14ac:dyDescent="0.25">
      <c r="A32" s="24" t="str">
        <f>'04_MOTOR_CÁLCULO'!A132</f>
        <v>0710-3/01</v>
      </c>
      <c r="B32" s="38" t="str">
        <f>'04_MOTOR_CÁLCULO'!B132</f>
        <v>B</v>
      </c>
      <c r="C32" s="100" t="str">
        <f>'04_MOTOR_CÁLCULO'!C132</f>
        <v>Extração de minério de ferro</v>
      </c>
      <c r="D32" s="25" t="str">
        <f>'04_MOTOR_CÁLCULO'!D132</f>
        <v>EXTRAÇÃO DE MINE</v>
      </c>
      <c r="E32" s="82" t="str">
        <f>'04_MOTOR_CÁLCULO'!N132</f>
        <v>FAP/MPS</v>
      </c>
      <c r="F32" s="51">
        <f>'04_MOTOR_CÁLCULO'!K132</f>
        <v>0.75</v>
      </c>
      <c r="G32" s="52">
        <f>'04_MOTOR_CÁLCULO'!K132-1</f>
        <v>-0.25</v>
      </c>
      <c r="H32" s="53" t="str">
        <f>'04_MOTOR_CÁLCULO'!M132</f>
        <v>Preferencial</v>
      </c>
    </row>
    <row r="33" spans="1:8" ht="13.5" customHeight="1" x14ac:dyDescent="0.25">
      <c r="A33" s="13" t="str">
        <f>'04_MOTOR_CÁLCULO'!A133</f>
        <v>0710-3/02</v>
      </c>
      <c r="B33" s="49" t="str">
        <f>'04_MOTOR_CÁLCULO'!B133</f>
        <v>B</v>
      </c>
      <c r="C33" s="101" t="str">
        <f>'04_MOTOR_CÁLCULO'!C133</f>
        <v>Pelotização, sinterização e outros beneficiamentos de minério de ferro</v>
      </c>
      <c r="D33" s="14" t="str">
        <f>'04_MOTOR_CÁLCULO'!D133</f>
        <v>EXTRAÇÃO DE MINE</v>
      </c>
      <c r="E33" s="82" t="str">
        <f>'04_MOTOR_CÁLCULO'!N133</f>
        <v>FAP/MPS</v>
      </c>
      <c r="F33" s="51">
        <f>'04_MOTOR_CÁLCULO'!K133</f>
        <v>0.75</v>
      </c>
      <c r="G33" s="52">
        <f>'04_MOTOR_CÁLCULO'!K133-1</f>
        <v>-0.25</v>
      </c>
      <c r="H33" s="53" t="str">
        <f>'04_MOTOR_CÁLCULO'!M133</f>
        <v>Preferencial</v>
      </c>
    </row>
    <row r="34" spans="1:8" ht="13.5" customHeight="1" x14ac:dyDescent="0.25">
      <c r="A34" s="24" t="str">
        <f>'04_MOTOR_CÁLCULO'!A134</f>
        <v>0721-9/01</v>
      </c>
      <c r="B34" s="38" t="str">
        <f>'04_MOTOR_CÁLCULO'!B134</f>
        <v>B</v>
      </c>
      <c r="C34" s="100" t="str">
        <f>'04_MOTOR_CÁLCULO'!C134</f>
        <v>Extração de minério de alumínio</v>
      </c>
      <c r="D34" s="25" t="str">
        <f>'04_MOTOR_CÁLCULO'!D134</f>
        <v>EXTRAÇÃO DE MINE</v>
      </c>
      <c r="E34" s="82" t="str">
        <f>'04_MOTOR_CÁLCULO'!N134</f>
        <v>FAP/MPS</v>
      </c>
      <c r="F34" s="51">
        <f>'04_MOTOR_CÁLCULO'!K134</f>
        <v>0.75</v>
      </c>
      <c r="G34" s="52">
        <f>'04_MOTOR_CÁLCULO'!K134-1</f>
        <v>-0.25</v>
      </c>
      <c r="H34" s="53" t="str">
        <f>'04_MOTOR_CÁLCULO'!M134</f>
        <v>Preferencial</v>
      </c>
    </row>
    <row r="35" spans="1:8" ht="13.5" customHeight="1" x14ac:dyDescent="0.25">
      <c r="A35" s="13" t="str">
        <f>'04_MOTOR_CÁLCULO'!A141</f>
        <v>0724-3/02</v>
      </c>
      <c r="B35" s="49" t="str">
        <f>'04_MOTOR_CÁLCULO'!B141</f>
        <v>B</v>
      </c>
      <c r="C35" s="101" t="str">
        <f>'04_MOTOR_CÁLCULO'!C141</f>
        <v>Beneficiamento de minério de metais preciosos</v>
      </c>
      <c r="D35" s="14" t="str">
        <f>'04_MOTOR_CÁLCULO'!D141</f>
        <v>EXTRAÇÃO DE MINE</v>
      </c>
      <c r="E35" s="82" t="str">
        <f>'04_MOTOR_CÁLCULO'!N141</f>
        <v>FAP/MPS</v>
      </c>
      <c r="F35" s="51">
        <f>'04_MOTOR_CÁLCULO'!K141</f>
        <v>0.75</v>
      </c>
      <c r="G35" s="52">
        <f>'04_MOTOR_CÁLCULO'!K141-1</f>
        <v>-0.25</v>
      </c>
      <c r="H35" s="53" t="str">
        <f>'04_MOTOR_CÁLCULO'!M141</f>
        <v>Preferencial</v>
      </c>
    </row>
    <row r="36" spans="1:8" ht="13.5" customHeight="1" x14ac:dyDescent="0.25">
      <c r="A36" s="24" t="str">
        <f>'04_MOTOR_CÁLCULO'!A143</f>
        <v>0729-4/01</v>
      </c>
      <c r="B36" s="38" t="str">
        <f>'04_MOTOR_CÁLCULO'!B143</f>
        <v>B</v>
      </c>
      <c r="C36" s="100" t="str">
        <f>'04_MOTOR_CÁLCULO'!C143</f>
        <v>Extração de minérios de nióbio e titânio</v>
      </c>
      <c r="D36" s="25" t="str">
        <f>'04_MOTOR_CÁLCULO'!D143</f>
        <v>EXTRAÇÃO DE MINE</v>
      </c>
      <c r="E36" s="82" t="str">
        <f>'04_MOTOR_CÁLCULO'!N143</f>
        <v>FAP/MPS</v>
      </c>
      <c r="F36" s="51">
        <f>'04_MOTOR_CÁLCULO'!K143</f>
        <v>0.75</v>
      </c>
      <c r="G36" s="52">
        <f>'04_MOTOR_CÁLCULO'!K143-1</f>
        <v>-0.25</v>
      </c>
      <c r="H36" s="53" t="str">
        <f>'04_MOTOR_CÁLCULO'!M143</f>
        <v>Preferencial</v>
      </c>
    </row>
    <row r="37" spans="1:8" ht="13.5" customHeight="1" x14ac:dyDescent="0.25">
      <c r="A37" s="13" t="str">
        <f>'04_MOTOR_CÁLCULO'!A144</f>
        <v>0729-4/02</v>
      </c>
      <c r="B37" s="49" t="str">
        <f>'04_MOTOR_CÁLCULO'!B144</f>
        <v>B</v>
      </c>
      <c r="C37" s="101" t="str">
        <f>'04_MOTOR_CÁLCULO'!C144</f>
        <v>Extração de minério de tungstênio</v>
      </c>
      <c r="D37" s="14" t="str">
        <f>'04_MOTOR_CÁLCULO'!D144</f>
        <v>EXTRAÇÃO DE MINE</v>
      </c>
      <c r="E37" s="82" t="str">
        <f>'04_MOTOR_CÁLCULO'!N144</f>
        <v>FAP/MPS</v>
      </c>
      <c r="F37" s="51">
        <f>'04_MOTOR_CÁLCULO'!K144</f>
        <v>0.75</v>
      </c>
      <c r="G37" s="52">
        <f>'04_MOTOR_CÁLCULO'!K144-1</f>
        <v>-0.25</v>
      </c>
      <c r="H37" s="53" t="str">
        <f>'04_MOTOR_CÁLCULO'!M144</f>
        <v>Preferencial</v>
      </c>
    </row>
    <row r="38" spans="1:8" ht="13.5" customHeight="1" x14ac:dyDescent="0.25">
      <c r="A38" s="24" t="str">
        <f>'04_MOTOR_CÁLCULO'!A145</f>
        <v>0729-4/03</v>
      </c>
      <c r="B38" s="38" t="str">
        <f>'04_MOTOR_CÁLCULO'!B145</f>
        <v>B</v>
      </c>
      <c r="C38" s="100" t="str">
        <f>'04_MOTOR_CÁLCULO'!C145</f>
        <v>Extração de minério de níquel</v>
      </c>
      <c r="D38" s="25" t="str">
        <f>'04_MOTOR_CÁLCULO'!D145</f>
        <v>EXTRAÇÃO DE MINE</v>
      </c>
      <c r="E38" s="82" t="str">
        <f>'04_MOTOR_CÁLCULO'!N145</f>
        <v>FAP/MPS</v>
      </c>
      <c r="F38" s="51">
        <f>'04_MOTOR_CÁLCULO'!K145</f>
        <v>0.75</v>
      </c>
      <c r="G38" s="52">
        <f>'04_MOTOR_CÁLCULO'!K145-1</f>
        <v>-0.25</v>
      </c>
      <c r="H38" s="53" t="str">
        <f>'04_MOTOR_CÁLCULO'!M145</f>
        <v>Preferencial</v>
      </c>
    </row>
    <row r="39" spans="1:8" ht="13.5" customHeight="1" x14ac:dyDescent="0.25">
      <c r="A39" s="13" t="str">
        <f>'04_MOTOR_CÁLCULO'!A155</f>
        <v>0810-0/08</v>
      </c>
      <c r="B39" s="49" t="str">
        <f>'04_MOTOR_CÁLCULO'!B155</f>
        <v>B</v>
      </c>
      <c r="C39" s="101" t="str">
        <f>'04_MOTOR_CÁLCULO'!C155</f>
        <v>Extração de saibro e beneficiamento associado</v>
      </c>
      <c r="D39" s="14" t="str">
        <f>'04_MOTOR_CÁLCULO'!D155</f>
        <v>EXTRAÇÃO DE MINE</v>
      </c>
      <c r="E39" s="82" t="str">
        <f>'04_MOTOR_CÁLCULO'!N155</f>
        <v>FAP/MPS</v>
      </c>
      <c r="F39" s="51">
        <f>'04_MOTOR_CÁLCULO'!K155</f>
        <v>0.75</v>
      </c>
      <c r="G39" s="52">
        <f>'04_MOTOR_CÁLCULO'!K155-1</f>
        <v>-0.25</v>
      </c>
      <c r="H39" s="53" t="str">
        <f>'04_MOTOR_CÁLCULO'!M155</f>
        <v>Preferencial</v>
      </c>
    </row>
    <row r="40" spans="1:8" ht="13.5" customHeight="1" x14ac:dyDescent="0.25">
      <c r="A40" s="24" t="str">
        <f>'04_MOTOR_CÁLCULO'!A157</f>
        <v>0810-0/10</v>
      </c>
      <c r="B40" s="38" t="str">
        <f>'04_MOTOR_CÁLCULO'!B157</f>
        <v>B</v>
      </c>
      <c r="C40" s="100" t="str">
        <f>'04_MOTOR_CÁLCULO'!C157</f>
        <v>Beneficiamento de gesso e caulim associado à extração</v>
      </c>
      <c r="D40" s="25" t="str">
        <f>'04_MOTOR_CÁLCULO'!D157</f>
        <v>EXTRAÇÃO DE MINE</v>
      </c>
      <c r="E40" s="82" t="str">
        <f>'04_MOTOR_CÁLCULO'!N157</f>
        <v>FAP/MPS</v>
      </c>
      <c r="F40" s="51">
        <f>'04_MOTOR_CÁLCULO'!K157</f>
        <v>0.75</v>
      </c>
      <c r="G40" s="52">
        <f>'04_MOTOR_CÁLCULO'!K157-1</f>
        <v>-0.25</v>
      </c>
      <c r="H40" s="53" t="str">
        <f>'04_MOTOR_CÁLCULO'!M157</f>
        <v>Preferencial</v>
      </c>
    </row>
    <row r="41" spans="1:8" ht="13.5" customHeight="1" x14ac:dyDescent="0.25">
      <c r="A41" s="13" t="str">
        <f>'04_MOTOR_CÁLCULO'!A161</f>
        <v>0892-4/02</v>
      </c>
      <c r="B41" s="49" t="str">
        <f>'04_MOTOR_CÁLCULO'!B161</f>
        <v>B</v>
      </c>
      <c r="C41" s="101" t="str">
        <f>'04_MOTOR_CÁLCULO'!C161</f>
        <v>Extração de sal-gema</v>
      </c>
      <c r="D41" s="14" t="str">
        <f>'04_MOTOR_CÁLCULO'!D161</f>
        <v>EXTRAÇÃO DE MINE</v>
      </c>
      <c r="E41" s="82" t="str">
        <f>'04_MOTOR_CÁLCULO'!N161</f>
        <v>FAP/MPS</v>
      </c>
      <c r="F41" s="51">
        <f>'04_MOTOR_CÁLCULO'!K161</f>
        <v>0.75</v>
      </c>
      <c r="G41" s="52">
        <f>'04_MOTOR_CÁLCULO'!K161-1</f>
        <v>-0.25</v>
      </c>
      <c r="H41" s="53" t="str">
        <f>'04_MOTOR_CÁLCULO'!M161</f>
        <v>Preferencial</v>
      </c>
    </row>
    <row r="42" spans="1:8" ht="13.5" customHeight="1" x14ac:dyDescent="0.25">
      <c r="A42" s="24" t="str">
        <f>'04_MOTOR_CÁLCULO'!A164</f>
        <v>0899-1/01</v>
      </c>
      <c r="B42" s="38" t="str">
        <f>'04_MOTOR_CÁLCULO'!B164</f>
        <v>B</v>
      </c>
      <c r="C42" s="100" t="str">
        <f>'04_MOTOR_CÁLCULO'!C164</f>
        <v>Extração de grafita</v>
      </c>
      <c r="D42" s="25" t="str">
        <f>'04_MOTOR_CÁLCULO'!D164</f>
        <v>EXTRAÇÃO DE MINE</v>
      </c>
      <c r="E42" s="82" t="str">
        <f>'04_MOTOR_CÁLCULO'!N164</f>
        <v>FAP/MPS</v>
      </c>
      <c r="F42" s="51">
        <f>'04_MOTOR_CÁLCULO'!K164</f>
        <v>0.75</v>
      </c>
      <c r="G42" s="52">
        <f>'04_MOTOR_CÁLCULO'!K164-1</f>
        <v>-0.25</v>
      </c>
      <c r="H42" s="53" t="str">
        <f>'04_MOTOR_CÁLCULO'!M164</f>
        <v>Preferencial</v>
      </c>
    </row>
    <row r="43" spans="1:8" ht="13.5" customHeight="1" x14ac:dyDescent="0.25">
      <c r="A43" s="13" t="str">
        <f>'04_MOTOR_CÁLCULO'!A57</f>
        <v>0142-3/00</v>
      </c>
      <c r="B43" s="49" t="str">
        <f>'04_MOTOR_CÁLCULO'!B57</f>
        <v>A</v>
      </c>
      <c r="C43" s="101" t="str">
        <f>'04_MOTOR_CÁLCULO'!C57</f>
        <v>Produção de mudas e outras formas de propagação vegetal, certificadas</v>
      </c>
      <c r="D43" s="14" t="str">
        <f>'04_MOTOR_CÁLCULO'!D57</f>
        <v>AGRICULTURA, PEC</v>
      </c>
      <c r="E43" s="82" t="str">
        <f>'04_MOTOR_CÁLCULO'!N57</f>
        <v>FAP/MPS</v>
      </c>
      <c r="F43" s="51">
        <f>'04_MOTOR_CÁLCULO'!K57</f>
        <v>0.75012999999999996</v>
      </c>
      <c r="G43" s="52">
        <f>'04_MOTOR_CÁLCULO'!K57-1</f>
        <v>-0.24987000000000004</v>
      </c>
      <c r="H43" s="53" t="str">
        <f>'04_MOTOR_CÁLCULO'!M57</f>
        <v>Preferencial</v>
      </c>
    </row>
    <row r="44" spans="1:8" ht="13.5" customHeight="1" x14ac:dyDescent="0.25">
      <c r="A44" s="24" t="str">
        <f>'04_MOTOR_CÁLCULO'!A129</f>
        <v>0600-0/01</v>
      </c>
      <c r="B44" s="38" t="str">
        <f>'04_MOTOR_CÁLCULO'!B129</f>
        <v>B</v>
      </c>
      <c r="C44" s="100" t="str">
        <f>'04_MOTOR_CÁLCULO'!C129</f>
        <v>Extração de petróleo e gás natural</v>
      </c>
      <c r="D44" s="25" t="str">
        <f>'04_MOTOR_CÁLCULO'!D129</f>
        <v>EXTRAÇÃO DE PETR</v>
      </c>
      <c r="E44" s="82" t="str">
        <f>'04_MOTOR_CÁLCULO'!N129</f>
        <v>FAP/MPS</v>
      </c>
      <c r="F44" s="51">
        <f>'04_MOTOR_CÁLCULO'!K129</f>
        <v>0.75155999999999989</v>
      </c>
      <c r="G44" s="52">
        <f>'04_MOTOR_CÁLCULO'!K129-1</f>
        <v>-0.24844000000000011</v>
      </c>
      <c r="H44" s="53" t="str">
        <f>'04_MOTOR_CÁLCULO'!M129</f>
        <v>Preferencial</v>
      </c>
    </row>
    <row r="45" spans="1:8" ht="13.5" customHeight="1" x14ac:dyDescent="0.25">
      <c r="A45" s="13" t="str">
        <f>'04_MOTOR_CÁLCULO'!A43</f>
        <v>0133-4/10</v>
      </c>
      <c r="B45" s="49" t="str">
        <f>'04_MOTOR_CÁLCULO'!B43</f>
        <v>A</v>
      </c>
      <c r="C45" s="101" t="str">
        <f>'04_MOTOR_CÁLCULO'!C43</f>
        <v>Cultivo de manga</v>
      </c>
      <c r="D45" s="14" t="str">
        <f>'04_MOTOR_CÁLCULO'!D43</f>
        <v>AGRICULTURA, PEC</v>
      </c>
      <c r="E45" s="82" t="str">
        <f>'04_MOTOR_CÁLCULO'!N43</f>
        <v>FAP/MPS</v>
      </c>
      <c r="F45" s="51">
        <f>'04_MOTOR_CÁLCULO'!K43</f>
        <v>0.76515999999999995</v>
      </c>
      <c r="G45" s="52">
        <f>'04_MOTOR_CÁLCULO'!K43-1</f>
        <v>-0.23484000000000005</v>
      </c>
      <c r="H45" s="53" t="str">
        <f>'04_MOTOR_CÁLCULO'!M43</f>
        <v>Preferencial</v>
      </c>
    </row>
    <row r="46" spans="1:8" ht="13.5" customHeight="1" x14ac:dyDescent="0.25">
      <c r="A46" s="24" t="str">
        <f>'04_MOTOR_CÁLCULO'!A6</f>
        <v>0111-3/02</v>
      </c>
      <c r="B46" s="38" t="str">
        <f>'04_MOTOR_CÁLCULO'!B6</f>
        <v>A</v>
      </c>
      <c r="C46" s="100" t="str">
        <f>'04_MOTOR_CÁLCULO'!C6</f>
        <v>Cultivo de milho</v>
      </c>
      <c r="D46" s="25" t="str">
        <f>'04_MOTOR_CÁLCULO'!D6</f>
        <v>AGRICULTURA, PEC</v>
      </c>
      <c r="E46" s="82" t="str">
        <f>'04_MOTOR_CÁLCULO'!N6</f>
        <v>FAP/MPS</v>
      </c>
      <c r="F46" s="51">
        <f>'04_MOTOR_CÁLCULO'!K6</f>
        <v>0.76857999999999993</v>
      </c>
      <c r="G46" s="52">
        <f>'04_MOTOR_CÁLCULO'!K6-1</f>
        <v>-0.23142000000000007</v>
      </c>
      <c r="H46" s="53" t="str">
        <f>'04_MOTOR_CÁLCULO'!M6</f>
        <v>Preferencial</v>
      </c>
    </row>
    <row r="47" spans="1:8" ht="13.5" customHeight="1" x14ac:dyDescent="0.25">
      <c r="A47" s="13" t="str">
        <f>'04_MOTOR_CÁLCULO'!A37</f>
        <v>0133-4/04</v>
      </c>
      <c r="B47" s="49" t="str">
        <f>'04_MOTOR_CÁLCULO'!B37</f>
        <v>A</v>
      </c>
      <c r="C47" s="101" t="str">
        <f>'04_MOTOR_CÁLCULO'!C37</f>
        <v>Cultivo de cítricos, exceto laranja</v>
      </c>
      <c r="D47" s="14" t="str">
        <f>'04_MOTOR_CÁLCULO'!D37</f>
        <v>AGRICULTURA, PEC</v>
      </c>
      <c r="E47" s="82" t="str">
        <f>'04_MOTOR_CÁLCULO'!N37</f>
        <v>FAP/MPS</v>
      </c>
      <c r="F47" s="51">
        <f>'04_MOTOR_CÁLCULO'!K37</f>
        <v>0.77400499999999994</v>
      </c>
      <c r="G47" s="52">
        <f>'04_MOTOR_CÁLCULO'!K37-1</f>
        <v>-0.22599500000000006</v>
      </c>
      <c r="H47" s="53" t="str">
        <f>'04_MOTOR_CÁLCULO'!M37</f>
        <v>Preferencial</v>
      </c>
    </row>
    <row r="48" spans="1:8" ht="13.5" customHeight="1" x14ac:dyDescent="0.25">
      <c r="A48" s="24" t="str">
        <f>'04_MOTOR_CÁLCULO'!A42</f>
        <v>0133-4/09</v>
      </c>
      <c r="B48" s="38" t="str">
        <f>'04_MOTOR_CÁLCULO'!B42</f>
        <v>A</v>
      </c>
      <c r="C48" s="100" t="str">
        <f>'04_MOTOR_CÁLCULO'!C42</f>
        <v>Cultivo de maracujá</v>
      </c>
      <c r="D48" s="25" t="str">
        <f>'04_MOTOR_CÁLCULO'!D42</f>
        <v>AGRICULTURA, PEC</v>
      </c>
      <c r="E48" s="82" t="str">
        <f>'04_MOTOR_CÁLCULO'!N42</f>
        <v>FAP/MPS</v>
      </c>
      <c r="F48" s="51">
        <f>'04_MOTOR_CÁLCULO'!K42</f>
        <v>0.77675499999999997</v>
      </c>
      <c r="G48" s="52">
        <f>'04_MOTOR_CÁLCULO'!K42-1</f>
        <v>-0.22324500000000003</v>
      </c>
      <c r="H48" s="53" t="str">
        <f>'04_MOTOR_CÁLCULO'!M42</f>
        <v>Preferencial</v>
      </c>
    </row>
    <row r="49" spans="1:8" ht="13.5" customHeight="1" x14ac:dyDescent="0.25">
      <c r="A49" s="13" t="str">
        <f>'04_MOTOR_CÁLCULO'!A137</f>
        <v>0722-7/02</v>
      </c>
      <c r="B49" s="49" t="str">
        <f>'04_MOTOR_CÁLCULO'!B137</f>
        <v>B</v>
      </c>
      <c r="C49" s="101" t="str">
        <f>'04_MOTOR_CÁLCULO'!C137</f>
        <v>Beneficiamento de minério de estanho</v>
      </c>
      <c r="D49" s="14" t="str">
        <f>'04_MOTOR_CÁLCULO'!D137</f>
        <v>EXTRAÇÃO DE MINE</v>
      </c>
      <c r="E49" s="82" t="str">
        <f>'04_MOTOR_CÁLCULO'!N137</f>
        <v>FAP/MPS</v>
      </c>
      <c r="F49" s="51">
        <f>'04_MOTOR_CÁLCULO'!K137</f>
        <v>0.77737499999999993</v>
      </c>
      <c r="G49" s="52">
        <f>'04_MOTOR_CÁLCULO'!K137-1</f>
        <v>-0.22262500000000007</v>
      </c>
      <c r="H49" s="53" t="str">
        <f>'04_MOTOR_CÁLCULO'!M137</f>
        <v>Preferencial</v>
      </c>
    </row>
    <row r="50" spans="1:8" ht="13.5" customHeight="1" x14ac:dyDescent="0.25">
      <c r="A50" s="24" t="str">
        <f>'04_MOTOR_CÁLCULO'!A114</f>
        <v>0321-3/02</v>
      </c>
      <c r="B50" s="38" t="str">
        <f>'04_MOTOR_CÁLCULO'!B114</f>
        <v>A</v>
      </c>
      <c r="C50" s="100" t="str">
        <f>'04_MOTOR_CÁLCULO'!C114</f>
        <v>Criação de camarões em água salgada e salobra</v>
      </c>
      <c r="D50" s="25" t="str">
        <f>'04_MOTOR_CÁLCULO'!D114</f>
        <v>PESCA E AQÜICULT</v>
      </c>
      <c r="E50" s="82" t="str">
        <f>'04_MOTOR_CÁLCULO'!N114</f>
        <v>FAP/MPS</v>
      </c>
      <c r="F50" s="51">
        <f>'04_MOTOR_CÁLCULO'!K114</f>
        <v>0.78439000000000003</v>
      </c>
      <c r="G50" s="52">
        <f>'04_MOTOR_CÁLCULO'!K114-1</f>
        <v>-0.21560999999999997</v>
      </c>
      <c r="H50" s="53" t="str">
        <f>'04_MOTOR_CÁLCULO'!M114</f>
        <v>Preferencial</v>
      </c>
    </row>
    <row r="51" spans="1:8" ht="13.5" customHeight="1" x14ac:dyDescent="0.25">
      <c r="A51" s="13" t="str">
        <f>'04_MOTOR_CÁLCULO'!A96</f>
        <v>0210-1/99</v>
      </c>
      <c r="B51" s="49" t="str">
        <f>'04_MOTOR_CÁLCULO'!B96</f>
        <v>A</v>
      </c>
      <c r="C51" s="101" t="str">
        <f>'04_MOTOR_CÁLCULO'!C96</f>
        <v>Produção de produtos não madeireiros não especificados anteriormente em florestas plantadas</v>
      </c>
      <c r="D51" s="14" t="str">
        <f>'04_MOTOR_CÁLCULO'!D96</f>
        <v>PRODUÇÃO FLOREST</v>
      </c>
      <c r="E51" s="82" t="str">
        <f>'04_MOTOR_CÁLCULO'!N96</f>
        <v>FAP/MPS</v>
      </c>
      <c r="F51" s="51">
        <f>'04_MOTOR_CÁLCULO'!K96</f>
        <v>0.82317499999999999</v>
      </c>
      <c r="G51" s="52">
        <f>'04_MOTOR_CÁLCULO'!K96-1</f>
        <v>-0.17682500000000001</v>
      </c>
      <c r="H51" s="53" t="str">
        <f>'04_MOTOR_CÁLCULO'!M96</f>
        <v>Preferencial</v>
      </c>
    </row>
    <row r="52" spans="1:8" ht="13.5" customHeight="1" x14ac:dyDescent="0.25">
      <c r="A52" s="24" t="str">
        <f>'04_MOTOR_CÁLCULO'!A76</f>
        <v>0159-8/99</v>
      </c>
      <c r="B52" s="38" t="str">
        <f>'04_MOTOR_CÁLCULO'!B76</f>
        <v>A</v>
      </c>
      <c r="C52" s="100" t="str">
        <f>'04_MOTOR_CÁLCULO'!C76</f>
        <v>Criação de outros animais não especificados anteriormente</v>
      </c>
      <c r="D52" s="25" t="str">
        <f>'04_MOTOR_CÁLCULO'!D76</f>
        <v>AGRICULTURA, PEC</v>
      </c>
      <c r="E52" s="82" t="str">
        <f>'04_MOTOR_CÁLCULO'!N76</f>
        <v>FAP/MPS</v>
      </c>
      <c r="F52" s="51">
        <f>'04_MOTOR_CÁLCULO'!K76</f>
        <v>0.82406499999999994</v>
      </c>
      <c r="G52" s="52">
        <f>'04_MOTOR_CÁLCULO'!K76-1</f>
        <v>-0.17593500000000006</v>
      </c>
      <c r="H52" s="53" t="str">
        <f>'04_MOTOR_CÁLCULO'!M76</f>
        <v>Preferencial</v>
      </c>
    </row>
    <row r="53" spans="1:8" ht="13.5" customHeight="1" x14ac:dyDescent="0.25">
      <c r="A53" s="13" t="str">
        <f>'04_MOTOR_CÁLCULO'!A168</f>
        <v>0910-6/00</v>
      </c>
      <c r="B53" s="49" t="str">
        <f>'04_MOTOR_CÁLCULO'!B168</f>
        <v>B</v>
      </c>
      <c r="C53" s="101" t="str">
        <f>'04_MOTOR_CÁLCULO'!C168</f>
        <v>Atividades de apoio à extração de petróleo e gás natural</v>
      </c>
      <c r="D53" s="14" t="str">
        <f>'04_MOTOR_CÁLCULO'!D168</f>
        <v>ATIVIDADES DE AP</v>
      </c>
      <c r="E53" s="82" t="str">
        <f>'04_MOTOR_CÁLCULO'!N168</f>
        <v>FAP/MPS</v>
      </c>
      <c r="F53" s="51">
        <f>'04_MOTOR_CÁLCULO'!K168</f>
        <v>0.82426499999999991</v>
      </c>
      <c r="G53" s="52">
        <f>'04_MOTOR_CÁLCULO'!K168-1</f>
        <v>-0.17573500000000009</v>
      </c>
      <c r="H53" s="53" t="str">
        <f>'04_MOTOR_CÁLCULO'!M168</f>
        <v>Preferencial</v>
      </c>
    </row>
    <row r="54" spans="1:8" ht="13.5" customHeight="1" x14ac:dyDescent="0.25">
      <c r="A54" s="24" t="str">
        <f>'04_MOTOR_CÁLCULO'!A91</f>
        <v>0210-1/05</v>
      </c>
      <c r="B54" s="38" t="str">
        <f>'04_MOTOR_CÁLCULO'!B91</f>
        <v>A</v>
      </c>
      <c r="C54" s="100" t="str">
        <f>'04_MOTOR_CÁLCULO'!C91</f>
        <v>Cultivo de espécies madeireiras, exceto eucalipto, acácia-negra, pinus e teca</v>
      </c>
      <c r="D54" s="25" t="str">
        <f>'04_MOTOR_CÁLCULO'!D91</f>
        <v>PRODUÇÃO FLOREST</v>
      </c>
      <c r="E54" s="82" t="str">
        <f>'04_MOTOR_CÁLCULO'!N91</f>
        <v>FAP/MPS</v>
      </c>
      <c r="F54" s="51">
        <f>'04_MOTOR_CÁLCULO'!K91</f>
        <v>0.82987500000000014</v>
      </c>
      <c r="G54" s="52">
        <f>'04_MOTOR_CÁLCULO'!K91-1</f>
        <v>-0.17012499999999986</v>
      </c>
      <c r="H54" s="53" t="str">
        <f>'04_MOTOR_CÁLCULO'!M91</f>
        <v>Preferencial</v>
      </c>
    </row>
    <row r="55" spans="1:8" ht="13.5" customHeight="1" x14ac:dyDescent="0.25">
      <c r="A55" s="13" t="str">
        <f>'04_MOTOR_CÁLCULO'!A140</f>
        <v>0724-3/01</v>
      </c>
      <c r="B55" s="49" t="str">
        <f>'04_MOTOR_CÁLCULO'!B140</f>
        <v>B</v>
      </c>
      <c r="C55" s="101" t="str">
        <f>'04_MOTOR_CÁLCULO'!C140</f>
        <v>Extração de minério de metais preciosos</v>
      </c>
      <c r="D55" s="14" t="str">
        <f>'04_MOTOR_CÁLCULO'!D140</f>
        <v>EXTRAÇÃO DE MINE</v>
      </c>
      <c r="E55" s="82" t="str">
        <f>'04_MOTOR_CÁLCULO'!N140</f>
        <v>FAP/MPS</v>
      </c>
      <c r="F55" s="51">
        <f>'04_MOTOR_CÁLCULO'!K140</f>
        <v>0.83584999999999998</v>
      </c>
      <c r="G55" s="52">
        <f>'04_MOTOR_CÁLCULO'!K140-1</f>
        <v>-0.16415000000000002</v>
      </c>
      <c r="H55" s="53" t="str">
        <f>'04_MOTOR_CÁLCULO'!M140</f>
        <v>Preferencial</v>
      </c>
    </row>
    <row r="56" spans="1:8" ht="13.5" customHeight="1" x14ac:dyDescent="0.25">
      <c r="A56" s="24" t="str">
        <f>'04_MOTOR_CÁLCULO'!A72</f>
        <v>0159-8/01</v>
      </c>
      <c r="B56" s="38" t="str">
        <f>'04_MOTOR_CÁLCULO'!B72</f>
        <v>A</v>
      </c>
      <c r="C56" s="100" t="str">
        <f>'04_MOTOR_CÁLCULO'!C72</f>
        <v>Apicultura</v>
      </c>
      <c r="D56" s="25" t="str">
        <f>'04_MOTOR_CÁLCULO'!D72</f>
        <v>AGRICULTURA, PEC</v>
      </c>
      <c r="E56" s="82" t="str">
        <f>'04_MOTOR_CÁLCULO'!N72</f>
        <v>FAP/MPS</v>
      </c>
      <c r="F56" s="51">
        <f>'04_MOTOR_CÁLCULO'!K72</f>
        <v>0.85828000000000004</v>
      </c>
      <c r="G56" s="52">
        <f>'04_MOTOR_CÁLCULO'!K72-1</f>
        <v>-0.14171999999999996</v>
      </c>
      <c r="H56" s="53" t="str">
        <f>'04_MOTOR_CÁLCULO'!M72</f>
        <v>Preferencial</v>
      </c>
    </row>
    <row r="57" spans="1:8" ht="13.5" customHeight="1" x14ac:dyDescent="0.25">
      <c r="A57" s="13" t="str">
        <f>'04_MOTOR_CÁLCULO'!A73</f>
        <v>0159-8/02</v>
      </c>
      <c r="B57" s="49" t="str">
        <f>'04_MOTOR_CÁLCULO'!B73</f>
        <v>A</v>
      </c>
      <c r="C57" s="101" t="str">
        <f>'04_MOTOR_CÁLCULO'!C73</f>
        <v>Criação de animais de estimação</v>
      </c>
      <c r="D57" s="14" t="str">
        <f>'04_MOTOR_CÁLCULO'!D73</f>
        <v>AGRICULTURA, PEC</v>
      </c>
      <c r="E57" s="82" t="str">
        <f>'04_MOTOR_CÁLCULO'!N73</f>
        <v>FAP/MPS</v>
      </c>
      <c r="F57" s="51">
        <f>'04_MOTOR_CÁLCULO'!K73</f>
        <v>0.8615600000000001</v>
      </c>
      <c r="G57" s="52">
        <f>'04_MOTOR_CÁLCULO'!K73-1</f>
        <v>-0.1384399999999999</v>
      </c>
      <c r="H57" s="53" t="str">
        <f>'04_MOTOR_CÁLCULO'!M73</f>
        <v>Preferencial</v>
      </c>
    </row>
    <row r="58" spans="1:8" ht="13.5" customHeight="1" x14ac:dyDescent="0.25">
      <c r="A58" s="24" t="str">
        <f>'04_MOTOR_CÁLCULO'!A146</f>
        <v>0729-4/04</v>
      </c>
      <c r="B58" s="38" t="str">
        <f>'04_MOTOR_CÁLCULO'!B146</f>
        <v>B</v>
      </c>
      <c r="C58" s="100" t="str">
        <f>'04_MOTOR_CÁLCULO'!C146</f>
        <v>Extração de minérios de cobre, chumbo, zinco e outros minerais metálicos não ferrosos não especificados anteriormente</v>
      </c>
      <c r="D58" s="25" t="str">
        <f>'04_MOTOR_CÁLCULO'!D146</f>
        <v>EXTRAÇÃO DE MINE</v>
      </c>
      <c r="E58" s="82" t="str">
        <f>'04_MOTOR_CÁLCULO'!N146</f>
        <v>FAP/MPS</v>
      </c>
      <c r="F58" s="51">
        <f>'04_MOTOR_CÁLCULO'!K146</f>
        <v>0.86840499999999987</v>
      </c>
      <c r="G58" s="52">
        <f>'04_MOTOR_CÁLCULO'!K146-1</f>
        <v>-0.13159500000000013</v>
      </c>
      <c r="H58" s="53" t="str">
        <f>'04_MOTOR_CÁLCULO'!M146</f>
        <v>Preferencial</v>
      </c>
    </row>
    <row r="59" spans="1:8" ht="13.5" customHeight="1" x14ac:dyDescent="0.25">
      <c r="A59" s="13" t="str">
        <f>'04_MOTOR_CÁLCULO'!A49</f>
        <v>0139-3/02</v>
      </c>
      <c r="B59" s="49" t="str">
        <f>'04_MOTOR_CÁLCULO'!B49</f>
        <v>A</v>
      </c>
      <c r="C59" s="101" t="str">
        <f>'04_MOTOR_CÁLCULO'!C49</f>
        <v>Cultivo de erva-mate</v>
      </c>
      <c r="D59" s="14" t="str">
        <f>'04_MOTOR_CÁLCULO'!D49</f>
        <v>AGRICULTURA, PEC</v>
      </c>
      <c r="E59" s="82" t="str">
        <f>'04_MOTOR_CÁLCULO'!N49</f>
        <v>FAP/MPS</v>
      </c>
      <c r="F59" s="62">
        <f>'04_MOTOR_CÁLCULO'!K49</f>
        <v>0.89115999999999984</v>
      </c>
      <c r="G59" s="63">
        <f>'04_MOTOR_CÁLCULO'!K49-1</f>
        <v>-0.10884000000000016</v>
      </c>
      <c r="H59" s="17" t="str">
        <f>'04_MOTOR_CÁLCULO'!M49</f>
        <v>Baixo</v>
      </c>
    </row>
    <row r="60" spans="1:8" ht="13.5" customHeight="1" x14ac:dyDescent="0.25">
      <c r="A60" s="24" t="str">
        <f>'04_MOTOR_CÁLCULO'!A260</f>
        <v>1411-8/01</v>
      </c>
      <c r="B60" s="38" t="str">
        <f>'04_MOTOR_CÁLCULO'!B260</f>
        <v>C</v>
      </c>
      <c r="C60" s="100" t="str">
        <f>'04_MOTOR_CÁLCULO'!C260</f>
        <v>Confecção de roupas íntimas</v>
      </c>
      <c r="D60" s="25" t="str">
        <f>'04_MOTOR_CÁLCULO'!D260</f>
        <v>CONFECÇÃO DE ART</v>
      </c>
      <c r="E60" s="78" t="str">
        <f>'04_MOTOR_CÁLCULO'!N260</f>
        <v>CNAE-STG</v>
      </c>
      <c r="F60" s="62">
        <f>'04_MOTOR_CÁLCULO'!K260</f>
        <v>0.9</v>
      </c>
      <c r="G60" s="63">
        <f>'04_MOTOR_CÁLCULO'!K260-1</f>
        <v>-9.9999999999999978E-2</v>
      </c>
      <c r="H60" s="17" t="str">
        <f>'04_MOTOR_CÁLCULO'!M260</f>
        <v>Baixo</v>
      </c>
    </row>
    <row r="61" spans="1:8" ht="13.5" customHeight="1" x14ac:dyDescent="0.25">
      <c r="A61" s="13" t="str">
        <f>'04_MOTOR_CÁLCULO'!A261</f>
        <v>1411-8/02</v>
      </c>
      <c r="B61" s="49" t="str">
        <f>'04_MOTOR_CÁLCULO'!B261</f>
        <v>C</v>
      </c>
      <c r="C61" s="101" t="str">
        <f>'04_MOTOR_CÁLCULO'!C261</f>
        <v>Facção de roupas íntimas</v>
      </c>
      <c r="D61" s="14" t="str">
        <f>'04_MOTOR_CÁLCULO'!D261</f>
        <v>CONFECÇÃO DE ART</v>
      </c>
      <c r="E61" s="78" t="str">
        <f>'04_MOTOR_CÁLCULO'!N261</f>
        <v>CNAE-STG</v>
      </c>
      <c r="F61" s="62">
        <f>'04_MOTOR_CÁLCULO'!K261</f>
        <v>0.9</v>
      </c>
      <c r="G61" s="63">
        <f>'04_MOTOR_CÁLCULO'!K261-1</f>
        <v>-9.9999999999999978E-2</v>
      </c>
      <c r="H61" s="17" t="str">
        <f>'04_MOTOR_CÁLCULO'!M261</f>
        <v>Baixo</v>
      </c>
    </row>
    <row r="62" spans="1:8" ht="13.5" customHeight="1" x14ac:dyDescent="0.25">
      <c r="A62" s="24" t="str">
        <f>'04_MOTOR_CÁLCULO'!A262</f>
        <v>1412-6/01</v>
      </c>
      <c r="B62" s="38" t="str">
        <f>'04_MOTOR_CÁLCULO'!B262</f>
        <v>C</v>
      </c>
      <c r="C62" s="100" t="str">
        <f>'04_MOTOR_CÁLCULO'!C262</f>
        <v>Confecção de peças do vestuário, exceto roupas íntimas e as confeccionadas sob medida</v>
      </c>
      <c r="D62" s="25" t="str">
        <f>'04_MOTOR_CÁLCULO'!D262</f>
        <v>CONFECÇÃO DE ART</v>
      </c>
      <c r="E62" s="78" t="str">
        <f>'04_MOTOR_CÁLCULO'!N262</f>
        <v>CNAE-STG</v>
      </c>
      <c r="F62" s="62">
        <f>'04_MOTOR_CÁLCULO'!K262</f>
        <v>0.9</v>
      </c>
      <c r="G62" s="63">
        <f>'04_MOTOR_CÁLCULO'!K262-1</f>
        <v>-9.9999999999999978E-2</v>
      </c>
      <c r="H62" s="17" t="str">
        <f>'04_MOTOR_CÁLCULO'!M262</f>
        <v>Baixo</v>
      </c>
    </row>
    <row r="63" spans="1:8" ht="13.5" customHeight="1" x14ac:dyDescent="0.25">
      <c r="A63" s="13" t="str">
        <f>'04_MOTOR_CÁLCULO'!A263</f>
        <v>1412-6/02</v>
      </c>
      <c r="B63" s="49" t="str">
        <f>'04_MOTOR_CÁLCULO'!B263</f>
        <v>C</v>
      </c>
      <c r="C63" s="101" t="str">
        <f>'04_MOTOR_CÁLCULO'!C263</f>
        <v>Confecção, sob medida, de peças do vestuário, exceto roupas íntimas</v>
      </c>
      <c r="D63" s="14" t="str">
        <f>'04_MOTOR_CÁLCULO'!D263</f>
        <v>CONFECÇÃO DE ART</v>
      </c>
      <c r="E63" s="78" t="str">
        <f>'04_MOTOR_CÁLCULO'!N263</f>
        <v>CNAE-STG</v>
      </c>
      <c r="F63" s="62">
        <f>'04_MOTOR_CÁLCULO'!K263</f>
        <v>0.9</v>
      </c>
      <c r="G63" s="63">
        <f>'04_MOTOR_CÁLCULO'!K263-1</f>
        <v>-9.9999999999999978E-2</v>
      </c>
      <c r="H63" s="17" t="str">
        <f>'04_MOTOR_CÁLCULO'!M263</f>
        <v>Baixo</v>
      </c>
    </row>
    <row r="64" spans="1:8" ht="13.5" customHeight="1" x14ac:dyDescent="0.25">
      <c r="A64" s="24" t="str">
        <f>'04_MOTOR_CÁLCULO'!A264</f>
        <v>1412-6/03</v>
      </c>
      <c r="B64" s="38" t="str">
        <f>'04_MOTOR_CÁLCULO'!B264</f>
        <v>C</v>
      </c>
      <c r="C64" s="100" t="str">
        <f>'04_MOTOR_CÁLCULO'!C264</f>
        <v>Facção de peças do vestuário, exceto roupas íntimas</v>
      </c>
      <c r="D64" s="25" t="str">
        <f>'04_MOTOR_CÁLCULO'!D264</f>
        <v>CONFECÇÃO DE ART</v>
      </c>
      <c r="E64" s="78" t="str">
        <f>'04_MOTOR_CÁLCULO'!N264</f>
        <v>CNAE-STG</v>
      </c>
      <c r="F64" s="62">
        <f>'04_MOTOR_CÁLCULO'!K264</f>
        <v>0.9</v>
      </c>
      <c r="G64" s="63">
        <f>'04_MOTOR_CÁLCULO'!K264-1</f>
        <v>-9.9999999999999978E-2</v>
      </c>
      <c r="H64" s="17" t="str">
        <f>'04_MOTOR_CÁLCULO'!M264</f>
        <v>Baixo</v>
      </c>
    </row>
    <row r="65" spans="1:8" ht="13.5" customHeight="1" x14ac:dyDescent="0.25">
      <c r="A65" s="13" t="str">
        <f>'04_MOTOR_CÁLCULO'!A265</f>
        <v>1413-4/01</v>
      </c>
      <c r="B65" s="49" t="str">
        <f>'04_MOTOR_CÁLCULO'!B265</f>
        <v>C</v>
      </c>
      <c r="C65" s="101" t="str">
        <f>'04_MOTOR_CÁLCULO'!C265</f>
        <v>Confecção de roupas profissionais, exceto sob medida</v>
      </c>
      <c r="D65" s="14" t="str">
        <f>'04_MOTOR_CÁLCULO'!D265</f>
        <v>CONFECÇÃO DE ART</v>
      </c>
      <c r="E65" s="78" t="str">
        <f>'04_MOTOR_CÁLCULO'!N265</f>
        <v>CNAE-STG</v>
      </c>
      <c r="F65" s="62">
        <f>'04_MOTOR_CÁLCULO'!K265</f>
        <v>0.9</v>
      </c>
      <c r="G65" s="63">
        <f>'04_MOTOR_CÁLCULO'!K265-1</f>
        <v>-9.9999999999999978E-2</v>
      </c>
      <c r="H65" s="17" t="str">
        <f>'04_MOTOR_CÁLCULO'!M265</f>
        <v>Baixo</v>
      </c>
    </row>
    <row r="66" spans="1:8" ht="13.5" customHeight="1" x14ac:dyDescent="0.25">
      <c r="A66" s="24" t="str">
        <f>'04_MOTOR_CÁLCULO'!A266</f>
        <v>1413-4/02</v>
      </c>
      <c r="B66" s="38" t="str">
        <f>'04_MOTOR_CÁLCULO'!B266</f>
        <v>C</v>
      </c>
      <c r="C66" s="100" t="str">
        <f>'04_MOTOR_CÁLCULO'!C266</f>
        <v>Confecção, sob medida, de roupas profissionais</v>
      </c>
      <c r="D66" s="25" t="str">
        <f>'04_MOTOR_CÁLCULO'!D266</f>
        <v>CONFECÇÃO DE ART</v>
      </c>
      <c r="E66" s="78" t="str">
        <f>'04_MOTOR_CÁLCULO'!N266</f>
        <v>CNAE-STG</v>
      </c>
      <c r="F66" s="62">
        <f>'04_MOTOR_CÁLCULO'!K266</f>
        <v>0.9</v>
      </c>
      <c r="G66" s="63">
        <f>'04_MOTOR_CÁLCULO'!K266-1</f>
        <v>-9.9999999999999978E-2</v>
      </c>
      <c r="H66" s="17" t="str">
        <f>'04_MOTOR_CÁLCULO'!M266</f>
        <v>Baixo</v>
      </c>
    </row>
    <row r="67" spans="1:8" ht="13.5" customHeight="1" x14ac:dyDescent="0.25">
      <c r="A67" s="13" t="str">
        <f>'04_MOTOR_CÁLCULO'!A267</f>
        <v>1413-4/03</v>
      </c>
      <c r="B67" s="49" t="str">
        <f>'04_MOTOR_CÁLCULO'!B267</f>
        <v>C</v>
      </c>
      <c r="C67" s="101" t="str">
        <f>'04_MOTOR_CÁLCULO'!C267</f>
        <v>Facção de roupas profissionais</v>
      </c>
      <c r="D67" s="14" t="str">
        <f>'04_MOTOR_CÁLCULO'!D267</f>
        <v>CONFECÇÃO DE ART</v>
      </c>
      <c r="E67" s="78" t="str">
        <f>'04_MOTOR_CÁLCULO'!N267</f>
        <v>CNAE-STG</v>
      </c>
      <c r="F67" s="62">
        <f>'04_MOTOR_CÁLCULO'!K267</f>
        <v>0.9</v>
      </c>
      <c r="G67" s="63">
        <f>'04_MOTOR_CÁLCULO'!K267-1</f>
        <v>-9.9999999999999978E-2</v>
      </c>
      <c r="H67" s="17" t="str">
        <f>'04_MOTOR_CÁLCULO'!M267</f>
        <v>Baixo</v>
      </c>
    </row>
    <row r="68" spans="1:8" ht="13.5" customHeight="1" x14ac:dyDescent="0.25">
      <c r="A68" s="24" t="str">
        <f>'04_MOTOR_CÁLCULO'!A268</f>
        <v>1414-2/00</v>
      </c>
      <c r="B68" s="38" t="str">
        <f>'04_MOTOR_CÁLCULO'!B268</f>
        <v>C</v>
      </c>
      <c r="C68" s="100" t="str">
        <f>'04_MOTOR_CÁLCULO'!C268</f>
        <v>Fabricação de acessórios do vestuário, exceto para segurança e proteção</v>
      </c>
      <c r="D68" s="25" t="str">
        <f>'04_MOTOR_CÁLCULO'!D268</f>
        <v>CONFECÇÃO DE ART</v>
      </c>
      <c r="E68" s="78" t="str">
        <f>'04_MOTOR_CÁLCULO'!N268</f>
        <v>CNAE-STG</v>
      </c>
      <c r="F68" s="62">
        <f>'04_MOTOR_CÁLCULO'!K268</f>
        <v>0.9</v>
      </c>
      <c r="G68" s="63">
        <f>'04_MOTOR_CÁLCULO'!K268-1</f>
        <v>-9.9999999999999978E-2</v>
      </c>
      <c r="H68" s="17" t="str">
        <f>'04_MOTOR_CÁLCULO'!M268</f>
        <v>Baixo</v>
      </c>
    </row>
    <row r="69" spans="1:8" ht="13.5" customHeight="1" x14ac:dyDescent="0.25">
      <c r="A69" s="13" t="str">
        <f>'04_MOTOR_CÁLCULO'!A269</f>
        <v>1421-5/00</v>
      </c>
      <c r="B69" s="49" t="str">
        <f>'04_MOTOR_CÁLCULO'!B269</f>
        <v>C</v>
      </c>
      <c r="C69" s="101" t="str">
        <f>'04_MOTOR_CÁLCULO'!C269</f>
        <v>Fabricação de meias</v>
      </c>
      <c r="D69" s="14" t="str">
        <f>'04_MOTOR_CÁLCULO'!D269</f>
        <v>CONFECÇÃO DE ART</v>
      </c>
      <c r="E69" s="78" t="str">
        <f>'04_MOTOR_CÁLCULO'!N269</f>
        <v>CNAE-STG</v>
      </c>
      <c r="F69" s="62">
        <f>'04_MOTOR_CÁLCULO'!K269</f>
        <v>0.9</v>
      </c>
      <c r="G69" s="63">
        <f>'04_MOTOR_CÁLCULO'!K269-1</f>
        <v>-9.9999999999999978E-2</v>
      </c>
      <c r="H69" s="17" t="str">
        <f>'04_MOTOR_CÁLCULO'!M269</f>
        <v>Baixo</v>
      </c>
    </row>
    <row r="70" spans="1:8" ht="13.5" customHeight="1" x14ac:dyDescent="0.25">
      <c r="A70" s="24" t="str">
        <f>'04_MOTOR_CÁLCULO'!A270</f>
        <v>1422-3/00</v>
      </c>
      <c r="B70" s="38" t="str">
        <f>'04_MOTOR_CÁLCULO'!B270</f>
        <v>C</v>
      </c>
      <c r="C70" s="100" t="str">
        <f>'04_MOTOR_CÁLCULO'!C270</f>
        <v>Fabricação de artigos do vestuário, produzidos em malharias e tricotagens, exceto meias</v>
      </c>
      <c r="D70" s="25" t="str">
        <f>'04_MOTOR_CÁLCULO'!D270</f>
        <v>CONFECÇÃO DE ART</v>
      </c>
      <c r="E70" s="78" t="str">
        <f>'04_MOTOR_CÁLCULO'!N270</f>
        <v>CNAE-STG</v>
      </c>
      <c r="F70" s="62">
        <f>'04_MOTOR_CÁLCULO'!K270</f>
        <v>0.9</v>
      </c>
      <c r="G70" s="63">
        <f>'04_MOTOR_CÁLCULO'!K270-1</f>
        <v>-9.9999999999999978E-2</v>
      </c>
      <c r="H70" s="17" t="str">
        <f>'04_MOTOR_CÁLCULO'!M270</f>
        <v>Baixo</v>
      </c>
    </row>
    <row r="71" spans="1:8" ht="13.5" customHeight="1" x14ac:dyDescent="0.25">
      <c r="A71" s="13" t="str">
        <f>'04_MOTOR_CÁLCULO'!A302</f>
        <v>1811-3/01</v>
      </c>
      <c r="B71" s="49" t="str">
        <f>'04_MOTOR_CÁLCULO'!B302</f>
        <v>C</v>
      </c>
      <c r="C71" s="101" t="str">
        <f>'04_MOTOR_CÁLCULO'!C302</f>
        <v>Impressão de jornais</v>
      </c>
      <c r="D71" s="14" t="str">
        <f>'04_MOTOR_CÁLCULO'!D302</f>
        <v>IMPRESSÃO E REPR</v>
      </c>
      <c r="E71" s="78" t="str">
        <f>'04_MOTOR_CÁLCULO'!N302</f>
        <v>CNAE-STG</v>
      </c>
      <c r="F71" s="62">
        <f>'04_MOTOR_CÁLCULO'!K302</f>
        <v>0.9</v>
      </c>
      <c r="G71" s="63">
        <f>'04_MOTOR_CÁLCULO'!K302-1</f>
        <v>-9.9999999999999978E-2</v>
      </c>
      <c r="H71" s="17" t="str">
        <f>'04_MOTOR_CÁLCULO'!M302</f>
        <v>Baixo</v>
      </c>
    </row>
    <row r="72" spans="1:8" ht="13.5" customHeight="1" x14ac:dyDescent="0.25">
      <c r="A72" s="24" t="str">
        <f>'04_MOTOR_CÁLCULO'!A303</f>
        <v>1811-3/02</v>
      </c>
      <c r="B72" s="38" t="str">
        <f>'04_MOTOR_CÁLCULO'!B303</f>
        <v>C</v>
      </c>
      <c r="C72" s="100" t="str">
        <f>'04_MOTOR_CÁLCULO'!C303</f>
        <v>Impressão de livros, revistas e outras publicações periódicas</v>
      </c>
      <c r="D72" s="25" t="str">
        <f>'04_MOTOR_CÁLCULO'!D303</f>
        <v>IMPRESSÃO E REPR</v>
      </c>
      <c r="E72" s="78" t="str">
        <f>'04_MOTOR_CÁLCULO'!N303</f>
        <v>CNAE-STG</v>
      </c>
      <c r="F72" s="62">
        <f>'04_MOTOR_CÁLCULO'!K303</f>
        <v>0.9</v>
      </c>
      <c r="G72" s="63">
        <f>'04_MOTOR_CÁLCULO'!K303-1</f>
        <v>-9.9999999999999978E-2</v>
      </c>
      <c r="H72" s="17" t="str">
        <f>'04_MOTOR_CÁLCULO'!M303</f>
        <v>Baixo</v>
      </c>
    </row>
    <row r="73" spans="1:8" ht="13.5" customHeight="1" x14ac:dyDescent="0.25">
      <c r="A73" s="13" t="str">
        <f>'04_MOTOR_CÁLCULO'!A304</f>
        <v>1812-1/00</v>
      </c>
      <c r="B73" s="49" t="str">
        <f>'04_MOTOR_CÁLCULO'!B304</f>
        <v>C</v>
      </c>
      <c r="C73" s="101" t="str">
        <f>'04_MOTOR_CÁLCULO'!C304</f>
        <v>Impressão de material de segurança</v>
      </c>
      <c r="D73" s="14" t="str">
        <f>'04_MOTOR_CÁLCULO'!D304</f>
        <v>IMPRESSÃO E REPR</v>
      </c>
      <c r="E73" s="78" t="str">
        <f>'04_MOTOR_CÁLCULO'!N304</f>
        <v>CNAE-STG</v>
      </c>
      <c r="F73" s="62">
        <f>'04_MOTOR_CÁLCULO'!K304</f>
        <v>0.9</v>
      </c>
      <c r="G73" s="63">
        <f>'04_MOTOR_CÁLCULO'!K304-1</f>
        <v>-9.9999999999999978E-2</v>
      </c>
      <c r="H73" s="17" t="str">
        <f>'04_MOTOR_CÁLCULO'!M304</f>
        <v>Baixo</v>
      </c>
    </row>
    <row r="74" spans="1:8" ht="13.5" customHeight="1" x14ac:dyDescent="0.25">
      <c r="A74" s="24" t="str">
        <f>'04_MOTOR_CÁLCULO'!A305</f>
        <v>1813-0/01</v>
      </c>
      <c r="B74" s="38" t="str">
        <f>'04_MOTOR_CÁLCULO'!B305</f>
        <v>C</v>
      </c>
      <c r="C74" s="100" t="str">
        <f>'04_MOTOR_CÁLCULO'!C305</f>
        <v>Impressão de material para uso publicitário</v>
      </c>
      <c r="D74" s="25" t="str">
        <f>'04_MOTOR_CÁLCULO'!D305</f>
        <v>IMPRESSÃO E REPR</v>
      </c>
      <c r="E74" s="78" t="str">
        <f>'04_MOTOR_CÁLCULO'!N305</f>
        <v>CNAE-STG</v>
      </c>
      <c r="F74" s="62">
        <f>'04_MOTOR_CÁLCULO'!K305</f>
        <v>0.9</v>
      </c>
      <c r="G74" s="63">
        <f>'04_MOTOR_CÁLCULO'!K305-1</f>
        <v>-9.9999999999999978E-2</v>
      </c>
      <c r="H74" s="17" t="str">
        <f>'04_MOTOR_CÁLCULO'!M305</f>
        <v>Baixo</v>
      </c>
    </row>
    <row r="75" spans="1:8" ht="13.5" customHeight="1" x14ac:dyDescent="0.25">
      <c r="A75" s="13" t="str">
        <f>'04_MOTOR_CÁLCULO'!A306</f>
        <v>1813-0/99</v>
      </c>
      <c r="B75" s="49" t="str">
        <f>'04_MOTOR_CÁLCULO'!B306</f>
        <v>C</v>
      </c>
      <c r="C75" s="101" t="str">
        <f>'04_MOTOR_CÁLCULO'!C306</f>
        <v>Impressão de material para outros usos</v>
      </c>
      <c r="D75" s="14" t="str">
        <f>'04_MOTOR_CÁLCULO'!D306</f>
        <v>IMPRESSÃO E REPR</v>
      </c>
      <c r="E75" s="78" t="str">
        <f>'04_MOTOR_CÁLCULO'!N306</f>
        <v>CNAE-STG</v>
      </c>
      <c r="F75" s="62">
        <f>'04_MOTOR_CÁLCULO'!K306</f>
        <v>0.9</v>
      </c>
      <c r="G75" s="63">
        <f>'04_MOTOR_CÁLCULO'!K306-1</f>
        <v>-9.9999999999999978E-2</v>
      </c>
      <c r="H75" s="17" t="str">
        <f>'04_MOTOR_CÁLCULO'!M306</f>
        <v>Baixo</v>
      </c>
    </row>
    <row r="76" spans="1:8" ht="13.5" customHeight="1" x14ac:dyDescent="0.25">
      <c r="A76" s="24" t="str">
        <f>'04_MOTOR_CÁLCULO'!A307</f>
        <v>1821-1/00</v>
      </c>
      <c r="B76" s="38" t="str">
        <f>'04_MOTOR_CÁLCULO'!B307</f>
        <v>C</v>
      </c>
      <c r="C76" s="100" t="str">
        <f>'04_MOTOR_CÁLCULO'!C307</f>
        <v>Serviços de pré-impressão</v>
      </c>
      <c r="D76" s="25" t="str">
        <f>'04_MOTOR_CÁLCULO'!D307</f>
        <v>IMPRESSÃO E REPR</v>
      </c>
      <c r="E76" s="78" t="str">
        <f>'04_MOTOR_CÁLCULO'!N307</f>
        <v>CNAE-STG</v>
      </c>
      <c r="F76" s="62">
        <f>'04_MOTOR_CÁLCULO'!K307</f>
        <v>0.9</v>
      </c>
      <c r="G76" s="63">
        <f>'04_MOTOR_CÁLCULO'!K307-1</f>
        <v>-9.9999999999999978E-2</v>
      </c>
      <c r="H76" s="17" t="str">
        <f>'04_MOTOR_CÁLCULO'!M307</f>
        <v>Baixo</v>
      </c>
    </row>
    <row r="77" spans="1:8" ht="13.5" customHeight="1" x14ac:dyDescent="0.25">
      <c r="A77" s="13" t="str">
        <f>'04_MOTOR_CÁLCULO'!A308</f>
        <v>1822-9/01</v>
      </c>
      <c r="B77" s="49" t="str">
        <f>'04_MOTOR_CÁLCULO'!B308</f>
        <v>C</v>
      </c>
      <c r="C77" s="101" t="str">
        <f>'04_MOTOR_CÁLCULO'!C308</f>
        <v>Serviços de encadernação e plastificação</v>
      </c>
      <c r="D77" s="14" t="str">
        <f>'04_MOTOR_CÁLCULO'!D308</f>
        <v>IMPRESSÃO E REPR</v>
      </c>
      <c r="E77" s="78" t="str">
        <f>'04_MOTOR_CÁLCULO'!N308</f>
        <v>CNAE-STG</v>
      </c>
      <c r="F77" s="62">
        <f>'04_MOTOR_CÁLCULO'!K308</f>
        <v>0.9</v>
      </c>
      <c r="G77" s="63">
        <f>'04_MOTOR_CÁLCULO'!K308-1</f>
        <v>-9.9999999999999978E-2</v>
      </c>
      <c r="H77" s="17" t="str">
        <f>'04_MOTOR_CÁLCULO'!M308</f>
        <v>Baixo</v>
      </c>
    </row>
    <row r="78" spans="1:8" ht="13.5" customHeight="1" x14ac:dyDescent="0.25">
      <c r="A78" s="24" t="str">
        <f>'04_MOTOR_CÁLCULO'!A309</f>
        <v>1822-9/99</v>
      </c>
      <c r="B78" s="38" t="str">
        <f>'04_MOTOR_CÁLCULO'!B309</f>
        <v>C</v>
      </c>
      <c r="C78" s="100" t="str">
        <f>'04_MOTOR_CÁLCULO'!C309</f>
        <v>Serviços de acabamentos gráficos, exceto encadernação e plastificação</v>
      </c>
      <c r="D78" s="25" t="str">
        <f>'04_MOTOR_CÁLCULO'!D309</f>
        <v>IMPRESSÃO E REPR</v>
      </c>
      <c r="E78" s="78" t="str">
        <f>'04_MOTOR_CÁLCULO'!N309</f>
        <v>CNAE-STG</v>
      </c>
      <c r="F78" s="62">
        <f>'04_MOTOR_CÁLCULO'!K309</f>
        <v>0.9</v>
      </c>
      <c r="G78" s="63">
        <f>'04_MOTOR_CÁLCULO'!K309-1</f>
        <v>-9.9999999999999978E-2</v>
      </c>
      <c r="H78" s="17" t="str">
        <f>'04_MOTOR_CÁLCULO'!M309</f>
        <v>Baixo</v>
      </c>
    </row>
    <row r="79" spans="1:8" ht="13.5" customHeight="1" x14ac:dyDescent="0.25">
      <c r="A79" s="13" t="str">
        <f>'04_MOTOR_CÁLCULO'!A310</f>
        <v>1830-0/01</v>
      </c>
      <c r="B79" s="49" t="str">
        <f>'04_MOTOR_CÁLCULO'!B310</f>
        <v>C</v>
      </c>
      <c r="C79" s="101" t="str">
        <f>'04_MOTOR_CÁLCULO'!C310</f>
        <v>Reprodução de som em qualquer suporte</v>
      </c>
      <c r="D79" s="14" t="str">
        <f>'04_MOTOR_CÁLCULO'!D310</f>
        <v>IMPRESSÃO E REPR</v>
      </c>
      <c r="E79" s="78" t="str">
        <f>'04_MOTOR_CÁLCULO'!N310</f>
        <v>CNAE-STG</v>
      </c>
      <c r="F79" s="62">
        <f>'04_MOTOR_CÁLCULO'!K310</f>
        <v>0.9</v>
      </c>
      <c r="G79" s="63">
        <f>'04_MOTOR_CÁLCULO'!K310-1</f>
        <v>-9.9999999999999978E-2</v>
      </c>
      <c r="H79" s="17" t="str">
        <f>'04_MOTOR_CÁLCULO'!M310</f>
        <v>Baixo</v>
      </c>
    </row>
    <row r="80" spans="1:8" ht="13.5" customHeight="1" x14ac:dyDescent="0.25">
      <c r="A80" s="24" t="str">
        <f>'04_MOTOR_CÁLCULO'!A311</f>
        <v>1830-0/02</v>
      </c>
      <c r="B80" s="38" t="str">
        <f>'04_MOTOR_CÁLCULO'!B311</f>
        <v>C</v>
      </c>
      <c r="C80" s="100" t="str">
        <f>'04_MOTOR_CÁLCULO'!C311</f>
        <v>Reprodução de vídeo em qualquer suporte</v>
      </c>
      <c r="D80" s="25" t="str">
        <f>'04_MOTOR_CÁLCULO'!D311</f>
        <v>IMPRESSÃO E REPR</v>
      </c>
      <c r="E80" s="78" t="str">
        <f>'04_MOTOR_CÁLCULO'!N311</f>
        <v>CNAE-STG</v>
      </c>
      <c r="F80" s="62">
        <f>'04_MOTOR_CÁLCULO'!K311</f>
        <v>0.9</v>
      </c>
      <c r="G80" s="63">
        <f>'04_MOTOR_CÁLCULO'!K311-1</f>
        <v>-9.9999999999999978E-2</v>
      </c>
      <c r="H80" s="17" t="str">
        <f>'04_MOTOR_CÁLCULO'!M311</f>
        <v>Baixo</v>
      </c>
    </row>
    <row r="81" spans="1:8" ht="13.5" customHeight="1" x14ac:dyDescent="0.25">
      <c r="A81" s="13" t="str">
        <f>'04_MOTOR_CÁLCULO'!A312</f>
        <v>1830-0/03</v>
      </c>
      <c r="B81" s="49" t="str">
        <f>'04_MOTOR_CÁLCULO'!B312</f>
        <v>C</v>
      </c>
      <c r="C81" s="101" t="str">
        <f>'04_MOTOR_CÁLCULO'!C312</f>
        <v>Reprodução de software em qualquer suporte</v>
      </c>
      <c r="D81" s="14" t="str">
        <f>'04_MOTOR_CÁLCULO'!D312</f>
        <v>IMPRESSÃO E REPR</v>
      </c>
      <c r="E81" s="78" t="str">
        <f>'04_MOTOR_CÁLCULO'!N312</f>
        <v>CNAE-STG</v>
      </c>
      <c r="F81" s="62">
        <f>'04_MOTOR_CÁLCULO'!K312</f>
        <v>0.9</v>
      </c>
      <c r="G81" s="63">
        <f>'04_MOTOR_CÁLCULO'!K312-1</f>
        <v>-9.9999999999999978E-2</v>
      </c>
      <c r="H81" s="17" t="str">
        <f>'04_MOTOR_CÁLCULO'!M312</f>
        <v>Baixo</v>
      </c>
    </row>
    <row r="82" spans="1:8" ht="13.5" customHeight="1" x14ac:dyDescent="0.25">
      <c r="A82" s="24" t="str">
        <f>'04_MOTOR_CÁLCULO'!A432</f>
        <v>2610-8/00</v>
      </c>
      <c r="B82" s="38" t="str">
        <f>'04_MOTOR_CÁLCULO'!B432</f>
        <v>C</v>
      </c>
      <c r="C82" s="100" t="str">
        <f>'04_MOTOR_CÁLCULO'!C432</f>
        <v>Fabricação de componentes eletrônicos</v>
      </c>
      <c r="D82" s="25" t="str">
        <f>'04_MOTOR_CÁLCULO'!D432</f>
        <v>FABRICAÇÃO DE EQ</v>
      </c>
      <c r="E82" s="78" t="str">
        <f>'04_MOTOR_CÁLCULO'!N432</f>
        <v>CNAE-STG</v>
      </c>
      <c r="F82" s="62">
        <f>'04_MOTOR_CÁLCULO'!K432</f>
        <v>0.9</v>
      </c>
      <c r="G82" s="63">
        <f>'04_MOTOR_CÁLCULO'!K432-1</f>
        <v>-9.9999999999999978E-2</v>
      </c>
      <c r="H82" s="17" t="str">
        <f>'04_MOTOR_CÁLCULO'!M432</f>
        <v>Baixo</v>
      </c>
    </row>
    <row r="83" spans="1:8" ht="13.5" customHeight="1" x14ac:dyDescent="0.25">
      <c r="A83" s="13" t="str">
        <f>'04_MOTOR_CÁLCULO'!A433</f>
        <v>2621-3/00</v>
      </c>
      <c r="B83" s="49" t="str">
        <f>'04_MOTOR_CÁLCULO'!B433</f>
        <v>C</v>
      </c>
      <c r="C83" s="101" t="str">
        <f>'04_MOTOR_CÁLCULO'!C433</f>
        <v>Fabricação de equipamentos de informática</v>
      </c>
      <c r="D83" s="14" t="str">
        <f>'04_MOTOR_CÁLCULO'!D433</f>
        <v>FABRICAÇÃO DE EQ</v>
      </c>
      <c r="E83" s="78" t="str">
        <f>'04_MOTOR_CÁLCULO'!N433</f>
        <v>CNAE-STG</v>
      </c>
      <c r="F83" s="62">
        <f>'04_MOTOR_CÁLCULO'!K433</f>
        <v>0.9</v>
      </c>
      <c r="G83" s="63">
        <f>'04_MOTOR_CÁLCULO'!K433-1</f>
        <v>-9.9999999999999978E-2</v>
      </c>
      <c r="H83" s="17" t="str">
        <f>'04_MOTOR_CÁLCULO'!M433</f>
        <v>Baixo</v>
      </c>
    </row>
    <row r="84" spans="1:8" ht="13.5" customHeight="1" x14ac:dyDescent="0.25">
      <c r="A84" s="24" t="str">
        <f>'04_MOTOR_CÁLCULO'!A434</f>
        <v>2622-1/00</v>
      </c>
      <c r="B84" s="38" t="str">
        <f>'04_MOTOR_CÁLCULO'!B434</f>
        <v>C</v>
      </c>
      <c r="C84" s="100" t="str">
        <f>'04_MOTOR_CÁLCULO'!C434</f>
        <v>Fabricação de periféricos para equipamentos de informática</v>
      </c>
      <c r="D84" s="25" t="str">
        <f>'04_MOTOR_CÁLCULO'!D434</f>
        <v>FABRICAÇÃO DE EQ</v>
      </c>
      <c r="E84" s="78" t="str">
        <f>'04_MOTOR_CÁLCULO'!N434</f>
        <v>CNAE-STG</v>
      </c>
      <c r="F84" s="62">
        <f>'04_MOTOR_CÁLCULO'!K434</f>
        <v>0.9</v>
      </c>
      <c r="G84" s="63">
        <f>'04_MOTOR_CÁLCULO'!K434-1</f>
        <v>-9.9999999999999978E-2</v>
      </c>
      <c r="H84" s="17" t="str">
        <f>'04_MOTOR_CÁLCULO'!M434</f>
        <v>Baixo</v>
      </c>
    </row>
    <row r="85" spans="1:8" ht="13.5" customHeight="1" x14ac:dyDescent="0.25">
      <c r="A85" s="13" t="str">
        <f>'04_MOTOR_CÁLCULO'!A435</f>
        <v>2631-1/00</v>
      </c>
      <c r="B85" s="49" t="str">
        <f>'04_MOTOR_CÁLCULO'!B435</f>
        <v>C</v>
      </c>
      <c r="C85" s="101" t="str">
        <f>'04_MOTOR_CÁLCULO'!C435</f>
        <v>Fabricação de equipamentos transmissores de comunicação, peças e acessórios</v>
      </c>
      <c r="D85" s="14" t="str">
        <f>'04_MOTOR_CÁLCULO'!D435</f>
        <v>FABRICAÇÃO DE EQ</v>
      </c>
      <c r="E85" s="78" t="str">
        <f>'04_MOTOR_CÁLCULO'!N435</f>
        <v>CNAE-STG</v>
      </c>
      <c r="F85" s="62">
        <f>'04_MOTOR_CÁLCULO'!K435</f>
        <v>0.9</v>
      </c>
      <c r="G85" s="63">
        <f>'04_MOTOR_CÁLCULO'!K435-1</f>
        <v>-9.9999999999999978E-2</v>
      </c>
      <c r="H85" s="17" t="str">
        <f>'04_MOTOR_CÁLCULO'!M435</f>
        <v>Baixo</v>
      </c>
    </row>
    <row r="86" spans="1:8" ht="13.5" customHeight="1" x14ac:dyDescent="0.25">
      <c r="A86" s="24" t="str">
        <f>'04_MOTOR_CÁLCULO'!A436</f>
        <v>2632-9/00</v>
      </c>
      <c r="B86" s="38" t="str">
        <f>'04_MOTOR_CÁLCULO'!B436</f>
        <v>C</v>
      </c>
      <c r="C86" s="100" t="str">
        <f>'04_MOTOR_CÁLCULO'!C436</f>
        <v>Fabricação de aparelhos telefônicos e de outros equipamentos de comunicação, peças e acessórios</v>
      </c>
      <c r="D86" s="25" t="str">
        <f>'04_MOTOR_CÁLCULO'!D436</f>
        <v>FABRICAÇÃO DE EQ</v>
      </c>
      <c r="E86" s="78" t="str">
        <f>'04_MOTOR_CÁLCULO'!N436</f>
        <v>CNAE-STG</v>
      </c>
      <c r="F86" s="62">
        <f>'04_MOTOR_CÁLCULO'!K436</f>
        <v>0.9</v>
      </c>
      <c r="G86" s="63">
        <f>'04_MOTOR_CÁLCULO'!K436-1</f>
        <v>-9.9999999999999978E-2</v>
      </c>
      <c r="H86" s="17" t="str">
        <f>'04_MOTOR_CÁLCULO'!M436</f>
        <v>Baixo</v>
      </c>
    </row>
    <row r="87" spans="1:8" ht="13.5" customHeight="1" x14ac:dyDescent="0.25">
      <c r="A87" s="13" t="str">
        <f>'04_MOTOR_CÁLCULO'!A437</f>
        <v>2640-0/00</v>
      </c>
      <c r="B87" s="49" t="str">
        <f>'04_MOTOR_CÁLCULO'!B437</f>
        <v>C</v>
      </c>
      <c r="C87" s="101" t="str">
        <f>'04_MOTOR_CÁLCULO'!C437</f>
        <v>Fabricação de aparelhos de recepção, reprodução, gravação e amplificação de áudio e vídeo</v>
      </c>
      <c r="D87" s="14" t="str">
        <f>'04_MOTOR_CÁLCULO'!D437</f>
        <v>FABRICAÇÃO DE EQ</v>
      </c>
      <c r="E87" s="78" t="str">
        <f>'04_MOTOR_CÁLCULO'!N437</f>
        <v>CNAE-STG</v>
      </c>
      <c r="F87" s="62">
        <f>'04_MOTOR_CÁLCULO'!K437</f>
        <v>0.9</v>
      </c>
      <c r="G87" s="63">
        <f>'04_MOTOR_CÁLCULO'!K437-1</f>
        <v>-9.9999999999999978E-2</v>
      </c>
      <c r="H87" s="17" t="str">
        <f>'04_MOTOR_CÁLCULO'!M437</f>
        <v>Baixo</v>
      </c>
    </row>
    <row r="88" spans="1:8" ht="13.5" customHeight="1" x14ac:dyDescent="0.25">
      <c r="A88" s="24" t="str">
        <f>'04_MOTOR_CÁLCULO'!A438</f>
        <v>2651-5/00</v>
      </c>
      <c r="B88" s="38" t="str">
        <f>'04_MOTOR_CÁLCULO'!B438</f>
        <v>C</v>
      </c>
      <c r="C88" s="100" t="str">
        <f>'04_MOTOR_CÁLCULO'!C438</f>
        <v>Fabricação de aparelhos e equipamentos de medida, teste e controle</v>
      </c>
      <c r="D88" s="25" t="str">
        <f>'04_MOTOR_CÁLCULO'!D438</f>
        <v>FABRICAÇÃO DE EQ</v>
      </c>
      <c r="E88" s="78" t="str">
        <f>'04_MOTOR_CÁLCULO'!N438</f>
        <v>CNAE-STG</v>
      </c>
      <c r="F88" s="62">
        <f>'04_MOTOR_CÁLCULO'!K438</f>
        <v>0.9</v>
      </c>
      <c r="G88" s="63">
        <f>'04_MOTOR_CÁLCULO'!K438-1</f>
        <v>-9.9999999999999978E-2</v>
      </c>
      <c r="H88" s="17" t="str">
        <f>'04_MOTOR_CÁLCULO'!M438</f>
        <v>Baixo</v>
      </c>
    </row>
    <row r="89" spans="1:8" ht="13.5" customHeight="1" x14ac:dyDescent="0.25">
      <c r="A89" s="13" t="str">
        <f>'04_MOTOR_CÁLCULO'!A439</f>
        <v>2652-3/00</v>
      </c>
      <c r="B89" s="49" t="str">
        <f>'04_MOTOR_CÁLCULO'!B439</f>
        <v>C</v>
      </c>
      <c r="C89" s="101" t="str">
        <f>'04_MOTOR_CÁLCULO'!C439</f>
        <v>Fabricação de cronômetros e relógios</v>
      </c>
      <c r="D89" s="14" t="str">
        <f>'04_MOTOR_CÁLCULO'!D439</f>
        <v>FABRICAÇÃO DE EQ</v>
      </c>
      <c r="E89" s="78" t="str">
        <f>'04_MOTOR_CÁLCULO'!N439</f>
        <v>CNAE-STG</v>
      </c>
      <c r="F89" s="62">
        <f>'04_MOTOR_CÁLCULO'!K439</f>
        <v>0.9</v>
      </c>
      <c r="G89" s="63">
        <f>'04_MOTOR_CÁLCULO'!K439-1</f>
        <v>-9.9999999999999978E-2</v>
      </c>
      <c r="H89" s="17" t="str">
        <f>'04_MOTOR_CÁLCULO'!M439</f>
        <v>Baixo</v>
      </c>
    </row>
    <row r="90" spans="1:8" ht="13.5" customHeight="1" x14ac:dyDescent="0.25">
      <c r="A90" s="24" t="str">
        <f>'04_MOTOR_CÁLCULO'!A440</f>
        <v>2660-4/00</v>
      </c>
      <c r="B90" s="38" t="str">
        <f>'04_MOTOR_CÁLCULO'!B440</f>
        <v>C</v>
      </c>
      <c r="C90" s="100" t="str">
        <f>'04_MOTOR_CÁLCULO'!C440</f>
        <v>Fabricação de aparelhos eletromédicos e eletroterapêuticos e equipamentos de irradiação</v>
      </c>
      <c r="D90" s="25" t="str">
        <f>'04_MOTOR_CÁLCULO'!D440</f>
        <v>FABRICAÇÃO DE EQ</v>
      </c>
      <c r="E90" s="78" t="str">
        <f>'04_MOTOR_CÁLCULO'!N440</f>
        <v>CNAE-STG</v>
      </c>
      <c r="F90" s="62">
        <f>'04_MOTOR_CÁLCULO'!K440</f>
        <v>0.9</v>
      </c>
      <c r="G90" s="63">
        <f>'04_MOTOR_CÁLCULO'!K440-1</f>
        <v>-9.9999999999999978E-2</v>
      </c>
      <c r="H90" s="17" t="str">
        <f>'04_MOTOR_CÁLCULO'!M440</f>
        <v>Baixo</v>
      </c>
    </row>
    <row r="91" spans="1:8" ht="13.5" customHeight="1" x14ac:dyDescent="0.25">
      <c r="A91" s="13" t="str">
        <f>'04_MOTOR_CÁLCULO'!A441</f>
        <v>2670-1/01</v>
      </c>
      <c r="B91" s="49" t="str">
        <f>'04_MOTOR_CÁLCULO'!B441</f>
        <v>C</v>
      </c>
      <c r="C91" s="101" t="str">
        <f>'04_MOTOR_CÁLCULO'!C441</f>
        <v>Fabricação de equipamentos e instrumentos ópticos, peças e acessórios</v>
      </c>
      <c r="D91" s="14" t="str">
        <f>'04_MOTOR_CÁLCULO'!D441</f>
        <v>FABRICAÇÃO DE EQ</v>
      </c>
      <c r="E91" s="78" t="str">
        <f>'04_MOTOR_CÁLCULO'!N441</f>
        <v>CNAE-STG</v>
      </c>
      <c r="F91" s="62">
        <f>'04_MOTOR_CÁLCULO'!K441</f>
        <v>0.9</v>
      </c>
      <c r="G91" s="63">
        <f>'04_MOTOR_CÁLCULO'!K441-1</f>
        <v>-9.9999999999999978E-2</v>
      </c>
      <c r="H91" s="17" t="str">
        <f>'04_MOTOR_CÁLCULO'!M441</f>
        <v>Baixo</v>
      </c>
    </row>
    <row r="92" spans="1:8" ht="13.5" customHeight="1" x14ac:dyDescent="0.25">
      <c r="A92" s="24" t="str">
        <f>'04_MOTOR_CÁLCULO'!A442</f>
        <v>2670-1/02</v>
      </c>
      <c r="B92" s="38" t="str">
        <f>'04_MOTOR_CÁLCULO'!B442</f>
        <v>C</v>
      </c>
      <c r="C92" s="100" t="str">
        <f>'04_MOTOR_CÁLCULO'!C442</f>
        <v>Fabricação de aparelhos fotográficos e cinematográficos, peças e acessórios</v>
      </c>
      <c r="D92" s="25" t="str">
        <f>'04_MOTOR_CÁLCULO'!D442</f>
        <v>FABRICAÇÃO DE EQ</v>
      </c>
      <c r="E92" s="78" t="str">
        <f>'04_MOTOR_CÁLCULO'!N442</f>
        <v>CNAE-STG</v>
      </c>
      <c r="F92" s="62">
        <f>'04_MOTOR_CÁLCULO'!K442</f>
        <v>0.9</v>
      </c>
      <c r="G92" s="63">
        <f>'04_MOTOR_CÁLCULO'!K442-1</f>
        <v>-9.9999999999999978E-2</v>
      </c>
      <c r="H92" s="17" t="str">
        <f>'04_MOTOR_CÁLCULO'!M442</f>
        <v>Baixo</v>
      </c>
    </row>
    <row r="93" spans="1:8" ht="13.5" customHeight="1" x14ac:dyDescent="0.25">
      <c r="A93" s="13" t="str">
        <f>'04_MOTOR_CÁLCULO'!A443</f>
        <v>2680-9/00</v>
      </c>
      <c r="B93" s="49" t="str">
        <f>'04_MOTOR_CÁLCULO'!B443</f>
        <v>C</v>
      </c>
      <c r="C93" s="101" t="str">
        <f>'04_MOTOR_CÁLCULO'!C443</f>
        <v>Fabricação de mídias virgens, magnéticas e ópticas</v>
      </c>
      <c r="D93" s="14" t="str">
        <f>'04_MOTOR_CÁLCULO'!D443</f>
        <v>FABRICAÇÃO DE EQ</v>
      </c>
      <c r="E93" s="78" t="str">
        <f>'04_MOTOR_CÁLCULO'!N443</f>
        <v>CNAE-STG</v>
      </c>
      <c r="F93" s="62">
        <f>'04_MOTOR_CÁLCULO'!K443</f>
        <v>0.9</v>
      </c>
      <c r="G93" s="63">
        <f>'04_MOTOR_CÁLCULO'!K443-1</f>
        <v>-9.9999999999999978E-2</v>
      </c>
      <c r="H93" s="17" t="str">
        <f>'04_MOTOR_CÁLCULO'!M443</f>
        <v>Baixo</v>
      </c>
    </row>
    <row r="94" spans="1:8" ht="13.5" customHeight="1" x14ac:dyDescent="0.25">
      <c r="A94" s="24" t="str">
        <f>'04_MOTOR_CÁLCULO'!A525</f>
        <v>3211-6/01</v>
      </c>
      <c r="B94" s="38" t="str">
        <f>'04_MOTOR_CÁLCULO'!B525</f>
        <v>C</v>
      </c>
      <c r="C94" s="100" t="str">
        <f>'04_MOTOR_CÁLCULO'!C525</f>
        <v>Lapidação de gemas</v>
      </c>
      <c r="D94" s="25" t="str">
        <f>'04_MOTOR_CÁLCULO'!D525</f>
        <v>FABRICAÇÃO DE PR</v>
      </c>
      <c r="E94" s="78" t="str">
        <f>'04_MOTOR_CÁLCULO'!N525</f>
        <v>CNAE-STG</v>
      </c>
      <c r="F94" s="62">
        <f>'04_MOTOR_CÁLCULO'!K525</f>
        <v>0.9</v>
      </c>
      <c r="G94" s="63">
        <f>'04_MOTOR_CÁLCULO'!K525-1</f>
        <v>-9.9999999999999978E-2</v>
      </c>
      <c r="H94" s="17" t="str">
        <f>'04_MOTOR_CÁLCULO'!M525</f>
        <v>Baixo</v>
      </c>
    </row>
    <row r="95" spans="1:8" ht="13.5" customHeight="1" x14ac:dyDescent="0.25">
      <c r="A95" s="13" t="str">
        <f>'04_MOTOR_CÁLCULO'!A526</f>
        <v>3211-6/02</v>
      </c>
      <c r="B95" s="49" t="str">
        <f>'04_MOTOR_CÁLCULO'!B526</f>
        <v>C</v>
      </c>
      <c r="C95" s="101" t="str">
        <f>'04_MOTOR_CÁLCULO'!C526</f>
        <v>Fabricação de artefatos de joalheria e ourivesaria</v>
      </c>
      <c r="D95" s="14" t="str">
        <f>'04_MOTOR_CÁLCULO'!D526</f>
        <v>FABRICAÇÃO DE PR</v>
      </c>
      <c r="E95" s="78" t="str">
        <f>'04_MOTOR_CÁLCULO'!N526</f>
        <v>CNAE-STG</v>
      </c>
      <c r="F95" s="62">
        <f>'04_MOTOR_CÁLCULO'!K526</f>
        <v>0.9</v>
      </c>
      <c r="G95" s="63">
        <f>'04_MOTOR_CÁLCULO'!K526-1</f>
        <v>-9.9999999999999978E-2</v>
      </c>
      <c r="H95" s="17" t="str">
        <f>'04_MOTOR_CÁLCULO'!M526</f>
        <v>Baixo</v>
      </c>
    </row>
    <row r="96" spans="1:8" ht="13.5" customHeight="1" x14ac:dyDescent="0.25">
      <c r="A96" s="24" t="str">
        <f>'04_MOTOR_CÁLCULO'!A527</f>
        <v>3211-6/03</v>
      </c>
      <c r="B96" s="38" t="str">
        <f>'04_MOTOR_CÁLCULO'!B527</f>
        <v>C</v>
      </c>
      <c r="C96" s="100" t="str">
        <f>'04_MOTOR_CÁLCULO'!C527</f>
        <v>Cunhagem de moedas e medalhas</v>
      </c>
      <c r="D96" s="25" t="str">
        <f>'04_MOTOR_CÁLCULO'!D527</f>
        <v>FABRICAÇÃO DE PR</v>
      </c>
      <c r="E96" s="78" t="str">
        <f>'04_MOTOR_CÁLCULO'!N527</f>
        <v>CNAE-STG</v>
      </c>
      <c r="F96" s="62">
        <f>'04_MOTOR_CÁLCULO'!K527</f>
        <v>0.9</v>
      </c>
      <c r="G96" s="63">
        <f>'04_MOTOR_CÁLCULO'!K527-1</f>
        <v>-9.9999999999999978E-2</v>
      </c>
      <c r="H96" s="17" t="str">
        <f>'04_MOTOR_CÁLCULO'!M527</f>
        <v>Baixo</v>
      </c>
    </row>
    <row r="97" spans="1:8" ht="13.5" customHeight="1" x14ac:dyDescent="0.25">
      <c r="A97" s="13" t="str">
        <f>'04_MOTOR_CÁLCULO'!A528</f>
        <v>3212-4/00</v>
      </c>
      <c r="B97" s="49" t="str">
        <f>'04_MOTOR_CÁLCULO'!B528</f>
        <v>C</v>
      </c>
      <c r="C97" s="101" t="str">
        <f>'04_MOTOR_CÁLCULO'!C528</f>
        <v>Fabricação de bijuterias e artefatos semelhantes</v>
      </c>
      <c r="D97" s="14" t="str">
        <f>'04_MOTOR_CÁLCULO'!D528</f>
        <v>FABRICAÇÃO DE PR</v>
      </c>
      <c r="E97" s="78" t="str">
        <f>'04_MOTOR_CÁLCULO'!N528</f>
        <v>CNAE-STG</v>
      </c>
      <c r="F97" s="62">
        <f>'04_MOTOR_CÁLCULO'!K528</f>
        <v>0.9</v>
      </c>
      <c r="G97" s="63">
        <f>'04_MOTOR_CÁLCULO'!K528-1</f>
        <v>-9.9999999999999978E-2</v>
      </c>
      <c r="H97" s="17" t="str">
        <f>'04_MOTOR_CÁLCULO'!M528</f>
        <v>Baixo</v>
      </c>
    </row>
    <row r="98" spans="1:8" ht="13.5" customHeight="1" x14ac:dyDescent="0.25">
      <c r="A98" s="24" t="str">
        <f>'04_MOTOR_CÁLCULO'!A529</f>
        <v>3220-5/00</v>
      </c>
      <c r="B98" s="38" t="str">
        <f>'04_MOTOR_CÁLCULO'!B529</f>
        <v>C</v>
      </c>
      <c r="C98" s="100" t="str">
        <f>'04_MOTOR_CÁLCULO'!C529</f>
        <v>Fabricação de instrumentos musicais, peças e acessórios</v>
      </c>
      <c r="D98" s="25" t="str">
        <f>'04_MOTOR_CÁLCULO'!D529</f>
        <v>FABRICAÇÃO DE PR</v>
      </c>
      <c r="E98" s="78" t="str">
        <f>'04_MOTOR_CÁLCULO'!N529</f>
        <v>CNAE-STG</v>
      </c>
      <c r="F98" s="62">
        <f>'04_MOTOR_CÁLCULO'!K529</f>
        <v>0.9</v>
      </c>
      <c r="G98" s="63">
        <f>'04_MOTOR_CÁLCULO'!K529-1</f>
        <v>-9.9999999999999978E-2</v>
      </c>
      <c r="H98" s="17" t="str">
        <f>'04_MOTOR_CÁLCULO'!M529</f>
        <v>Baixo</v>
      </c>
    </row>
    <row r="99" spans="1:8" ht="13.5" customHeight="1" x14ac:dyDescent="0.25">
      <c r="A99" s="13" t="str">
        <f>'04_MOTOR_CÁLCULO'!A530</f>
        <v>3230-2/00</v>
      </c>
      <c r="B99" s="49" t="str">
        <f>'04_MOTOR_CÁLCULO'!B530</f>
        <v>C</v>
      </c>
      <c r="C99" s="101" t="str">
        <f>'04_MOTOR_CÁLCULO'!C530</f>
        <v>Fabricação de artefatos para pesca e esporte</v>
      </c>
      <c r="D99" s="14" t="str">
        <f>'04_MOTOR_CÁLCULO'!D530</f>
        <v>FABRICAÇÃO DE PR</v>
      </c>
      <c r="E99" s="78" t="str">
        <f>'04_MOTOR_CÁLCULO'!N530</f>
        <v>CNAE-STG</v>
      </c>
      <c r="F99" s="62">
        <f>'04_MOTOR_CÁLCULO'!K530</f>
        <v>0.9</v>
      </c>
      <c r="G99" s="63">
        <f>'04_MOTOR_CÁLCULO'!K530-1</f>
        <v>-9.9999999999999978E-2</v>
      </c>
      <c r="H99" s="17" t="str">
        <f>'04_MOTOR_CÁLCULO'!M530</f>
        <v>Baixo</v>
      </c>
    </row>
    <row r="100" spans="1:8" ht="13.5" customHeight="1" x14ac:dyDescent="0.25">
      <c r="A100" s="24" t="str">
        <f>'04_MOTOR_CÁLCULO'!A531</f>
        <v>3240-0/01</v>
      </c>
      <c r="B100" s="38" t="str">
        <f>'04_MOTOR_CÁLCULO'!B531</f>
        <v>C</v>
      </c>
      <c r="C100" s="100" t="str">
        <f>'04_MOTOR_CÁLCULO'!C531</f>
        <v>Fabricação de jogos eletrônicos</v>
      </c>
      <c r="D100" s="25" t="str">
        <f>'04_MOTOR_CÁLCULO'!D531</f>
        <v>FABRICAÇÃO DE PR</v>
      </c>
      <c r="E100" s="78" t="str">
        <f>'04_MOTOR_CÁLCULO'!N531</f>
        <v>CNAE-STG</v>
      </c>
      <c r="F100" s="62">
        <f>'04_MOTOR_CÁLCULO'!K531</f>
        <v>0.9</v>
      </c>
      <c r="G100" s="63">
        <f>'04_MOTOR_CÁLCULO'!K531-1</f>
        <v>-9.9999999999999978E-2</v>
      </c>
      <c r="H100" s="17" t="str">
        <f>'04_MOTOR_CÁLCULO'!M531</f>
        <v>Baixo</v>
      </c>
    </row>
    <row r="101" spans="1:8" ht="13.5" customHeight="1" x14ac:dyDescent="0.25">
      <c r="A101" s="13" t="str">
        <f>'04_MOTOR_CÁLCULO'!A532</f>
        <v>3240-0/02</v>
      </c>
      <c r="B101" s="49" t="str">
        <f>'04_MOTOR_CÁLCULO'!B532</f>
        <v>C</v>
      </c>
      <c r="C101" s="101" t="str">
        <f>'04_MOTOR_CÁLCULO'!C532</f>
        <v>Fabricação de mesas de bilhar, de sinuca e acessórios não associada à locação</v>
      </c>
      <c r="D101" s="14" t="str">
        <f>'04_MOTOR_CÁLCULO'!D532</f>
        <v>FABRICAÇÃO DE PR</v>
      </c>
      <c r="E101" s="78" t="str">
        <f>'04_MOTOR_CÁLCULO'!N532</f>
        <v>CNAE-STG</v>
      </c>
      <c r="F101" s="62">
        <f>'04_MOTOR_CÁLCULO'!K532</f>
        <v>0.9</v>
      </c>
      <c r="G101" s="63">
        <f>'04_MOTOR_CÁLCULO'!K532-1</f>
        <v>-9.9999999999999978E-2</v>
      </c>
      <c r="H101" s="17" t="str">
        <f>'04_MOTOR_CÁLCULO'!M532</f>
        <v>Baixo</v>
      </c>
    </row>
    <row r="102" spans="1:8" ht="13.5" customHeight="1" x14ac:dyDescent="0.25">
      <c r="A102" s="24" t="str">
        <f>'04_MOTOR_CÁLCULO'!A533</f>
        <v>3240-0/03</v>
      </c>
      <c r="B102" s="38" t="str">
        <f>'04_MOTOR_CÁLCULO'!B533</f>
        <v>C</v>
      </c>
      <c r="C102" s="100" t="str">
        <f>'04_MOTOR_CÁLCULO'!C533</f>
        <v>Fabricação de mesas de bilhar, de sinuca e acessórios associada à locação</v>
      </c>
      <c r="D102" s="25" t="str">
        <f>'04_MOTOR_CÁLCULO'!D533</f>
        <v>FABRICAÇÃO DE PR</v>
      </c>
      <c r="E102" s="78" t="str">
        <f>'04_MOTOR_CÁLCULO'!N533</f>
        <v>CNAE-STG</v>
      </c>
      <c r="F102" s="62">
        <f>'04_MOTOR_CÁLCULO'!K533</f>
        <v>0.9</v>
      </c>
      <c r="G102" s="63">
        <f>'04_MOTOR_CÁLCULO'!K533-1</f>
        <v>-9.9999999999999978E-2</v>
      </c>
      <c r="H102" s="17" t="str">
        <f>'04_MOTOR_CÁLCULO'!M533</f>
        <v>Baixo</v>
      </c>
    </row>
    <row r="103" spans="1:8" ht="13.5" customHeight="1" x14ac:dyDescent="0.25">
      <c r="A103" s="13" t="str">
        <f>'04_MOTOR_CÁLCULO'!A534</f>
        <v>3240-0/99</v>
      </c>
      <c r="B103" s="49" t="str">
        <f>'04_MOTOR_CÁLCULO'!B534</f>
        <v>C</v>
      </c>
      <c r="C103" s="101" t="str">
        <f>'04_MOTOR_CÁLCULO'!C534</f>
        <v>Fabricação de outros brinquedos e jogos recreativos não especificados anteriormente</v>
      </c>
      <c r="D103" s="14" t="str">
        <f>'04_MOTOR_CÁLCULO'!D534</f>
        <v>FABRICAÇÃO DE PR</v>
      </c>
      <c r="E103" s="78" t="str">
        <f>'04_MOTOR_CÁLCULO'!N534</f>
        <v>CNAE-STG</v>
      </c>
      <c r="F103" s="62">
        <f>'04_MOTOR_CÁLCULO'!K534</f>
        <v>0.9</v>
      </c>
      <c r="G103" s="63">
        <f>'04_MOTOR_CÁLCULO'!K534-1</f>
        <v>-9.9999999999999978E-2</v>
      </c>
      <c r="H103" s="17" t="str">
        <f>'04_MOTOR_CÁLCULO'!M534</f>
        <v>Baixo</v>
      </c>
    </row>
    <row r="104" spans="1:8" ht="13.5" customHeight="1" x14ac:dyDescent="0.25">
      <c r="A104" s="24" t="str">
        <f>'04_MOTOR_CÁLCULO'!A535</f>
        <v>3250-7/01</v>
      </c>
      <c r="B104" s="38" t="str">
        <f>'04_MOTOR_CÁLCULO'!B535</f>
        <v>C</v>
      </c>
      <c r="C104" s="100" t="str">
        <f>'04_MOTOR_CÁLCULO'!C535</f>
        <v>Fabricação de instrumentos não eletrônicos e utensílios para uso médico, cirúrgico, odontológico e de laboratório</v>
      </c>
      <c r="D104" s="25" t="str">
        <f>'04_MOTOR_CÁLCULO'!D535</f>
        <v>FABRICAÇÃO DE PR</v>
      </c>
      <c r="E104" s="78" t="str">
        <f>'04_MOTOR_CÁLCULO'!N535</f>
        <v>CNAE-STG</v>
      </c>
      <c r="F104" s="62">
        <f>'04_MOTOR_CÁLCULO'!K535</f>
        <v>0.9</v>
      </c>
      <c r="G104" s="63">
        <f>'04_MOTOR_CÁLCULO'!K535-1</f>
        <v>-9.9999999999999978E-2</v>
      </c>
      <c r="H104" s="17" t="str">
        <f>'04_MOTOR_CÁLCULO'!M535</f>
        <v>Baixo</v>
      </c>
    </row>
    <row r="105" spans="1:8" ht="13.5" customHeight="1" x14ac:dyDescent="0.25">
      <c r="A105" s="13" t="str">
        <f>'04_MOTOR_CÁLCULO'!A536</f>
        <v>3250-7/02</v>
      </c>
      <c r="B105" s="49" t="str">
        <f>'04_MOTOR_CÁLCULO'!B536</f>
        <v>C</v>
      </c>
      <c r="C105" s="101" t="str">
        <f>'04_MOTOR_CÁLCULO'!C536</f>
        <v>Fabricação de mobiliário para uso médico, cirúrgico, odontológico e de laboratório</v>
      </c>
      <c r="D105" s="14" t="str">
        <f>'04_MOTOR_CÁLCULO'!D536</f>
        <v>FABRICAÇÃO DE PR</v>
      </c>
      <c r="E105" s="78" t="str">
        <f>'04_MOTOR_CÁLCULO'!N536</f>
        <v>CNAE-STG</v>
      </c>
      <c r="F105" s="62">
        <f>'04_MOTOR_CÁLCULO'!K536</f>
        <v>0.9</v>
      </c>
      <c r="G105" s="63">
        <f>'04_MOTOR_CÁLCULO'!K536-1</f>
        <v>-9.9999999999999978E-2</v>
      </c>
      <c r="H105" s="17" t="str">
        <f>'04_MOTOR_CÁLCULO'!M536</f>
        <v>Baixo</v>
      </c>
    </row>
    <row r="106" spans="1:8" ht="13.5" customHeight="1" x14ac:dyDescent="0.25">
      <c r="A106" s="24" t="str">
        <f>'04_MOTOR_CÁLCULO'!A537</f>
        <v>3250-7/03</v>
      </c>
      <c r="B106" s="38" t="str">
        <f>'04_MOTOR_CÁLCULO'!B537</f>
        <v>C</v>
      </c>
      <c r="C106" s="100" t="str">
        <f>'04_MOTOR_CÁLCULO'!C537</f>
        <v>Fabricação de aparelhos e utensílios para correção de defeitos físicos e aparelhos ortopédicos em geral sob encomenda</v>
      </c>
      <c r="D106" s="25" t="str">
        <f>'04_MOTOR_CÁLCULO'!D537</f>
        <v>FABRICAÇÃO DE PR</v>
      </c>
      <c r="E106" s="78" t="str">
        <f>'04_MOTOR_CÁLCULO'!N537</f>
        <v>CNAE-STG</v>
      </c>
      <c r="F106" s="62">
        <f>'04_MOTOR_CÁLCULO'!K537</f>
        <v>0.9</v>
      </c>
      <c r="G106" s="63">
        <f>'04_MOTOR_CÁLCULO'!K537-1</f>
        <v>-9.9999999999999978E-2</v>
      </c>
      <c r="H106" s="17" t="str">
        <f>'04_MOTOR_CÁLCULO'!M537</f>
        <v>Baixo</v>
      </c>
    </row>
    <row r="107" spans="1:8" ht="13.5" customHeight="1" x14ac:dyDescent="0.25">
      <c r="A107" s="13" t="str">
        <f>'04_MOTOR_CÁLCULO'!A538</f>
        <v>3250-7/04</v>
      </c>
      <c r="B107" s="49" t="str">
        <f>'04_MOTOR_CÁLCULO'!B538</f>
        <v>C</v>
      </c>
      <c r="C107" s="101" t="str">
        <f>'04_MOTOR_CÁLCULO'!C538</f>
        <v>Fabricação de aparelhos e utensílios para correção de defeitos físicos e aparelhos ortopédicos em geral, exceto sob encomenda</v>
      </c>
      <c r="D107" s="14" t="str">
        <f>'04_MOTOR_CÁLCULO'!D538</f>
        <v>FABRICAÇÃO DE PR</v>
      </c>
      <c r="E107" s="78" t="str">
        <f>'04_MOTOR_CÁLCULO'!N538</f>
        <v>CNAE-STG</v>
      </c>
      <c r="F107" s="62">
        <f>'04_MOTOR_CÁLCULO'!K538</f>
        <v>0.9</v>
      </c>
      <c r="G107" s="63">
        <f>'04_MOTOR_CÁLCULO'!K538-1</f>
        <v>-9.9999999999999978E-2</v>
      </c>
      <c r="H107" s="17" t="str">
        <f>'04_MOTOR_CÁLCULO'!M538</f>
        <v>Baixo</v>
      </c>
    </row>
    <row r="108" spans="1:8" ht="13.5" customHeight="1" x14ac:dyDescent="0.25">
      <c r="A108" s="24" t="str">
        <f>'04_MOTOR_CÁLCULO'!A539</f>
        <v>3250-7/05</v>
      </c>
      <c r="B108" s="38" t="str">
        <f>'04_MOTOR_CÁLCULO'!B539</f>
        <v>C</v>
      </c>
      <c r="C108" s="100" t="str">
        <f>'04_MOTOR_CÁLCULO'!C539</f>
        <v>Fabricação de materiais para medicina e odontologia</v>
      </c>
      <c r="D108" s="25" t="str">
        <f>'04_MOTOR_CÁLCULO'!D539</f>
        <v>FABRICAÇÃO DE PR</v>
      </c>
      <c r="E108" s="78" t="str">
        <f>'04_MOTOR_CÁLCULO'!N539</f>
        <v>CNAE-STG</v>
      </c>
      <c r="F108" s="62">
        <f>'04_MOTOR_CÁLCULO'!K539</f>
        <v>0.9</v>
      </c>
      <c r="G108" s="63">
        <f>'04_MOTOR_CÁLCULO'!K539-1</f>
        <v>-9.9999999999999978E-2</v>
      </c>
      <c r="H108" s="17" t="str">
        <f>'04_MOTOR_CÁLCULO'!M539</f>
        <v>Baixo</v>
      </c>
    </row>
    <row r="109" spans="1:8" ht="13.5" customHeight="1" x14ac:dyDescent="0.25">
      <c r="A109" s="13" t="str">
        <f>'04_MOTOR_CÁLCULO'!A540</f>
        <v>3250-7/06</v>
      </c>
      <c r="B109" s="49" t="str">
        <f>'04_MOTOR_CÁLCULO'!B540</f>
        <v>C</v>
      </c>
      <c r="C109" s="101" t="str">
        <f>'04_MOTOR_CÁLCULO'!C540</f>
        <v>Serviços de prótese dentária</v>
      </c>
      <c r="D109" s="14" t="str">
        <f>'04_MOTOR_CÁLCULO'!D540</f>
        <v>FABRICAÇÃO DE PR</v>
      </c>
      <c r="E109" s="78" t="str">
        <f>'04_MOTOR_CÁLCULO'!N540</f>
        <v>CNAE-STG</v>
      </c>
      <c r="F109" s="62">
        <f>'04_MOTOR_CÁLCULO'!K540</f>
        <v>0.9</v>
      </c>
      <c r="G109" s="63">
        <f>'04_MOTOR_CÁLCULO'!K540-1</f>
        <v>-9.9999999999999978E-2</v>
      </c>
      <c r="H109" s="17" t="str">
        <f>'04_MOTOR_CÁLCULO'!M540</f>
        <v>Baixo</v>
      </c>
    </row>
    <row r="110" spans="1:8" ht="13.5" customHeight="1" x14ac:dyDescent="0.25">
      <c r="A110" s="24" t="str">
        <f>'04_MOTOR_CÁLCULO'!A541</f>
        <v>3250-7/07</v>
      </c>
      <c r="B110" s="38" t="str">
        <f>'04_MOTOR_CÁLCULO'!B541</f>
        <v>C</v>
      </c>
      <c r="C110" s="100" t="str">
        <f>'04_MOTOR_CÁLCULO'!C541</f>
        <v>Fabricação de artigos ópticos</v>
      </c>
      <c r="D110" s="25" t="str">
        <f>'04_MOTOR_CÁLCULO'!D541</f>
        <v>FABRICAÇÃO DE PR</v>
      </c>
      <c r="E110" s="78" t="str">
        <f>'04_MOTOR_CÁLCULO'!N541</f>
        <v>CNAE-STG</v>
      </c>
      <c r="F110" s="62">
        <f>'04_MOTOR_CÁLCULO'!K541</f>
        <v>0.9</v>
      </c>
      <c r="G110" s="63">
        <f>'04_MOTOR_CÁLCULO'!K541-1</f>
        <v>-9.9999999999999978E-2</v>
      </c>
      <c r="H110" s="17" t="str">
        <f>'04_MOTOR_CÁLCULO'!M541</f>
        <v>Baixo</v>
      </c>
    </row>
    <row r="111" spans="1:8" ht="13.5" customHeight="1" x14ac:dyDescent="0.25">
      <c r="A111" s="13" t="str">
        <f>'04_MOTOR_CÁLCULO'!A542</f>
        <v>3250-7/09</v>
      </c>
      <c r="B111" s="49" t="str">
        <f>'04_MOTOR_CÁLCULO'!B542</f>
        <v>C</v>
      </c>
      <c r="C111" s="101" t="str">
        <f>'04_MOTOR_CÁLCULO'!C542</f>
        <v>Serviço de laboratório óptico</v>
      </c>
      <c r="D111" s="14" t="str">
        <f>'04_MOTOR_CÁLCULO'!D542</f>
        <v>FABRICAÇÃO DE PR</v>
      </c>
      <c r="E111" s="78" t="str">
        <f>'04_MOTOR_CÁLCULO'!N542</f>
        <v>CNAE-STG</v>
      </c>
      <c r="F111" s="62">
        <f>'04_MOTOR_CÁLCULO'!K542</f>
        <v>0.9</v>
      </c>
      <c r="G111" s="63">
        <f>'04_MOTOR_CÁLCULO'!K542-1</f>
        <v>-9.9999999999999978E-2</v>
      </c>
      <c r="H111" s="17" t="str">
        <f>'04_MOTOR_CÁLCULO'!M542</f>
        <v>Baixo</v>
      </c>
    </row>
    <row r="112" spans="1:8" ht="13.5" customHeight="1" x14ac:dyDescent="0.25">
      <c r="A112" s="24" t="str">
        <f>'04_MOTOR_CÁLCULO'!A543</f>
        <v>3291-4/00</v>
      </c>
      <c r="B112" s="38" t="str">
        <f>'04_MOTOR_CÁLCULO'!B543</f>
        <v>C</v>
      </c>
      <c r="C112" s="100" t="str">
        <f>'04_MOTOR_CÁLCULO'!C543</f>
        <v>Fabricação de escovas, pincéis e vassouras</v>
      </c>
      <c r="D112" s="25" t="str">
        <f>'04_MOTOR_CÁLCULO'!D543</f>
        <v>FABRICAÇÃO DE PR</v>
      </c>
      <c r="E112" s="78" t="str">
        <f>'04_MOTOR_CÁLCULO'!N543</f>
        <v>CNAE-STG</v>
      </c>
      <c r="F112" s="62">
        <f>'04_MOTOR_CÁLCULO'!K543</f>
        <v>0.9</v>
      </c>
      <c r="G112" s="63">
        <f>'04_MOTOR_CÁLCULO'!K543-1</f>
        <v>-9.9999999999999978E-2</v>
      </c>
      <c r="H112" s="17" t="str">
        <f>'04_MOTOR_CÁLCULO'!M543</f>
        <v>Baixo</v>
      </c>
    </row>
    <row r="113" spans="1:8" ht="13.5" customHeight="1" x14ac:dyDescent="0.25">
      <c r="A113" s="13" t="str">
        <f>'04_MOTOR_CÁLCULO'!A544</f>
        <v>3292-2/01</v>
      </c>
      <c r="B113" s="49" t="str">
        <f>'04_MOTOR_CÁLCULO'!B544</f>
        <v>C</v>
      </c>
      <c r="C113" s="101" t="str">
        <f>'04_MOTOR_CÁLCULO'!C544</f>
        <v>Fabricação de roupas de proteção e segurança e resistentes a fogo</v>
      </c>
      <c r="D113" s="14" t="str">
        <f>'04_MOTOR_CÁLCULO'!D544</f>
        <v>FABRICAÇÃO DE PR</v>
      </c>
      <c r="E113" s="78" t="str">
        <f>'04_MOTOR_CÁLCULO'!N544</f>
        <v>CNAE-STG</v>
      </c>
      <c r="F113" s="62">
        <f>'04_MOTOR_CÁLCULO'!K544</f>
        <v>0.9</v>
      </c>
      <c r="G113" s="63">
        <f>'04_MOTOR_CÁLCULO'!K544-1</f>
        <v>-9.9999999999999978E-2</v>
      </c>
      <c r="H113" s="17" t="str">
        <f>'04_MOTOR_CÁLCULO'!M544</f>
        <v>Baixo</v>
      </c>
    </row>
    <row r="114" spans="1:8" ht="13.5" customHeight="1" x14ac:dyDescent="0.25">
      <c r="A114" s="24" t="str">
        <f>'04_MOTOR_CÁLCULO'!A545</f>
        <v>3292-2/02</v>
      </c>
      <c r="B114" s="38" t="str">
        <f>'04_MOTOR_CÁLCULO'!B545</f>
        <v>C</v>
      </c>
      <c r="C114" s="100" t="str">
        <f>'04_MOTOR_CÁLCULO'!C545</f>
        <v>Fabricação de equipamentos e acessórios para segurança pessoal e profissional</v>
      </c>
      <c r="D114" s="25" t="str">
        <f>'04_MOTOR_CÁLCULO'!D545</f>
        <v>FABRICAÇÃO DE PR</v>
      </c>
      <c r="E114" s="78" t="str">
        <f>'04_MOTOR_CÁLCULO'!N545</f>
        <v>CNAE-STG</v>
      </c>
      <c r="F114" s="62">
        <f>'04_MOTOR_CÁLCULO'!K545</f>
        <v>0.9</v>
      </c>
      <c r="G114" s="63">
        <f>'04_MOTOR_CÁLCULO'!K545-1</f>
        <v>-9.9999999999999978E-2</v>
      </c>
      <c r="H114" s="17" t="str">
        <f>'04_MOTOR_CÁLCULO'!M545</f>
        <v>Baixo</v>
      </c>
    </row>
    <row r="115" spans="1:8" ht="13.5" customHeight="1" x14ac:dyDescent="0.25">
      <c r="A115" s="13" t="str">
        <f>'04_MOTOR_CÁLCULO'!A546</f>
        <v>3299-0/01</v>
      </c>
      <c r="B115" s="49" t="str">
        <f>'04_MOTOR_CÁLCULO'!B546</f>
        <v>C</v>
      </c>
      <c r="C115" s="101" t="str">
        <f>'04_MOTOR_CÁLCULO'!C546</f>
        <v>Fabricação de guarda-chuvas e similares</v>
      </c>
      <c r="D115" s="14" t="str">
        <f>'04_MOTOR_CÁLCULO'!D546</f>
        <v>FABRICAÇÃO DE PR</v>
      </c>
      <c r="E115" s="78" t="str">
        <f>'04_MOTOR_CÁLCULO'!N546</f>
        <v>CNAE-STG</v>
      </c>
      <c r="F115" s="62">
        <f>'04_MOTOR_CÁLCULO'!K546</f>
        <v>0.9</v>
      </c>
      <c r="G115" s="63">
        <f>'04_MOTOR_CÁLCULO'!K546-1</f>
        <v>-9.9999999999999978E-2</v>
      </c>
      <c r="H115" s="17" t="str">
        <f>'04_MOTOR_CÁLCULO'!M546</f>
        <v>Baixo</v>
      </c>
    </row>
    <row r="116" spans="1:8" ht="13.5" customHeight="1" x14ac:dyDescent="0.25">
      <c r="A116" s="24" t="str">
        <f>'04_MOTOR_CÁLCULO'!A547</f>
        <v>3299-0/02</v>
      </c>
      <c r="B116" s="38" t="str">
        <f>'04_MOTOR_CÁLCULO'!B547</f>
        <v>C</v>
      </c>
      <c r="C116" s="100" t="str">
        <f>'04_MOTOR_CÁLCULO'!C547</f>
        <v>Fabricação de canetas, lápis e outros artigos para escritório</v>
      </c>
      <c r="D116" s="25" t="str">
        <f>'04_MOTOR_CÁLCULO'!D547</f>
        <v>FABRICAÇÃO DE PR</v>
      </c>
      <c r="E116" s="78" t="str">
        <f>'04_MOTOR_CÁLCULO'!N547</f>
        <v>CNAE-STG</v>
      </c>
      <c r="F116" s="62">
        <f>'04_MOTOR_CÁLCULO'!K547</f>
        <v>0.9</v>
      </c>
      <c r="G116" s="63">
        <f>'04_MOTOR_CÁLCULO'!K547-1</f>
        <v>-9.9999999999999978E-2</v>
      </c>
      <c r="H116" s="17" t="str">
        <f>'04_MOTOR_CÁLCULO'!M547</f>
        <v>Baixo</v>
      </c>
    </row>
    <row r="117" spans="1:8" ht="13.5" customHeight="1" x14ac:dyDescent="0.25">
      <c r="A117" s="13" t="str">
        <f>'04_MOTOR_CÁLCULO'!A548</f>
        <v>3299-0/03</v>
      </c>
      <c r="B117" s="49" t="str">
        <f>'04_MOTOR_CÁLCULO'!B548</f>
        <v>C</v>
      </c>
      <c r="C117" s="101" t="str">
        <f>'04_MOTOR_CÁLCULO'!C548</f>
        <v>Fabricação de letras, letreiros e placas de qualquer material, exceto luminosos</v>
      </c>
      <c r="D117" s="14" t="str">
        <f>'04_MOTOR_CÁLCULO'!D548</f>
        <v>FABRICAÇÃO DE PR</v>
      </c>
      <c r="E117" s="78" t="str">
        <f>'04_MOTOR_CÁLCULO'!N548</f>
        <v>CNAE-STG</v>
      </c>
      <c r="F117" s="62">
        <f>'04_MOTOR_CÁLCULO'!K548</f>
        <v>0.9</v>
      </c>
      <c r="G117" s="63">
        <f>'04_MOTOR_CÁLCULO'!K548-1</f>
        <v>-9.9999999999999978E-2</v>
      </c>
      <c r="H117" s="17" t="str">
        <f>'04_MOTOR_CÁLCULO'!M548</f>
        <v>Baixo</v>
      </c>
    </row>
    <row r="118" spans="1:8" ht="13.5" customHeight="1" x14ac:dyDescent="0.25">
      <c r="A118" s="24" t="str">
        <f>'04_MOTOR_CÁLCULO'!A549</f>
        <v>3299-0/04</v>
      </c>
      <c r="B118" s="38" t="str">
        <f>'04_MOTOR_CÁLCULO'!B549</f>
        <v>C</v>
      </c>
      <c r="C118" s="100" t="str">
        <f>'04_MOTOR_CÁLCULO'!C549</f>
        <v>Fabricação de painéis e letreiros luminosos</v>
      </c>
      <c r="D118" s="25" t="str">
        <f>'04_MOTOR_CÁLCULO'!D549</f>
        <v>FABRICAÇÃO DE PR</v>
      </c>
      <c r="E118" s="78" t="str">
        <f>'04_MOTOR_CÁLCULO'!N549</f>
        <v>CNAE-STG</v>
      </c>
      <c r="F118" s="62">
        <f>'04_MOTOR_CÁLCULO'!K549</f>
        <v>0.9</v>
      </c>
      <c r="G118" s="63">
        <f>'04_MOTOR_CÁLCULO'!K549-1</f>
        <v>-9.9999999999999978E-2</v>
      </c>
      <c r="H118" s="17" t="str">
        <f>'04_MOTOR_CÁLCULO'!M549</f>
        <v>Baixo</v>
      </c>
    </row>
    <row r="119" spans="1:8" ht="13.5" customHeight="1" x14ac:dyDescent="0.25">
      <c r="A119" s="13" t="str">
        <f>'04_MOTOR_CÁLCULO'!A550</f>
        <v>3299-0/05</v>
      </c>
      <c r="B119" s="49" t="str">
        <f>'04_MOTOR_CÁLCULO'!B550</f>
        <v>C</v>
      </c>
      <c r="C119" s="101" t="str">
        <f>'04_MOTOR_CÁLCULO'!C550</f>
        <v>Fabricação de aviamentos para costura</v>
      </c>
      <c r="D119" s="14" t="str">
        <f>'04_MOTOR_CÁLCULO'!D550</f>
        <v>FABRICAÇÃO DE PR</v>
      </c>
      <c r="E119" s="78" t="str">
        <f>'04_MOTOR_CÁLCULO'!N550</f>
        <v>CNAE-STG</v>
      </c>
      <c r="F119" s="62">
        <f>'04_MOTOR_CÁLCULO'!K550</f>
        <v>0.9</v>
      </c>
      <c r="G119" s="63">
        <f>'04_MOTOR_CÁLCULO'!K550-1</f>
        <v>-9.9999999999999978E-2</v>
      </c>
      <c r="H119" s="17" t="str">
        <f>'04_MOTOR_CÁLCULO'!M550</f>
        <v>Baixo</v>
      </c>
    </row>
    <row r="120" spans="1:8" ht="13.5" customHeight="1" x14ac:dyDescent="0.25">
      <c r="A120" s="24" t="str">
        <f>'04_MOTOR_CÁLCULO'!A551</f>
        <v>3299-0/06</v>
      </c>
      <c r="B120" s="38" t="str">
        <f>'04_MOTOR_CÁLCULO'!B551</f>
        <v>C</v>
      </c>
      <c r="C120" s="100" t="str">
        <f>'04_MOTOR_CÁLCULO'!C551</f>
        <v>Fabricação de velas, inclusive decorativas</v>
      </c>
      <c r="D120" s="25" t="str">
        <f>'04_MOTOR_CÁLCULO'!D551</f>
        <v>FABRICAÇÃO DE PR</v>
      </c>
      <c r="E120" s="78" t="str">
        <f>'04_MOTOR_CÁLCULO'!N551</f>
        <v>CNAE-STG</v>
      </c>
      <c r="F120" s="62">
        <f>'04_MOTOR_CÁLCULO'!K551</f>
        <v>0.9</v>
      </c>
      <c r="G120" s="63">
        <f>'04_MOTOR_CÁLCULO'!K551-1</f>
        <v>-9.9999999999999978E-2</v>
      </c>
      <c r="H120" s="17" t="str">
        <f>'04_MOTOR_CÁLCULO'!M551</f>
        <v>Baixo</v>
      </c>
    </row>
    <row r="121" spans="1:8" ht="13.5" customHeight="1" x14ac:dyDescent="0.25">
      <c r="A121" s="13" t="str">
        <f>'04_MOTOR_CÁLCULO'!A552</f>
        <v>3299-0/99</v>
      </c>
      <c r="B121" s="49" t="str">
        <f>'04_MOTOR_CÁLCULO'!B552</f>
        <v>C</v>
      </c>
      <c r="C121" s="101" t="str">
        <f>'04_MOTOR_CÁLCULO'!C552</f>
        <v>Fabricação de produtos diversos não especificados anteriormente</v>
      </c>
      <c r="D121" s="14" t="str">
        <f>'04_MOTOR_CÁLCULO'!D552</f>
        <v>FABRICAÇÃO DE PR</v>
      </c>
      <c r="E121" s="78" t="str">
        <f>'04_MOTOR_CÁLCULO'!N552</f>
        <v>CNAE-STG</v>
      </c>
      <c r="F121" s="62">
        <f>'04_MOTOR_CÁLCULO'!K552</f>
        <v>0.9</v>
      </c>
      <c r="G121" s="63">
        <f>'04_MOTOR_CÁLCULO'!K552-1</f>
        <v>-9.9999999999999978E-2</v>
      </c>
      <c r="H121" s="17" t="str">
        <f>'04_MOTOR_CÁLCULO'!M552</f>
        <v>Baixo</v>
      </c>
    </row>
    <row r="122" spans="1:8" ht="13.5" customHeight="1" x14ac:dyDescent="0.25">
      <c r="A122" s="24" t="str">
        <f>'04_MOTOR_CÁLCULO'!A614</f>
        <v>4110-7/00</v>
      </c>
      <c r="B122" s="38" t="str">
        <f>'04_MOTOR_CÁLCULO'!B614</f>
        <v>F</v>
      </c>
      <c r="C122" s="100" t="str">
        <f>'04_MOTOR_CÁLCULO'!C614</f>
        <v>Incorporação de empreendimentos imobiliários</v>
      </c>
      <c r="D122" s="25" t="str">
        <f>'04_MOTOR_CÁLCULO'!D614</f>
        <v>CONSTRUÇÃO DE ED</v>
      </c>
      <c r="E122" s="78" t="str">
        <f>'04_MOTOR_CÁLCULO'!N614</f>
        <v>CNAE-STG</v>
      </c>
      <c r="F122" s="62">
        <f>'04_MOTOR_CÁLCULO'!K614</f>
        <v>0.9</v>
      </c>
      <c r="G122" s="63">
        <f>'04_MOTOR_CÁLCULO'!K614-1</f>
        <v>-9.9999999999999978E-2</v>
      </c>
      <c r="H122" s="17" t="str">
        <f>'04_MOTOR_CÁLCULO'!M614</f>
        <v>Baixo</v>
      </c>
    </row>
    <row r="123" spans="1:8" ht="13.5" customHeight="1" x14ac:dyDescent="0.25">
      <c r="A123" s="13" t="str">
        <f>'04_MOTOR_CÁLCULO'!A661</f>
        <v>4511-1/01</v>
      </c>
      <c r="B123" s="49" t="str">
        <f>'04_MOTOR_CÁLCULO'!B661</f>
        <v>G</v>
      </c>
      <c r="C123" s="101" t="str">
        <f>'04_MOTOR_CÁLCULO'!C661</f>
        <v>Comércio a varejo de automóveis, camionetas e utilitários novos</v>
      </c>
      <c r="D123" s="14" t="str">
        <f>'04_MOTOR_CÁLCULO'!D661</f>
        <v>COMÉRCIO E REPAR</v>
      </c>
      <c r="E123" s="78" t="str">
        <f>'04_MOTOR_CÁLCULO'!N661</f>
        <v>CNAE-STG</v>
      </c>
      <c r="F123" s="62">
        <f>'04_MOTOR_CÁLCULO'!K661</f>
        <v>0.9</v>
      </c>
      <c r="G123" s="63">
        <f>'04_MOTOR_CÁLCULO'!K661-1</f>
        <v>-9.9999999999999978E-2</v>
      </c>
      <c r="H123" s="17" t="str">
        <f>'04_MOTOR_CÁLCULO'!M661</f>
        <v>Baixo</v>
      </c>
    </row>
    <row r="124" spans="1:8" ht="13.5" customHeight="1" x14ac:dyDescent="0.25">
      <c r="A124" s="24" t="str">
        <f>'04_MOTOR_CÁLCULO'!A662</f>
        <v>4511-1/02</v>
      </c>
      <c r="B124" s="38" t="str">
        <f>'04_MOTOR_CÁLCULO'!B662</f>
        <v>G</v>
      </c>
      <c r="C124" s="100" t="str">
        <f>'04_MOTOR_CÁLCULO'!C662</f>
        <v>Comércio a varejo de automóveis, camionetas e utilitários usados</v>
      </c>
      <c r="D124" s="25" t="str">
        <f>'04_MOTOR_CÁLCULO'!D662</f>
        <v>COMÉRCIO E REPAR</v>
      </c>
      <c r="E124" s="78" t="str">
        <f>'04_MOTOR_CÁLCULO'!N662</f>
        <v>CNAE-STG</v>
      </c>
      <c r="F124" s="62">
        <f>'04_MOTOR_CÁLCULO'!K662</f>
        <v>0.9</v>
      </c>
      <c r="G124" s="63">
        <f>'04_MOTOR_CÁLCULO'!K662-1</f>
        <v>-9.9999999999999978E-2</v>
      </c>
      <c r="H124" s="17" t="str">
        <f>'04_MOTOR_CÁLCULO'!M662</f>
        <v>Baixo</v>
      </c>
    </row>
    <row r="125" spans="1:8" ht="13.5" customHeight="1" x14ac:dyDescent="0.25">
      <c r="A125" s="13" t="str">
        <f>'04_MOTOR_CÁLCULO'!A663</f>
        <v>4511-1/03</v>
      </c>
      <c r="B125" s="49" t="str">
        <f>'04_MOTOR_CÁLCULO'!B663</f>
        <v>G</v>
      </c>
      <c r="C125" s="101" t="str">
        <f>'04_MOTOR_CÁLCULO'!C663</f>
        <v>Comércio por atacado de automóveis, camionetas e utilitários novos e usados</v>
      </c>
      <c r="D125" s="14" t="str">
        <f>'04_MOTOR_CÁLCULO'!D663</f>
        <v>COMÉRCIO E REPAR</v>
      </c>
      <c r="E125" s="78" t="str">
        <f>'04_MOTOR_CÁLCULO'!N663</f>
        <v>CNAE-STG</v>
      </c>
      <c r="F125" s="62">
        <f>'04_MOTOR_CÁLCULO'!K663</f>
        <v>0.9</v>
      </c>
      <c r="G125" s="63">
        <f>'04_MOTOR_CÁLCULO'!K663-1</f>
        <v>-9.9999999999999978E-2</v>
      </c>
      <c r="H125" s="17" t="str">
        <f>'04_MOTOR_CÁLCULO'!M663</f>
        <v>Baixo</v>
      </c>
    </row>
    <row r="126" spans="1:8" ht="13.5" customHeight="1" x14ac:dyDescent="0.25">
      <c r="A126" s="24" t="str">
        <f>'04_MOTOR_CÁLCULO'!A664</f>
        <v>4511-1/04</v>
      </c>
      <c r="B126" s="38" t="str">
        <f>'04_MOTOR_CÁLCULO'!B664</f>
        <v>G</v>
      </c>
      <c r="C126" s="100" t="str">
        <f>'04_MOTOR_CÁLCULO'!C664</f>
        <v>Comércio por atacado de caminhões novos e usados</v>
      </c>
      <c r="D126" s="25" t="str">
        <f>'04_MOTOR_CÁLCULO'!D664</f>
        <v>COMÉRCIO E REPAR</v>
      </c>
      <c r="E126" s="78" t="str">
        <f>'04_MOTOR_CÁLCULO'!N664</f>
        <v>CNAE-STG</v>
      </c>
      <c r="F126" s="62">
        <f>'04_MOTOR_CÁLCULO'!K664</f>
        <v>0.9</v>
      </c>
      <c r="G126" s="63">
        <f>'04_MOTOR_CÁLCULO'!K664-1</f>
        <v>-9.9999999999999978E-2</v>
      </c>
      <c r="H126" s="17" t="str">
        <f>'04_MOTOR_CÁLCULO'!M664</f>
        <v>Baixo</v>
      </c>
    </row>
    <row r="127" spans="1:8" ht="13.5" customHeight="1" x14ac:dyDescent="0.25">
      <c r="A127" s="13" t="str">
        <f>'04_MOTOR_CÁLCULO'!A665</f>
        <v>4511-1/05</v>
      </c>
      <c r="B127" s="49" t="str">
        <f>'04_MOTOR_CÁLCULO'!B665</f>
        <v>G</v>
      </c>
      <c r="C127" s="101" t="str">
        <f>'04_MOTOR_CÁLCULO'!C665</f>
        <v>Comércio por atacado de reboques e semireboques novos e usados</v>
      </c>
      <c r="D127" s="14" t="str">
        <f>'04_MOTOR_CÁLCULO'!D665</f>
        <v>COMÉRCIO E REPAR</v>
      </c>
      <c r="E127" s="78" t="str">
        <f>'04_MOTOR_CÁLCULO'!N665</f>
        <v>CNAE-STG</v>
      </c>
      <c r="F127" s="62">
        <f>'04_MOTOR_CÁLCULO'!K665</f>
        <v>0.9</v>
      </c>
      <c r="G127" s="63">
        <f>'04_MOTOR_CÁLCULO'!K665-1</f>
        <v>-9.9999999999999978E-2</v>
      </c>
      <c r="H127" s="17" t="str">
        <f>'04_MOTOR_CÁLCULO'!M665</f>
        <v>Baixo</v>
      </c>
    </row>
    <row r="128" spans="1:8" ht="13.5" customHeight="1" x14ac:dyDescent="0.25">
      <c r="A128" s="24" t="str">
        <f>'04_MOTOR_CÁLCULO'!A666</f>
        <v>4511-1/06</v>
      </c>
      <c r="B128" s="38" t="str">
        <f>'04_MOTOR_CÁLCULO'!B666</f>
        <v>G</v>
      </c>
      <c r="C128" s="100" t="str">
        <f>'04_MOTOR_CÁLCULO'!C666</f>
        <v>Comércio por atacado de ônibus e micro-ônibus novos e usados</v>
      </c>
      <c r="D128" s="25" t="str">
        <f>'04_MOTOR_CÁLCULO'!D666</f>
        <v>COMÉRCIO E REPAR</v>
      </c>
      <c r="E128" s="78" t="str">
        <f>'04_MOTOR_CÁLCULO'!N666</f>
        <v>CNAE-STG</v>
      </c>
      <c r="F128" s="62">
        <f>'04_MOTOR_CÁLCULO'!K666</f>
        <v>0.9</v>
      </c>
      <c r="G128" s="63">
        <f>'04_MOTOR_CÁLCULO'!K666-1</f>
        <v>-9.9999999999999978E-2</v>
      </c>
      <c r="H128" s="17" t="str">
        <f>'04_MOTOR_CÁLCULO'!M666</f>
        <v>Baixo</v>
      </c>
    </row>
    <row r="129" spans="1:8" ht="13.5" customHeight="1" x14ac:dyDescent="0.25">
      <c r="A129" s="13" t="str">
        <f>'04_MOTOR_CÁLCULO'!A667</f>
        <v>4512-9/01</v>
      </c>
      <c r="B129" s="49" t="str">
        <f>'04_MOTOR_CÁLCULO'!B667</f>
        <v>G</v>
      </c>
      <c r="C129" s="101" t="str">
        <f>'04_MOTOR_CÁLCULO'!C667</f>
        <v>Representantes comerciais e agentes do comércio de veículos automotores</v>
      </c>
      <c r="D129" s="14" t="str">
        <f>'04_MOTOR_CÁLCULO'!D667</f>
        <v>COMÉRCIO E REPAR</v>
      </c>
      <c r="E129" s="78" t="str">
        <f>'04_MOTOR_CÁLCULO'!N667</f>
        <v>CNAE-STG</v>
      </c>
      <c r="F129" s="62">
        <f>'04_MOTOR_CÁLCULO'!K667</f>
        <v>0.9</v>
      </c>
      <c r="G129" s="63">
        <f>'04_MOTOR_CÁLCULO'!K667-1</f>
        <v>-9.9999999999999978E-2</v>
      </c>
      <c r="H129" s="17" t="str">
        <f>'04_MOTOR_CÁLCULO'!M667</f>
        <v>Baixo</v>
      </c>
    </row>
    <row r="130" spans="1:8" ht="13.5" customHeight="1" x14ac:dyDescent="0.25">
      <c r="A130" s="24" t="str">
        <f>'04_MOTOR_CÁLCULO'!A668</f>
        <v>4512-9/02</v>
      </c>
      <c r="B130" s="38" t="str">
        <f>'04_MOTOR_CÁLCULO'!B668</f>
        <v>G</v>
      </c>
      <c r="C130" s="100" t="str">
        <f>'04_MOTOR_CÁLCULO'!C668</f>
        <v>Comércio sob consignação de veículos automotores</v>
      </c>
      <c r="D130" s="25" t="str">
        <f>'04_MOTOR_CÁLCULO'!D668</f>
        <v>COMÉRCIO E REPAR</v>
      </c>
      <c r="E130" s="78" t="str">
        <f>'04_MOTOR_CÁLCULO'!N668</f>
        <v>CNAE-STG</v>
      </c>
      <c r="F130" s="62">
        <f>'04_MOTOR_CÁLCULO'!K668</f>
        <v>0.9</v>
      </c>
      <c r="G130" s="63">
        <f>'04_MOTOR_CÁLCULO'!K668-1</f>
        <v>-9.9999999999999978E-2</v>
      </c>
      <c r="H130" s="17" t="str">
        <f>'04_MOTOR_CÁLCULO'!M668</f>
        <v>Baixo</v>
      </c>
    </row>
    <row r="131" spans="1:8" ht="13.5" customHeight="1" x14ac:dyDescent="0.25">
      <c r="A131" s="13" t="str">
        <f>'04_MOTOR_CÁLCULO'!A677</f>
        <v>4530-7/01</v>
      </c>
      <c r="B131" s="49" t="str">
        <f>'04_MOTOR_CÁLCULO'!B677</f>
        <v>G</v>
      </c>
      <c r="C131" s="101" t="str">
        <f>'04_MOTOR_CÁLCULO'!C677</f>
        <v>Comércio por atacado de peças e acessórios novos para veículos automotores</v>
      </c>
      <c r="D131" s="14" t="str">
        <f>'04_MOTOR_CÁLCULO'!D677</f>
        <v>COMÉRCIO E REPAR</v>
      </c>
      <c r="E131" s="78" t="str">
        <f>'04_MOTOR_CÁLCULO'!N677</f>
        <v>CNAE-STG</v>
      </c>
      <c r="F131" s="62">
        <f>'04_MOTOR_CÁLCULO'!K677</f>
        <v>0.9</v>
      </c>
      <c r="G131" s="63">
        <f>'04_MOTOR_CÁLCULO'!K677-1</f>
        <v>-9.9999999999999978E-2</v>
      </c>
      <c r="H131" s="17" t="str">
        <f>'04_MOTOR_CÁLCULO'!M677</f>
        <v>Baixo</v>
      </c>
    </row>
    <row r="132" spans="1:8" ht="13.5" customHeight="1" x14ac:dyDescent="0.25">
      <c r="A132" s="24" t="str">
        <f>'04_MOTOR_CÁLCULO'!A678</f>
        <v>4530-7/02</v>
      </c>
      <c r="B132" s="38" t="str">
        <f>'04_MOTOR_CÁLCULO'!B678</f>
        <v>G</v>
      </c>
      <c r="C132" s="100" t="str">
        <f>'04_MOTOR_CÁLCULO'!C678</f>
        <v>Comércio por atacado de pneumáticos e câmaras de ar</v>
      </c>
      <c r="D132" s="25" t="str">
        <f>'04_MOTOR_CÁLCULO'!D678</f>
        <v>COMÉRCIO E REPAR</v>
      </c>
      <c r="E132" s="78" t="str">
        <f>'04_MOTOR_CÁLCULO'!N678</f>
        <v>CNAE-STG</v>
      </c>
      <c r="F132" s="62">
        <f>'04_MOTOR_CÁLCULO'!K678</f>
        <v>0.9</v>
      </c>
      <c r="G132" s="63">
        <f>'04_MOTOR_CÁLCULO'!K678-1</f>
        <v>-9.9999999999999978E-2</v>
      </c>
      <c r="H132" s="17" t="str">
        <f>'04_MOTOR_CÁLCULO'!M678</f>
        <v>Baixo</v>
      </c>
    </row>
    <row r="133" spans="1:8" ht="13.5" customHeight="1" x14ac:dyDescent="0.25">
      <c r="A133" s="13" t="str">
        <f>'04_MOTOR_CÁLCULO'!A679</f>
        <v>4530-7/03</v>
      </c>
      <c r="B133" s="49" t="str">
        <f>'04_MOTOR_CÁLCULO'!B679</f>
        <v>G</v>
      </c>
      <c r="C133" s="101" t="str">
        <f>'04_MOTOR_CÁLCULO'!C679</f>
        <v>Comércio a varejo de peças e acessórios novos para veículos automotores</v>
      </c>
      <c r="D133" s="14" t="str">
        <f>'04_MOTOR_CÁLCULO'!D679</f>
        <v>COMÉRCIO E REPAR</v>
      </c>
      <c r="E133" s="78" t="str">
        <f>'04_MOTOR_CÁLCULO'!N679</f>
        <v>CNAE-STG</v>
      </c>
      <c r="F133" s="62">
        <f>'04_MOTOR_CÁLCULO'!K679</f>
        <v>0.9</v>
      </c>
      <c r="G133" s="63">
        <f>'04_MOTOR_CÁLCULO'!K679-1</f>
        <v>-9.9999999999999978E-2</v>
      </c>
      <c r="H133" s="17" t="str">
        <f>'04_MOTOR_CÁLCULO'!M679</f>
        <v>Baixo</v>
      </c>
    </row>
    <row r="134" spans="1:8" ht="13.5" customHeight="1" x14ac:dyDescent="0.25">
      <c r="A134" s="24" t="str">
        <f>'04_MOTOR_CÁLCULO'!A680</f>
        <v>4530-7/04</v>
      </c>
      <c r="B134" s="38" t="str">
        <f>'04_MOTOR_CÁLCULO'!B680</f>
        <v>G</v>
      </c>
      <c r="C134" s="100" t="str">
        <f>'04_MOTOR_CÁLCULO'!C680</f>
        <v>Comércio a varejo de peças e acessórios usados para veículos automotores</v>
      </c>
      <c r="D134" s="25" t="str">
        <f>'04_MOTOR_CÁLCULO'!D680</f>
        <v>COMÉRCIO E REPAR</v>
      </c>
      <c r="E134" s="78" t="str">
        <f>'04_MOTOR_CÁLCULO'!N680</f>
        <v>CNAE-STG</v>
      </c>
      <c r="F134" s="62">
        <f>'04_MOTOR_CÁLCULO'!K680</f>
        <v>0.9</v>
      </c>
      <c r="G134" s="63">
        <f>'04_MOTOR_CÁLCULO'!K680-1</f>
        <v>-9.9999999999999978E-2</v>
      </c>
      <c r="H134" s="17" t="str">
        <f>'04_MOTOR_CÁLCULO'!M680</f>
        <v>Baixo</v>
      </c>
    </row>
    <row r="135" spans="1:8" ht="13.5" customHeight="1" x14ac:dyDescent="0.25">
      <c r="A135" s="13" t="str">
        <f>'04_MOTOR_CÁLCULO'!A681</f>
        <v>4530-7/05</v>
      </c>
      <c r="B135" s="49" t="str">
        <f>'04_MOTOR_CÁLCULO'!B681</f>
        <v>G</v>
      </c>
      <c r="C135" s="101" t="str">
        <f>'04_MOTOR_CÁLCULO'!C681</f>
        <v>Comércio a varejo de pneumáticos e câmaras de ar</v>
      </c>
      <c r="D135" s="14" t="str">
        <f>'04_MOTOR_CÁLCULO'!D681</f>
        <v>COMÉRCIO E REPAR</v>
      </c>
      <c r="E135" s="78" t="str">
        <f>'04_MOTOR_CÁLCULO'!N681</f>
        <v>CNAE-STG</v>
      </c>
      <c r="F135" s="62">
        <f>'04_MOTOR_CÁLCULO'!K681</f>
        <v>0.9</v>
      </c>
      <c r="G135" s="63">
        <f>'04_MOTOR_CÁLCULO'!K681-1</f>
        <v>-9.9999999999999978E-2</v>
      </c>
      <c r="H135" s="17" t="str">
        <f>'04_MOTOR_CÁLCULO'!M681</f>
        <v>Baixo</v>
      </c>
    </row>
    <row r="136" spans="1:8" ht="13.5" customHeight="1" x14ac:dyDescent="0.25">
      <c r="A136" s="24" t="str">
        <f>'04_MOTOR_CÁLCULO'!A682</f>
        <v>4530-7/06</v>
      </c>
      <c r="B136" s="38" t="str">
        <f>'04_MOTOR_CÁLCULO'!B682</f>
        <v>G</v>
      </c>
      <c r="C136" s="100" t="str">
        <f>'04_MOTOR_CÁLCULO'!C682</f>
        <v>Representantes comerciais e agentes do comércio de peças e acessórios novos e usados para veículos automotores</v>
      </c>
      <c r="D136" s="25" t="str">
        <f>'04_MOTOR_CÁLCULO'!D682</f>
        <v>COMÉRCIO E REPAR</v>
      </c>
      <c r="E136" s="78" t="str">
        <f>'04_MOTOR_CÁLCULO'!N682</f>
        <v>CNAE-STG</v>
      </c>
      <c r="F136" s="62">
        <f>'04_MOTOR_CÁLCULO'!K682</f>
        <v>0.9</v>
      </c>
      <c r="G136" s="63">
        <f>'04_MOTOR_CÁLCULO'!K682-1</f>
        <v>-9.9999999999999978E-2</v>
      </c>
      <c r="H136" s="17" t="str">
        <f>'04_MOTOR_CÁLCULO'!M682</f>
        <v>Baixo</v>
      </c>
    </row>
    <row r="137" spans="1:8" ht="13.5" customHeight="1" x14ac:dyDescent="0.25">
      <c r="A137" s="13" t="str">
        <f>'04_MOTOR_CÁLCULO'!A692</f>
        <v>4611-7/00</v>
      </c>
      <c r="B137" s="49" t="str">
        <f>'04_MOTOR_CÁLCULO'!B692</f>
        <v>G</v>
      </c>
      <c r="C137" s="101" t="str">
        <f>'04_MOTOR_CÁLCULO'!C692</f>
        <v>Representantes comerciais e agentes do comércio de matérias-primas agrícolas e animais vivos</v>
      </c>
      <c r="D137" s="14" t="str">
        <f>'04_MOTOR_CÁLCULO'!D692</f>
        <v>COMÉRCIO POR ATA</v>
      </c>
      <c r="E137" s="78" t="str">
        <f>'04_MOTOR_CÁLCULO'!N692</f>
        <v>CNAE-STG</v>
      </c>
      <c r="F137" s="62">
        <f>'04_MOTOR_CÁLCULO'!K692</f>
        <v>0.9</v>
      </c>
      <c r="G137" s="63">
        <f>'04_MOTOR_CÁLCULO'!K692-1</f>
        <v>-9.9999999999999978E-2</v>
      </c>
      <c r="H137" s="17" t="str">
        <f>'04_MOTOR_CÁLCULO'!M692</f>
        <v>Baixo</v>
      </c>
    </row>
    <row r="138" spans="1:8" ht="13.5" customHeight="1" x14ac:dyDescent="0.25">
      <c r="A138" s="24" t="str">
        <f>'04_MOTOR_CÁLCULO'!A693</f>
        <v>4612-5/00</v>
      </c>
      <c r="B138" s="38" t="str">
        <f>'04_MOTOR_CÁLCULO'!B693</f>
        <v>G</v>
      </c>
      <c r="C138" s="100" t="str">
        <f>'04_MOTOR_CÁLCULO'!C693</f>
        <v>Representantes comerciais e agentes do comércio de combustíveis, minerais, produtos siderúrgicos e químicos</v>
      </c>
      <c r="D138" s="25" t="str">
        <f>'04_MOTOR_CÁLCULO'!D693</f>
        <v>COMÉRCIO POR ATA</v>
      </c>
      <c r="E138" s="78" t="str">
        <f>'04_MOTOR_CÁLCULO'!N693</f>
        <v>CNAE-STG</v>
      </c>
      <c r="F138" s="62">
        <f>'04_MOTOR_CÁLCULO'!K693</f>
        <v>0.9</v>
      </c>
      <c r="G138" s="63">
        <f>'04_MOTOR_CÁLCULO'!K693-1</f>
        <v>-9.9999999999999978E-2</v>
      </c>
      <c r="H138" s="17" t="str">
        <f>'04_MOTOR_CÁLCULO'!M693</f>
        <v>Baixo</v>
      </c>
    </row>
    <row r="139" spans="1:8" ht="13.5" customHeight="1" x14ac:dyDescent="0.25">
      <c r="A139" s="13" t="str">
        <f>'04_MOTOR_CÁLCULO'!A694</f>
        <v>4613-3/00</v>
      </c>
      <c r="B139" s="49" t="str">
        <f>'04_MOTOR_CÁLCULO'!B694</f>
        <v>G</v>
      </c>
      <c r="C139" s="101" t="str">
        <f>'04_MOTOR_CÁLCULO'!C694</f>
        <v>Representantes comerciais e agentes do comércio de madeira, material de construção e ferragens</v>
      </c>
      <c r="D139" s="14" t="str">
        <f>'04_MOTOR_CÁLCULO'!D694</f>
        <v>COMÉRCIO POR ATA</v>
      </c>
      <c r="E139" s="78" t="str">
        <f>'04_MOTOR_CÁLCULO'!N694</f>
        <v>CNAE-STG</v>
      </c>
      <c r="F139" s="62">
        <f>'04_MOTOR_CÁLCULO'!K694</f>
        <v>0.9</v>
      </c>
      <c r="G139" s="63">
        <f>'04_MOTOR_CÁLCULO'!K694-1</f>
        <v>-9.9999999999999978E-2</v>
      </c>
      <c r="H139" s="17" t="str">
        <f>'04_MOTOR_CÁLCULO'!M694</f>
        <v>Baixo</v>
      </c>
    </row>
    <row r="140" spans="1:8" ht="13.5" customHeight="1" x14ac:dyDescent="0.25">
      <c r="A140" s="24" t="str">
        <f>'04_MOTOR_CÁLCULO'!A695</f>
        <v>4614-1/00</v>
      </c>
      <c r="B140" s="38" t="str">
        <f>'04_MOTOR_CÁLCULO'!B695</f>
        <v>G</v>
      </c>
      <c r="C140" s="100" t="str">
        <f>'04_MOTOR_CÁLCULO'!C695</f>
        <v>Representantes comerciais e agentes do comércio de máquinas, equipamentos, embarcações e aeronaves</v>
      </c>
      <c r="D140" s="25" t="str">
        <f>'04_MOTOR_CÁLCULO'!D695</f>
        <v>COMÉRCIO POR ATA</v>
      </c>
      <c r="E140" s="78" t="str">
        <f>'04_MOTOR_CÁLCULO'!N695</f>
        <v>CNAE-STG</v>
      </c>
      <c r="F140" s="62">
        <f>'04_MOTOR_CÁLCULO'!K695</f>
        <v>0.9</v>
      </c>
      <c r="G140" s="63">
        <f>'04_MOTOR_CÁLCULO'!K695-1</f>
        <v>-9.9999999999999978E-2</v>
      </c>
      <c r="H140" s="17" t="str">
        <f>'04_MOTOR_CÁLCULO'!M695</f>
        <v>Baixo</v>
      </c>
    </row>
    <row r="141" spans="1:8" ht="13.5" customHeight="1" x14ac:dyDescent="0.25">
      <c r="A141" s="13" t="str">
        <f>'04_MOTOR_CÁLCULO'!A696</f>
        <v>4615-0/00</v>
      </c>
      <c r="B141" s="49" t="str">
        <f>'04_MOTOR_CÁLCULO'!B696</f>
        <v>G</v>
      </c>
      <c r="C141" s="101" t="str">
        <f>'04_MOTOR_CÁLCULO'!C696</f>
        <v>Representantes comerciais e agentes do comércio de eletrodomésticos, móveis e artigos de uso doméstico</v>
      </c>
      <c r="D141" s="14" t="str">
        <f>'04_MOTOR_CÁLCULO'!D696</f>
        <v>COMÉRCIO POR ATA</v>
      </c>
      <c r="E141" s="78" t="str">
        <f>'04_MOTOR_CÁLCULO'!N696</f>
        <v>CNAE-STG</v>
      </c>
      <c r="F141" s="62">
        <f>'04_MOTOR_CÁLCULO'!K696</f>
        <v>0.9</v>
      </c>
      <c r="G141" s="63">
        <f>'04_MOTOR_CÁLCULO'!K696-1</f>
        <v>-9.9999999999999978E-2</v>
      </c>
      <c r="H141" s="17" t="str">
        <f>'04_MOTOR_CÁLCULO'!M696</f>
        <v>Baixo</v>
      </c>
    </row>
    <row r="142" spans="1:8" ht="13.5" customHeight="1" x14ac:dyDescent="0.25">
      <c r="A142" s="24" t="str">
        <f>'04_MOTOR_CÁLCULO'!A697</f>
        <v>4616-8/00</v>
      </c>
      <c r="B142" s="38" t="str">
        <f>'04_MOTOR_CÁLCULO'!B697</f>
        <v>G</v>
      </c>
      <c r="C142" s="100" t="str">
        <f>'04_MOTOR_CÁLCULO'!C697</f>
        <v>Representantes comerciais e agentes do comércio de têxteis, vestuário, calçados e artigos de viagem</v>
      </c>
      <c r="D142" s="25" t="str">
        <f>'04_MOTOR_CÁLCULO'!D697</f>
        <v>COMÉRCIO POR ATA</v>
      </c>
      <c r="E142" s="78" t="str">
        <f>'04_MOTOR_CÁLCULO'!N697</f>
        <v>CNAE-STG</v>
      </c>
      <c r="F142" s="62">
        <f>'04_MOTOR_CÁLCULO'!K697</f>
        <v>0.9</v>
      </c>
      <c r="G142" s="63">
        <f>'04_MOTOR_CÁLCULO'!K697-1</f>
        <v>-9.9999999999999978E-2</v>
      </c>
      <c r="H142" s="17" t="str">
        <f>'04_MOTOR_CÁLCULO'!M697</f>
        <v>Baixo</v>
      </c>
    </row>
    <row r="143" spans="1:8" ht="13.5" customHeight="1" x14ac:dyDescent="0.25">
      <c r="A143" s="13" t="str">
        <f>'04_MOTOR_CÁLCULO'!A698</f>
        <v>4617-6/00</v>
      </c>
      <c r="B143" s="49" t="str">
        <f>'04_MOTOR_CÁLCULO'!B698</f>
        <v>G</v>
      </c>
      <c r="C143" s="101" t="str">
        <f>'04_MOTOR_CÁLCULO'!C698</f>
        <v>Representantes comerciais e agentes do comércio de produtos alimentícios, bebidas e fumo</v>
      </c>
      <c r="D143" s="14" t="str">
        <f>'04_MOTOR_CÁLCULO'!D698</f>
        <v>COMÉRCIO POR ATA</v>
      </c>
      <c r="E143" s="78" t="str">
        <f>'04_MOTOR_CÁLCULO'!N698</f>
        <v>CNAE-STG</v>
      </c>
      <c r="F143" s="62">
        <f>'04_MOTOR_CÁLCULO'!K698</f>
        <v>0.9</v>
      </c>
      <c r="G143" s="63">
        <f>'04_MOTOR_CÁLCULO'!K698-1</f>
        <v>-9.9999999999999978E-2</v>
      </c>
      <c r="H143" s="17" t="str">
        <f>'04_MOTOR_CÁLCULO'!M698</f>
        <v>Baixo</v>
      </c>
    </row>
    <row r="144" spans="1:8" ht="13.5" customHeight="1" x14ac:dyDescent="0.25">
      <c r="A144" s="24" t="str">
        <f>'04_MOTOR_CÁLCULO'!A699</f>
        <v>4618-4/01</v>
      </c>
      <c r="B144" s="38" t="str">
        <f>'04_MOTOR_CÁLCULO'!B699</f>
        <v>G</v>
      </c>
      <c r="C144" s="100" t="str">
        <f>'04_MOTOR_CÁLCULO'!C699</f>
        <v>Representantes comerciais e agentes do comércio de medicamentos, cosméticos e produtos de perfumaria</v>
      </c>
      <c r="D144" s="25" t="str">
        <f>'04_MOTOR_CÁLCULO'!D699</f>
        <v>COMÉRCIO POR ATA</v>
      </c>
      <c r="E144" s="78" t="str">
        <f>'04_MOTOR_CÁLCULO'!N699</f>
        <v>CNAE-STG</v>
      </c>
      <c r="F144" s="62">
        <f>'04_MOTOR_CÁLCULO'!K699</f>
        <v>0.9</v>
      </c>
      <c r="G144" s="63">
        <f>'04_MOTOR_CÁLCULO'!K699-1</f>
        <v>-9.9999999999999978E-2</v>
      </c>
      <c r="H144" s="17" t="str">
        <f>'04_MOTOR_CÁLCULO'!M699</f>
        <v>Baixo</v>
      </c>
    </row>
    <row r="145" spans="1:8" ht="13.5" customHeight="1" x14ac:dyDescent="0.25">
      <c r="A145" s="13" t="str">
        <f>'04_MOTOR_CÁLCULO'!A700</f>
        <v>4618-4/02</v>
      </c>
      <c r="B145" s="49" t="str">
        <f>'04_MOTOR_CÁLCULO'!B700</f>
        <v>G</v>
      </c>
      <c r="C145" s="101" t="str">
        <f>'04_MOTOR_CÁLCULO'!C700</f>
        <v>Representantes comerciais e agentes do comércio de instrumentos e materiais odonto-médico-hospitalares</v>
      </c>
      <c r="D145" s="14" t="str">
        <f>'04_MOTOR_CÁLCULO'!D700</f>
        <v>COMÉRCIO POR ATA</v>
      </c>
      <c r="E145" s="78" t="str">
        <f>'04_MOTOR_CÁLCULO'!N700</f>
        <v>CNAE-STG</v>
      </c>
      <c r="F145" s="62">
        <f>'04_MOTOR_CÁLCULO'!K700</f>
        <v>0.9</v>
      </c>
      <c r="G145" s="63">
        <f>'04_MOTOR_CÁLCULO'!K700-1</f>
        <v>-9.9999999999999978E-2</v>
      </c>
      <c r="H145" s="17" t="str">
        <f>'04_MOTOR_CÁLCULO'!M700</f>
        <v>Baixo</v>
      </c>
    </row>
    <row r="146" spans="1:8" ht="13.5" customHeight="1" x14ac:dyDescent="0.25">
      <c r="A146" s="24" t="str">
        <f>'04_MOTOR_CÁLCULO'!A701</f>
        <v>4618-4/03</v>
      </c>
      <c r="B146" s="38" t="str">
        <f>'04_MOTOR_CÁLCULO'!B701</f>
        <v>G</v>
      </c>
      <c r="C146" s="100" t="str">
        <f>'04_MOTOR_CÁLCULO'!C701</f>
        <v>Representantes comerciais e agentes do comércio de jornais, revistas e outras publicações</v>
      </c>
      <c r="D146" s="25" t="str">
        <f>'04_MOTOR_CÁLCULO'!D701</f>
        <v>COMÉRCIO POR ATA</v>
      </c>
      <c r="E146" s="78" t="str">
        <f>'04_MOTOR_CÁLCULO'!N701</f>
        <v>CNAE-STG</v>
      </c>
      <c r="F146" s="62">
        <f>'04_MOTOR_CÁLCULO'!K701</f>
        <v>0.9</v>
      </c>
      <c r="G146" s="63">
        <f>'04_MOTOR_CÁLCULO'!K701-1</f>
        <v>-9.9999999999999978E-2</v>
      </c>
      <c r="H146" s="17" t="str">
        <f>'04_MOTOR_CÁLCULO'!M701</f>
        <v>Baixo</v>
      </c>
    </row>
    <row r="147" spans="1:8" ht="13.5" customHeight="1" x14ac:dyDescent="0.25">
      <c r="A147" s="13" t="str">
        <f>'04_MOTOR_CÁLCULO'!A702</f>
        <v>4618-4/99</v>
      </c>
      <c r="B147" s="49" t="str">
        <f>'04_MOTOR_CÁLCULO'!B702</f>
        <v>G</v>
      </c>
      <c r="C147" s="101" t="str">
        <f>'04_MOTOR_CÁLCULO'!C702</f>
        <v>Outros representantes comerciais e agentes do comércio especializado em produtos não especificados anteriormente</v>
      </c>
      <c r="D147" s="14" t="str">
        <f>'04_MOTOR_CÁLCULO'!D702</f>
        <v>COMÉRCIO POR ATA</v>
      </c>
      <c r="E147" s="78" t="str">
        <f>'04_MOTOR_CÁLCULO'!N702</f>
        <v>CNAE-STG</v>
      </c>
      <c r="F147" s="62">
        <f>'04_MOTOR_CÁLCULO'!K702</f>
        <v>0.9</v>
      </c>
      <c r="G147" s="63">
        <f>'04_MOTOR_CÁLCULO'!K702-1</f>
        <v>-9.9999999999999978E-2</v>
      </c>
      <c r="H147" s="17" t="str">
        <f>'04_MOTOR_CÁLCULO'!M702</f>
        <v>Baixo</v>
      </c>
    </row>
    <row r="148" spans="1:8" ht="13.5" customHeight="1" x14ac:dyDescent="0.25">
      <c r="A148" s="24" t="str">
        <f>'04_MOTOR_CÁLCULO'!A703</f>
        <v>4619-2/00</v>
      </c>
      <c r="B148" s="38" t="str">
        <f>'04_MOTOR_CÁLCULO'!B703</f>
        <v>G</v>
      </c>
      <c r="C148" s="100" t="str">
        <f>'04_MOTOR_CÁLCULO'!C703</f>
        <v>Representantes comerciais e agentes do comércio de mercadorias em geral não especializado</v>
      </c>
      <c r="D148" s="25" t="str">
        <f>'04_MOTOR_CÁLCULO'!D703</f>
        <v>COMÉRCIO POR ATA</v>
      </c>
      <c r="E148" s="78" t="str">
        <f>'04_MOTOR_CÁLCULO'!N703</f>
        <v>CNAE-STG</v>
      </c>
      <c r="F148" s="62">
        <f>'04_MOTOR_CÁLCULO'!K703</f>
        <v>0.9</v>
      </c>
      <c r="G148" s="63">
        <f>'04_MOTOR_CÁLCULO'!K703-1</f>
        <v>-9.9999999999999978E-2</v>
      </c>
      <c r="H148" s="17" t="str">
        <f>'04_MOTOR_CÁLCULO'!M703</f>
        <v>Baixo</v>
      </c>
    </row>
    <row r="149" spans="1:8" ht="13.5" customHeight="1" x14ac:dyDescent="0.25">
      <c r="A149" s="13" t="str">
        <f>'04_MOTOR_CÁLCULO'!A704</f>
        <v>4621-4/00</v>
      </c>
      <c r="B149" s="49" t="str">
        <f>'04_MOTOR_CÁLCULO'!B704</f>
        <v>G</v>
      </c>
      <c r="C149" s="101" t="str">
        <f>'04_MOTOR_CÁLCULO'!C704</f>
        <v>Comércio atacadista de café em grão</v>
      </c>
      <c r="D149" s="14" t="str">
        <f>'04_MOTOR_CÁLCULO'!D704</f>
        <v>COMÉRCIO POR ATA</v>
      </c>
      <c r="E149" s="78" t="str">
        <f>'04_MOTOR_CÁLCULO'!N704</f>
        <v>CNAE-STG</v>
      </c>
      <c r="F149" s="62">
        <f>'04_MOTOR_CÁLCULO'!K704</f>
        <v>0.9</v>
      </c>
      <c r="G149" s="63">
        <f>'04_MOTOR_CÁLCULO'!K704-1</f>
        <v>-9.9999999999999978E-2</v>
      </c>
      <c r="H149" s="17" t="str">
        <f>'04_MOTOR_CÁLCULO'!M704</f>
        <v>Baixo</v>
      </c>
    </row>
    <row r="150" spans="1:8" ht="13.5" customHeight="1" x14ac:dyDescent="0.25">
      <c r="A150" s="24" t="str">
        <f>'04_MOTOR_CÁLCULO'!A705</f>
        <v>4622-2/00</v>
      </c>
      <c r="B150" s="38" t="str">
        <f>'04_MOTOR_CÁLCULO'!B705</f>
        <v>G</v>
      </c>
      <c r="C150" s="100" t="str">
        <f>'04_MOTOR_CÁLCULO'!C705</f>
        <v>Comércio atacadista de soja</v>
      </c>
      <c r="D150" s="25" t="str">
        <f>'04_MOTOR_CÁLCULO'!D705</f>
        <v>COMÉRCIO POR ATA</v>
      </c>
      <c r="E150" s="78" t="str">
        <f>'04_MOTOR_CÁLCULO'!N705</f>
        <v>CNAE-STG</v>
      </c>
      <c r="F150" s="62">
        <f>'04_MOTOR_CÁLCULO'!K705</f>
        <v>0.9</v>
      </c>
      <c r="G150" s="63">
        <f>'04_MOTOR_CÁLCULO'!K705-1</f>
        <v>-9.9999999999999978E-2</v>
      </c>
      <c r="H150" s="17" t="str">
        <f>'04_MOTOR_CÁLCULO'!M705</f>
        <v>Baixo</v>
      </c>
    </row>
    <row r="151" spans="1:8" ht="13.5" customHeight="1" x14ac:dyDescent="0.25">
      <c r="A151" s="13" t="str">
        <f>'04_MOTOR_CÁLCULO'!A706</f>
        <v>4623-1/01</v>
      </c>
      <c r="B151" s="49" t="str">
        <f>'04_MOTOR_CÁLCULO'!B706</f>
        <v>G</v>
      </c>
      <c r="C151" s="101" t="str">
        <f>'04_MOTOR_CÁLCULO'!C706</f>
        <v>Comércio atacadista de animais vivos</v>
      </c>
      <c r="D151" s="14" t="str">
        <f>'04_MOTOR_CÁLCULO'!D706</f>
        <v>COMÉRCIO POR ATA</v>
      </c>
      <c r="E151" s="78" t="str">
        <f>'04_MOTOR_CÁLCULO'!N706</f>
        <v>CNAE-STG</v>
      </c>
      <c r="F151" s="62">
        <f>'04_MOTOR_CÁLCULO'!K706</f>
        <v>0.9</v>
      </c>
      <c r="G151" s="63">
        <f>'04_MOTOR_CÁLCULO'!K706-1</f>
        <v>-9.9999999999999978E-2</v>
      </c>
      <c r="H151" s="17" t="str">
        <f>'04_MOTOR_CÁLCULO'!M706</f>
        <v>Baixo</v>
      </c>
    </row>
    <row r="152" spans="1:8" ht="13.5" customHeight="1" x14ac:dyDescent="0.25">
      <c r="A152" s="24" t="str">
        <f>'04_MOTOR_CÁLCULO'!A707</f>
        <v>4623-1/02</v>
      </c>
      <c r="B152" s="38" t="str">
        <f>'04_MOTOR_CÁLCULO'!B707</f>
        <v>G</v>
      </c>
      <c r="C152" s="100" t="str">
        <f>'04_MOTOR_CÁLCULO'!C707</f>
        <v>Comércio atacadista de couros, lãs, peles e outros subprodutos não comestíveis de origem animal</v>
      </c>
      <c r="D152" s="25" t="str">
        <f>'04_MOTOR_CÁLCULO'!D707</f>
        <v>COMÉRCIO POR ATA</v>
      </c>
      <c r="E152" s="78" t="str">
        <f>'04_MOTOR_CÁLCULO'!N707</f>
        <v>CNAE-STG</v>
      </c>
      <c r="F152" s="62">
        <f>'04_MOTOR_CÁLCULO'!K707</f>
        <v>0.9</v>
      </c>
      <c r="G152" s="63">
        <f>'04_MOTOR_CÁLCULO'!K707-1</f>
        <v>-9.9999999999999978E-2</v>
      </c>
      <c r="H152" s="17" t="str">
        <f>'04_MOTOR_CÁLCULO'!M707</f>
        <v>Baixo</v>
      </c>
    </row>
    <row r="153" spans="1:8" ht="13.5" customHeight="1" x14ac:dyDescent="0.25">
      <c r="A153" s="13" t="str">
        <f>'04_MOTOR_CÁLCULO'!A708</f>
        <v>4623-1/03</v>
      </c>
      <c r="B153" s="49" t="str">
        <f>'04_MOTOR_CÁLCULO'!B708</f>
        <v>G</v>
      </c>
      <c r="C153" s="101" t="str">
        <f>'04_MOTOR_CÁLCULO'!C708</f>
        <v>Comércio atacadista de algodão</v>
      </c>
      <c r="D153" s="14" t="str">
        <f>'04_MOTOR_CÁLCULO'!D708</f>
        <v>COMÉRCIO POR ATA</v>
      </c>
      <c r="E153" s="78" t="str">
        <f>'04_MOTOR_CÁLCULO'!N708</f>
        <v>CNAE-STG</v>
      </c>
      <c r="F153" s="62">
        <f>'04_MOTOR_CÁLCULO'!K708</f>
        <v>0.9</v>
      </c>
      <c r="G153" s="63">
        <f>'04_MOTOR_CÁLCULO'!K708-1</f>
        <v>-9.9999999999999978E-2</v>
      </c>
      <c r="H153" s="17" t="str">
        <f>'04_MOTOR_CÁLCULO'!M708</f>
        <v>Baixo</v>
      </c>
    </row>
    <row r="154" spans="1:8" ht="13.5" customHeight="1" x14ac:dyDescent="0.25">
      <c r="A154" s="24" t="str">
        <f>'04_MOTOR_CÁLCULO'!A709</f>
        <v>4623-1/04</v>
      </c>
      <c r="B154" s="38" t="str">
        <f>'04_MOTOR_CÁLCULO'!B709</f>
        <v>G</v>
      </c>
      <c r="C154" s="100" t="str">
        <f>'04_MOTOR_CÁLCULO'!C709</f>
        <v>Comércio atacadista de fumo em folha não beneficiado</v>
      </c>
      <c r="D154" s="25" t="str">
        <f>'04_MOTOR_CÁLCULO'!D709</f>
        <v>COMÉRCIO POR ATA</v>
      </c>
      <c r="E154" s="78" t="str">
        <f>'04_MOTOR_CÁLCULO'!N709</f>
        <v>CNAE-STG</v>
      </c>
      <c r="F154" s="62">
        <f>'04_MOTOR_CÁLCULO'!K709</f>
        <v>0.9</v>
      </c>
      <c r="G154" s="63">
        <f>'04_MOTOR_CÁLCULO'!K709-1</f>
        <v>-9.9999999999999978E-2</v>
      </c>
      <c r="H154" s="17" t="str">
        <f>'04_MOTOR_CÁLCULO'!M709</f>
        <v>Baixo</v>
      </c>
    </row>
    <row r="155" spans="1:8" ht="13.5" customHeight="1" x14ac:dyDescent="0.25">
      <c r="A155" s="13" t="str">
        <f>'04_MOTOR_CÁLCULO'!A710</f>
        <v>4623-1/05</v>
      </c>
      <c r="B155" s="49" t="str">
        <f>'04_MOTOR_CÁLCULO'!B710</f>
        <v>G</v>
      </c>
      <c r="C155" s="101" t="str">
        <f>'04_MOTOR_CÁLCULO'!C710</f>
        <v>Comércio atacadista de cacau</v>
      </c>
      <c r="D155" s="14" t="str">
        <f>'04_MOTOR_CÁLCULO'!D710</f>
        <v>COMÉRCIO POR ATA</v>
      </c>
      <c r="E155" s="78" t="str">
        <f>'04_MOTOR_CÁLCULO'!N710</f>
        <v>CNAE-STG</v>
      </c>
      <c r="F155" s="62">
        <f>'04_MOTOR_CÁLCULO'!K710</f>
        <v>0.9</v>
      </c>
      <c r="G155" s="63">
        <f>'04_MOTOR_CÁLCULO'!K710-1</f>
        <v>-9.9999999999999978E-2</v>
      </c>
      <c r="H155" s="17" t="str">
        <f>'04_MOTOR_CÁLCULO'!M710</f>
        <v>Baixo</v>
      </c>
    </row>
    <row r="156" spans="1:8" ht="13.5" customHeight="1" x14ac:dyDescent="0.25">
      <c r="A156" s="24" t="str">
        <f>'04_MOTOR_CÁLCULO'!A711</f>
        <v>4623-1/06</v>
      </c>
      <c r="B156" s="38" t="str">
        <f>'04_MOTOR_CÁLCULO'!B711</f>
        <v>G</v>
      </c>
      <c r="C156" s="100" t="str">
        <f>'04_MOTOR_CÁLCULO'!C711</f>
        <v>Comércio atacadista de sementes, flores, plantas e gramas</v>
      </c>
      <c r="D156" s="25" t="str">
        <f>'04_MOTOR_CÁLCULO'!D711</f>
        <v>COMÉRCIO POR ATA</v>
      </c>
      <c r="E156" s="78" t="str">
        <f>'04_MOTOR_CÁLCULO'!N711</f>
        <v>CNAE-STG</v>
      </c>
      <c r="F156" s="62">
        <f>'04_MOTOR_CÁLCULO'!K711</f>
        <v>0.9</v>
      </c>
      <c r="G156" s="63">
        <f>'04_MOTOR_CÁLCULO'!K711-1</f>
        <v>-9.9999999999999978E-2</v>
      </c>
      <c r="H156" s="17" t="str">
        <f>'04_MOTOR_CÁLCULO'!M711</f>
        <v>Baixo</v>
      </c>
    </row>
    <row r="157" spans="1:8" ht="13.5" customHeight="1" x14ac:dyDescent="0.25">
      <c r="A157" s="13" t="str">
        <f>'04_MOTOR_CÁLCULO'!A712</f>
        <v>4623-1/07</v>
      </c>
      <c r="B157" s="49" t="str">
        <f>'04_MOTOR_CÁLCULO'!B712</f>
        <v>G</v>
      </c>
      <c r="C157" s="101" t="str">
        <f>'04_MOTOR_CÁLCULO'!C712</f>
        <v>Comércio atacadista de sisal</v>
      </c>
      <c r="D157" s="14" t="str">
        <f>'04_MOTOR_CÁLCULO'!D712</f>
        <v>COMÉRCIO POR ATA</v>
      </c>
      <c r="E157" s="78" t="str">
        <f>'04_MOTOR_CÁLCULO'!N712</f>
        <v>CNAE-STG</v>
      </c>
      <c r="F157" s="62">
        <f>'04_MOTOR_CÁLCULO'!K712</f>
        <v>0.9</v>
      </c>
      <c r="G157" s="63">
        <f>'04_MOTOR_CÁLCULO'!K712-1</f>
        <v>-9.9999999999999978E-2</v>
      </c>
      <c r="H157" s="17" t="str">
        <f>'04_MOTOR_CÁLCULO'!M712</f>
        <v>Baixo</v>
      </c>
    </row>
    <row r="158" spans="1:8" ht="13.5" customHeight="1" x14ac:dyDescent="0.25">
      <c r="A158" s="24" t="str">
        <f>'04_MOTOR_CÁLCULO'!A713</f>
        <v>4623-1/08</v>
      </c>
      <c r="B158" s="38" t="str">
        <f>'04_MOTOR_CÁLCULO'!B713</f>
        <v>G</v>
      </c>
      <c r="C158" s="100" t="str">
        <f>'04_MOTOR_CÁLCULO'!C713</f>
        <v>Comércio atacadista de matérias-primas agrícolas com atividade de fracionamento e acondicionamento associada</v>
      </c>
      <c r="D158" s="25" t="str">
        <f>'04_MOTOR_CÁLCULO'!D713</f>
        <v>COMÉRCIO POR ATA</v>
      </c>
      <c r="E158" s="78" t="str">
        <f>'04_MOTOR_CÁLCULO'!N713</f>
        <v>CNAE-STG</v>
      </c>
      <c r="F158" s="62">
        <f>'04_MOTOR_CÁLCULO'!K713</f>
        <v>0.9</v>
      </c>
      <c r="G158" s="63">
        <f>'04_MOTOR_CÁLCULO'!K713-1</f>
        <v>-9.9999999999999978E-2</v>
      </c>
      <c r="H158" s="17" t="str">
        <f>'04_MOTOR_CÁLCULO'!M713</f>
        <v>Baixo</v>
      </c>
    </row>
    <row r="159" spans="1:8" ht="13.5" customHeight="1" x14ac:dyDescent="0.25">
      <c r="A159" s="13" t="str">
        <f>'04_MOTOR_CÁLCULO'!A714</f>
        <v>4623-1/09</v>
      </c>
      <c r="B159" s="49" t="str">
        <f>'04_MOTOR_CÁLCULO'!B714</f>
        <v>G</v>
      </c>
      <c r="C159" s="101" t="str">
        <f>'04_MOTOR_CÁLCULO'!C714</f>
        <v>Comércio atacadista de alimentos para animais</v>
      </c>
      <c r="D159" s="14" t="str">
        <f>'04_MOTOR_CÁLCULO'!D714</f>
        <v>COMÉRCIO POR ATA</v>
      </c>
      <c r="E159" s="78" t="str">
        <f>'04_MOTOR_CÁLCULO'!N714</f>
        <v>CNAE-STG</v>
      </c>
      <c r="F159" s="62">
        <f>'04_MOTOR_CÁLCULO'!K714</f>
        <v>0.9</v>
      </c>
      <c r="G159" s="63">
        <f>'04_MOTOR_CÁLCULO'!K714-1</f>
        <v>-9.9999999999999978E-2</v>
      </c>
      <c r="H159" s="17" t="str">
        <f>'04_MOTOR_CÁLCULO'!M714</f>
        <v>Baixo</v>
      </c>
    </row>
    <row r="160" spans="1:8" ht="13.5" customHeight="1" x14ac:dyDescent="0.25">
      <c r="A160" s="24" t="str">
        <f>'04_MOTOR_CÁLCULO'!A715</f>
        <v>4623-1/99</v>
      </c>
      <c r="B160" s="38" t="str">
        <f>'04_MOTOR_CÁLCULO'!B715</f>
        <v>G</v>
      </c>
      <c r="C160" s="100" t="str">
        <f>'04_MOTOR_CÁLCULO'!C715</f>
        <v>Comércio atacadista de matérias-primas agrícolas não especificadas anteriormente</v>
      </c>
      <c r="D160" s="25" t="str">
        <f>'04_MOTOR_CÁLCULO'!D715</f>
        <v>COMÉRCIO POR ATA</v>
      </c>
      <c r="E160" s="78" t="str">
        <f>'04_MOTOR_CÁLCULO'!N715</f>
        <v>CNAE-STG</v>
      </c>
      <c r="F160" s="62">
        <f>'04_MOTOR_CÁLCULO'!K715</f>
        <v>0.9</v>
      </c>
      <c r="G160" s="63">
        <f>'04_MOTOR_CÁLCULO'!K715-1</f>
        <v>-9.9999999999999978E-2</v>
      </c>
      <c r="H160" s="17" t="str">
        <f>'04_MOTOR_CÁLCULO'!M715</f>
        <v>Baixo</v>
      </c>
    </row>
    <row r="161" spans="1:8" ht="13.5" customHeight="1" x14ac:dyDescent="0.25">
      <c r="A161" s="13" t="str">
        <f>'04_MOTOR_CÁLCULO'!A716</f>
        <v>4631-1/00</v>
      </c>
      <c r="B161" s="49" t="str">
        <f>'04_MOTOR_CÁLCULO'!B716</f>
        <v>G</v>
      </c>
      <c r="C161" s="101" t="str">
        <f>'04_MOTOR_CÁLCULO'!C716</f>
        <v>Comércio atacadista de leite e laticínios</v>
      </c>
      <c r="D161" s="14" t="str">
        <f>'04_MOTOR_CÁLCULO'!D716</f>
        <v>COMÉRCIO POR ATA</v>
      </c>
      <c r="E161" s="78" t="str">
        <f>'04_MOTOR_CÁLCULO'!N716</f>
        <v>CNAE-STG</v>
      </c>
      <c r="F161" s="62">
        <f>'04_MOTOR_CÁLCULO'!K716</f>
        <v>0.9</v>
      </c>
      <c r="G161" s="63">
        <f>'04_MOTOR_CÁLCULO'!K716-1</f>
        <v>-9.9999999999999978E-2</v>
      </c>
      <c r="H161" s="17" t="str">
        <f>'04_MOTOR_CÁLCULO'!M716</f>
        <v>Baixo</v>
      </c>
    </row>
    <row r="162" spans="1:8" ht="13.5" customHeight="1" x14ac:dyDescent="0.25">
      <c r="A162" s="24" t="str">
        <f>'04_MOTOR_CÁLCULO'!A717</f>
        <v>4632-0/01</v>
      </c>
      <c r="B162" s="38" t="str">
        <f>'04_MOTOR_CÁLCULO'!B717</f>
        <v>G</v>
      </c>
      <c r="C162" s="100" t="str">
        <f>'04_MOTOR_CÁLCULO'!C717</f>
        <v>Comércio atacadista de cereais e leguminosas beneficiados</v>
      </c>
      <c r="D162" s="25" t="str">
        <f>'04_MOTOR_CÁLCULO'!D717</f>
        <v>COMÉRCIO POR ATA</v>
      </c>
      <c r="E162" s="78" t="str">
        <f>'04_MOTOR_CÁLCULO'!N717</f>
        <v>CNAE-STG</v>
      </c>
      <c r="F162" s="62">
        <f>'04_MOTOR_CÁLCULO'!K717</f>
        <v>0.9</v>
      </c>
      <c r="G162" s="63">
        <f>'04_MOTOR_CÁLCULO'!K717-1</f>
        <v>-9.9999999999999978E-2</v>
      </c>
      <c r="H162" s="17" t="str">
        <f>'04_MOTOR_CÁLCULO'!M717</f>
        <v>Baixo</v>
      </c>
    </row>
    <row r="163" spans="1:8" ht="13.5" customHeight="1" x14ac:dyDescent="0.25">
      <c r="A163" s="13" t="str">
        <f>'04_MOTOR_CÁLCULO'!A718</f>
        <v>4632-0/02</v>
      </c>
      <c r="B163" s="49" t="str">
        <f>'04_MOTOR_CÁLCULO'!B718</f>
        <v>G</v>
      </c>
      <c r="C163" s="101" t="str">
        <f>'04_MOTOR_CÁLCULO'!C718</f>
        <v>Comércio atacadista de farinhas, amidos e féculas</v>
      </c>
      <c r="D163" s="14" t="str">
        <f>'04_MOTOR_CÁLCULO'!D718</f>
        <v>COMÉRCIO POR ATA</v>
      </c>
      <c r="E163" s="78" t="str">
        <f>'04_MOTOR_CÁLCULO'!N718</f>
        <v>CNAE-STG</v>
      </c>
      <c r="F163" s="62">
        <f>'04_MOTOR_CÁLCULO'!K718</f>
        <v>0.9</v>
      </c>
      <c r="G163" s="63">
        <f>'04_MOTOR_CÁLCULO'!K718-1</f>
        <v>-9.9999999999999978E-2</v>
      </c>
      <c r="H163" s="17" t="str">
        <f>'04_MOTOR_CÁLCULO'!M718</f>
        <v>Baixo</v>
      </c>
    </row>
    <row r="164" spans="1:8" ht="13.5" customHeight="1" x14ac:dyDescent="0.25">
      <c r="A164" s="24" t="str">
        <f>'04_MOTOR_CÁLCULO'!A719</f>
        <v>4632-0/03</v>
      </c>
      <c r="B164" s="38" t="str">
        <f>'04_MOTOR_CÁLCULO'!B719</f>
        <v>G</v>
      </c>
      <c r="C164" s="100" t="str">
        <f>'04_MOTOR_CÁLCULO'!C719</f>
        <v>Comércio atacadista de cereais e leguminosas beneficiados, farinhas, amidos e féculas, com atividade de fracionamento e acondicionamento associada</v>
      </c>
      <c r="D164" s="25" t="str">
        <f>'04_MOTOR_CÁLCULO'!D719</f>
        <v>COMÉRCIO POR ATA</v>
      </c>
      <c r="E164" s="78" t="str">
        <f>'04_MOTOR_CÁLCULO'!N719</f>
        <v>CNAE-STG</v>
      </c>
      <c r="F164" s="62">
        <f>'04_MOTOR_CÁLCULO'!K719</f>
        <v>0.9</v>
      </c>
      <c r="G164" s="63">
        <f>'04_MOTOR_CÁLCULO'!K719-1</f>
        <v>-9.9999999999999978E-2</v>
      </c>
      <c r="H164" s="17" t="str">
        <f>'04_MOTOR_CÁLCULO'!M719</f>
        <v>Baixo</v>
      </c>
    </row>
    <row r="165" spans="1:8" ht="13.5" customHeight="1" x14ac:dyDescent="0.25">
      <c r="A165" s="13" t="str">
        <f>'04_MOTOR_CÁLCULO'!A720</f>
        <v>4633-8/01</v>
      </c>
      <c r="B165" s="49" t="str">
        <f>'04_MOTOR_CÁLCULO'!B720</f>
        <v>G</v>
      </c>
      <c r="C165" s="101" t="str">
        <f>'04_MOTOR_CÁLCULO'!C720</f>
        <v>Comércio atacadista de frutas, verduras, raízes, tubérculos, hortaliças e legumes frescos</v>
      </c>
      <c r="D165" s="14" t="str">
        <f>'04_MOTOR_CÁLCULO'!D720</f>
        <v>COMÉRCIO POR ATA</v>
      </c>
      <c r="E165" s="78" t="str">
        <f>'04_MOTOR_CÁLCULO'!N720</f>
        <v>CNAE-STG</v>
      </c>
      <c r="F165" s="62">
        <f>'04_MOTOR_CÁLCULO'!K720</f>
        <v>0.9</v>
      </c>
      <c r="G165" s="63">
        <f>'04_MOTOR_CÁLCULO'!K720-1</f>
        <v>-9.9999999999999978E-2</v>
      </c>
      <c r="H165" s="17" t="str">
        <f>'04_MOTOR_CÁLCULO'!M720</f>
        <v>Baixo</v>
      </c>
    </row>
    <row r="166" spans="1:8" ht="13.5" customHeight="1" x14ac:dyDescent="0.25">
      <c r="A166" s="24" t="str">
        <f>'04_MOTOR_CÁLCULO'!A721</f>
        <v>4633-8/02</v>
      </c>
      <c r="B166" s="38" t="str">
        <f>'04_MOTOR_CÁLCULO'!B721</f>
        <v>G</v>
      </c>
      <c r="C166" s="100" t="str">
        <f>'04_MOTOR_CÁLCULO'!C721</f>
        <v>Comércio atacadista de aves vivas e ovos</v>
      </c>
      <c r="D166" s="25" t="str">
        <f>'04_MOTOR_CÁLCULO'!D721</f>
        <v>COMÉRCIO POR ATA</v>
      </c>
      <c r="E166" s="78" t="str">
        <f>'04_MOTOR_CÁLCULO'!N721</f>
        <v>CNAE-STG</v>
      </c>
      <c r="F166" s="62">
        <f>'04_MOTOR_CÁLCULO'!K721</f>
        <v>0.9</v>
      </c>
      <c r="G166" s="63">
        <f>'04_MOTOR_CÁLCULO'!K721-1</f>
        <v>-9.9999999999999978E-2</v>
      </c>
      <c r="H166" s="17" t="str">
        <f>'04_MOTOR_CÁLCULO'!M721</f>
        <v>Baixo</v>
      </c>
    </row>
    <row r="167" spans="1:8" ht="13.5" customHeight="1" x14ac:dyDescent="0.25">
      <c r="A167" s="13" t="str">
        <f>'04_MOTOR_CÁLCULO'!A722</f>
        <v>4633-8/03</v>
      </c>
      <c r="B167" s="49" t="str">
        <f>'04_MOTOR_CÁLCULO'!B722</f>
        <v>G</v>
      </c>
      <c r="C167" s="101" t="str">
        <f>'04_MOTOR_CÁLCULO'!C722</f>
        <v>Comércio atacadista de coelhos e outros pequenos animais vivos para alimentação</v>
      </c>
      <c r="D167" s="14" t="str">
        <f>'04_MOTOR_CÁLCULO'!D722</f>
        <v>COMÉRCIO POR ATA</v>
      </c>
      <c r="E167" s="78" t="str">
        <f>'04_MOTOR_CÁLCULO'!N722</f>
        <v>CNAE-STG</v>
      </c>
      <c r="F167" s="62">
        <f>'04_MOTOR_CÁLCULO'!K722</f>
        <v>0.9</v>
      </c>
      <c r="G167" s="63">
        <f>'04_MOTOR_CÁLCULO'!K722-1</f>
        <v>-9.9999999999999978E-2</v>
      </c>
      <c r="H167" s="17" t="str">
        <f>'04_MOTOR_CÁLCULO'!M722</f>
        <v>Baixo</v>
      </c>
    </row>
    <row r="168" spans="1:8" ht="13.5" customHeight="1" x14ac:dyDescent="0.25">
      <c r="A168" s="24" t="str">
        <f>'04_MOTOR_CÁLCULO'!A723</f>
        <v>4634-6/01</v>
      </c>
      <c r="B168" s="38" t="str">
        <f>'04_MOTOR_CÁLCULO'!B723</f>
        <v>G</v>
      </c>
      <c r="C168" s="100" t="str">
        <f>'04_MOTOR_CÁLCULO'!C723</f>
        <v>Comércio atacadista de carnes bovinas e suínas e derivados</v>
      </c>
      <c r="D168" s="25" t="str">
        <f>'04_MOTOR_CÁLCULO'!D723</f>
        <v>COMÉRCIO POR ATA</v>
      </c>
      <c r="E168" s="78" t="str">
        <f>'04_MOTOR_CÁLCULO'!N723</f>
        <v>CNAE-STG</v>
      </c>
      <c r="F168" s="62">
        <f>'04_MOTOR_CÁLCULO'!K723</f>
        <v>0.9</v>
      </c>
      <c r="G168" s="63">
        <f>'04_MOTOR_CÁLCULO'!K723-1</f>
        <v>-9.9999999999999978E-2</v>
      </c>
      <c r="H168" s="17" t="str">
        <f>'04_MOTOR_CÁLCULO'!M723</f>
        <v>Baixo</v>
      </c>
    </row>
    <row r="169" spans="1:8" ht="13.5" customHeight="1" x14ac:dyDescent="0.25">
      <c r="A169" s="13" t="str">
        <f>'04_MOTOR_CÁLCULO'!A724</f>
        <v>4634-6/02</v>
      </c>
      <c r="B169" s="49" t="str">
        <f>'04_MOTOR_CÁLCULO'!B724</f>
        <v>G</v>
      </c>
      <c r="C169" s="101" t="str">
        <f>'04_MOTOR_CÁLCULO'!C724</f>
        <v>Comércio atacadista de aves abatidas e derivados</v>
      </c>
      <c r="D169" s="14" t="str">
        <f>'04_MOTOR_CÁLCULO'!D724</f>
        <v>COMÉRCIO POR ATA</v>
      </c>
      <c r="E169" s="78" t="str">
        <f>'04_MOTOR_CÁLCULO'!N724</f>
        <v>CNAE-STG</v>
      </c>
      <c r="F169" s="62">
        <f>'04_MOTOR_CÁLCULO'!K724</f>
        <v>0.9</v>
      </c>
      <c r="G169" s="63">
        <f>'04_MOTOR_CÁLCULO'!K724-1</f>
        <v>-9.9999999999999978E-2</v>
      </c>
      <c r="H169" s="17" t="str">
        <f>'04_MOTOR_CÁLCULO'!M724</f>
        <v>Baixo</v>
      </c>
    </row>
    <row r="170" spans="1:8" ht="13.5" customHeight="1" x14ac:dyDescent="0.25">
      <c r="A170" s="24" t="str">
        <f>'04_MOTOR_CÁLCULO'!A725</f>
        <v>4634-6/03</v>
      </c>
      <c r="B170" s="38" t="str">
        <f>'04_MOTOR_CÁLCULO'!B725</f>
        <v>G</v>
      </c>
      <c r="C170" s="100" t="str">
        <f>'04_MOTOR_CÁLCULO'!C725</f>
        <v>Comércio atacadista de pescados e frutos do mar</v>
      </c>
      <c r="D170" s="25" t="str">
        <f>'04_MOTOR_CÁLCULO'!D725</f>
        <v>COMÉRCIO POR ATA</v>
      </c>
      <c r="E170" s="78" t="str">
        <f>'04_MOTOR_CÁLCULO'!N725</f>
        <v>CNAE-STG</v>
      </c>
      <c r="F170" s="62">
        <f>'04_MOTOR_CÁLCULO'!K725</f>
        <v>0.9</v>
      </c>
      <c r="G170" s="63">
        <f>'04_MOTOR_CÁLCULO'!K725-1</f>
        <v>-9.9999999999999978E-2</v>
      </c>
      <c r="H170" s="17" t="str">
        <f>'04_MOTOR_CÁLCULO'!M725</f>
        <v>Baixo</v>
      </c>
    </row>
    <row r="171" spans="1:8" ht="13.5" customHeight="1" x14ac:dyDescent="0.25">
      <c r="A171" s="13" t="str">
        <f>'04_MOTOR_CÁLCULO'!A726</f>
        <v>4634-6/99</v>
      </c>
      <c r="B171" s="49" t="str">
        <f>'04_MOTOR_CÁLCULO'!B726</f>
        <v>G</v>
      </c>
      <c r="C171" s="101" t="str">
        <f>'04_MOTOR_CÁLCULO'!C726</f>
        <v>Comércio atacadista de carnes e derivados de outros animais</v>
      </c>
      <c r="D171" s="14" t="str">
        <f>'04_MOTOR_CÁLCULO'!D726</f>
        <v>COMÉRCIO POR ATA</v>
      </c>
      <c r="E171" s="78" t="str">
        <f>'04_MOTOR_CÁLCULO'!N726</f>
        <v>CNAE-STG</v>
      </c>
      <c r="F171" s="62">
        <f>'04_MOTOR_CÁLCULO'!K726</f>
        <v>0.9</v>
      </c>
      <c r="G171" s="63">
        <f>'04_MOTOR_CÁLCULO'!K726-1</f>
        <v>-9.9999999999999978E-2</v>
      </c>
      <c r="H171" s="17" t="str">
        <f>'04_MOTOR_CÁLCULO'!M726</f>
        <v>Baixo</v>
      </c>
    </row>
    <row r="172" spans="1:8" ht="13.5" customHeight="1" x14ac:dyDescent="0.25">
      <c r="A172" s="24" t="str">
        <f>'04_MOTOR_CÁLCULO'!A727</f>
        <v>4635-4/01</v>
      </c>
      <c r="B172" s="38" t="str">
        <f>'04_MOTOR_CÁLCULO'!B727</f>
        <v>G</v>
      </c>
      <c r="C172" s="100" t="str">
        <f>'04_MOTOR_CÁLCULO'!C727</f>
        <v>Comércio atacadista de água mineral</v>
      </c>
      <c r="D172" s="25" t="str">
        <f>'04_MOTOR_CÁLCULO'!D727</f>
        <v>COMÉRCIO POR ATA</v>
      </c>
      <c r="E172" s="78" t="str">
        <f>'04_MOTOR_CÁLCULO'!N727</f>
        <v>CNAE-STG</v>
      </c>
      <c r="F172" s="62">
        <f>'04_MOTOR_CÁLCULO'!K727</f>
        <v>0.9</v>
      </c>
      <c r="G172" s="63">
        <f>'04_MOTOR_CÁLCULO'!K727-1</f>
        <v>-9.9999999999999978E-2</v>
      </c>
      <c r="H172" s="17" t="str">
        <f>'04_MOTOR_CÁLCULO'!M727</f>
        <v>Baixo</v>
      </c>
    </row>
    <row r="173" spans="1:8" ht="13.5" customHeight="1" x14ac:dyDescent="0.25">
      <c r="A173" s="13" t="str">
        <f>'04_MOTOR_CÁLCULO'!A728</f>
        <v>4635-4/02</v>
      </c>
      <c r="B173" s="49" t="str">
        <f>'04_MOTOR_CÁLCULO'!B728</f>
        <v>G</v>
      </c>
      <c r="C173" s="101" t="str">
        <f>'04_MOTOR_CÁLCULO'!C728</f>
        <v>Comércio atacadista de cerveja, chope e refrigerante</v>
      </c>
      <c r="D173" s="14" t="str">
        <f>'04_MOTOR_CÁLCULO'!D728</f>
        <v>COMÉRCIO POR ATA</v>
      </c>
      <c r="E173" s="78" t="str">
        <f>'04_MOTOR_CÁLCULO'!N728</f>
        <v>CNAE-STG</v>
      </c>
      <c r="F173" s="62">
        <f>'04_MOTOR_CÁLCULO'!K728</f>
        <v>0.9</v>
      </c>
      <c r="G173" s="63">
        <f>'04_MOTOR_CÁLCULO'!K728-1</f>
        <v>-9.9999999999999978E-2</v>
      </c>
      <c r="H173" s="17" t="str">
        <f>'04_MOTOR_CÁLCULO'!M728</f>
        <v>Baixo</v>
      </c>
    </row>
    <row r="174" spans="1:8" ht="13.5" customHeight="1" x14ac:dyDescent="0.25">
      <c r="A174" s="24" t="str">
        <f>'04_MOTOR_CÁLCULO'!A729</f>
        <v>4635-4/03</v>
      </c>
      <c r="B174" s="38" t="str">
        <f>'04_MOTOR_CÁLCULO'!B729</f>
        <v>G</v>
      </c>
      <c r="C174" s="100" t="str">
        <f>'04_MOTOR_CÁLCULO'!C729</f>
        <v>Comércio atacadista de bebidas com atividade de fracionamento e acondicionamento associada</v>
      </c>
      <c r="D174" s="25" t="str">
        <f>'04_MOTOR_CÁLCULO'!D729</f>
        <v>COMÉRCIO POR ATA</v>
      </c>
      <c r="E174" s="78" t="str">
        <f>'04_MOTOR_CÁLCULO'!N729</f>
        <v>CNAE-STG</v>
      </c>
      <c r="F174" s="62">
        <f>'04_MOTOR_CÁLCULO'!K729</f>
        <v>0.9</v>
      </c>
      <c r="G174" s="63">
        <f>'04_MOTOR_CÁLCULO'!K729-1</f>
        <v>-9.9999999999999978E-2</v>
      </c>
      <c r="H174" s="17" t="str">
        <f>'04_MOTOR_CÁLCULO'!M729</f>
        <v>Baixo</v>
      </c>
    </row>
    <row r="175" spans="1:8" ht="13.5" customHeight="1" x14ac:dyDescent="0.25">
      <c r="A175" s="13" t="str">
        <f>'04_MOTOR_CÁLCULO'!A730</f>
        <v>4635-4/99</v>
      </c>
      <c r="B175" s="49" t="str">
        <f>'04_MOTOR_CÁLCULO'!B730</f>
        <v>G</v>
      </c>
      <c r="C175" s="101" t="str">
        <f>'04_MOTOR_CÁLCULO'!C730</f>
        <v>Comércio atacadista de bebidas não especificadas anteriormente</v>
      </c>
      <c r="D175" s="14" t="str">
        <f>'04_MOTOR_CÁLCULO'!D730</f>
        <v>COMÉRCIO POR ATA</v>
      </c>
      <c r="E175" s="78" t="str">
        <f>'04_MOTOR_CÁLCULO'!N730</f>
        <v>CNAE-STG</v>
      </c>
      <c r="F175" s="62">
        <f>'04_MOTOR_CÁLCULO'!K730</f>
        <v>0.9</v>
      </c>
      <c r="G175" s="63">
        <f>'04_MOTOR_CÁLCULO'!K730-1</f>
        <v>-9.9999999999999978E-2</v>
      </c>
      <c r="H175" s="17" t="str">
        <f>'04_MOTOR_CÁLCULO'!M730</f>
        <v>Baixo</v>
      </c>
    </row>
    <row r="176" spans="1:8" ht="13.5" customHeight="1" x14ac:dyDescent="0.25">
      <c r="A176" s="24" t="str">
        <f>'04_MOTOR_CÁLCULO'!A731</f>
        <v>4636-2/01</v>
      </c>
      <c r="B176" s="38" t="str">
        <f>'04_MOTOR_CÁLCULO'!B731</f>
        <v>G</v>
      </c>
      <c r="C176" s="100" t="str">
        <f>'04_MOTOR_CÁLCULO'!C731</f>
        <v>Comércio atacadista de fumo beneficiado</v>
      </c>
      <c r="D176" s="25" t="str">
        <f>'04_MOTOR_CÁLCULO'!D731</f>
        <v>COMÉRCIO POR ATA</v>
      </c>
      <c r="E176" s="78" t="str">
        <f>'04_MOTOR_CÁLCULO'!N731</f>
        <v>CNAE-STG</v>
      </c>
      <c r="F176" s="62">
        <f>'04_MOTOR_CÁLCULO'!K731</f>
        <v>0.9</v>
      </c>
      <c r="G176" s="63">
        <f>'04_MOTOR_CÁLCULO'!K731-1</f>
        <v>-9.9999999999999978E-2</v>
      </c>
      <c r="H176" s="17" t="str">
        <f>'04_MOTOR_CÁLCULO'!M731</f>
        <v>Baixo</v>
      </c>
    </row>
    <row r="177" spans="1:8" ht="13.5" customHeight="1" x14ac:dyDescent="0.25">
      <c r="A177" s="13" t="str">
        <f>'04_MOTOR_CÁLCULO'!A732</f>
        <v>4636-2/02</v>
      </c>
      <c r="B177" s="49" t="str">
        <f>'04_MOTOR_CÁLCULO'!B732</f>
        <v>G</v>
      </c>
      <c r="C177" s="101" t="str">
        <f>'04_MOTOR_CÁLCULO'!C732</f>
        <v>Comércio atacadista de cigarros, cigarrilhas e charutos</v>
      </c>
      <c r="D177" s="14" t="str">
        <f>'04_MOTOR_CÁLCULO'!D732</f>
        <v>COMÉRCIO POR ATA</v>
      </c>
      <c r="E177" s="78" t="str">
        <f>'04_MOTOR_CÁLCULO'!N732</f>
        <v>CNAE-STG</v>
      </c>
      <c r="F177" s="62">
        <f>'04_MOTOR_CÁLCULO'!K732</f>
        <v>0.9</v>
      </c>
      <c r="G177" s="63">
        <f>'04_MOTOR_CÁLCULO'!K732-1</f>
        <v>-9.9999999999999978E-2</v>
      </c>
      <c r="H177" s="17" t="str">
        <f>'04_MOTOR_CÁLCULO'!M732</f>
        <v>Baixo</v>
      </c>
    </row>
    <row r="178" spans="1:8" ht="13.5" customHeight="1" x14ac:dyDescent="0.25">
      <c r="A178" s="24" t="str">
        <f>'04_MOTOR_CÁLCULO'!A733</f>
        <v>4637-1/01</v>
      </c>
      <c r="B178" s="38" t="str">
        <f>'04_MOTOR_CÁLCULO'!B733</f>
        <v>G</v>
      </c>
      <c r="C178" s="100" t="str">
        <f>'04_MOTOR_CÁLCULO'!C733</f>
        <v>Comércio atacadista de café torrado, moído e solúvel</v>
      </c>
      <c r="D178" s="25" t="str">
        <f>'04_MOTOR_CÁLCULO'!D733</f>
        <v>COMÉRCIO POR ATA</v>
      </c>
      <c r="E178" s="78" t="str">
        <f>'04_MOTOR_CÁLCULO'!N733</f>
        <v>CNAE-STG</v>
      </c>
      <c r="F178" s="62">
        <f>'04_MOTOR_CÁLCULO'!K733</f>
        <v>0.9</v>
      </c>
      <c r="G178" s="63">
        <f>'04_MOTOR_CÁLCULO'!K733-1</f>
        <v>-9.9999999999999978E-2</v>
      </c>
      <c r="H178" s="17" t="str">
        <f>'04_MOTOR_CÁLCULO'!M733</f>
        <v>Baixo</v>
      </c>
    </row>
    <row r="179" spans="1:8" ht="13.5" customHeight="1" x14ac:dyDescent="0.25">
      <c r="A179" s="13" t="str">
        <f>'04_MOTOR_CÁLCULO'!A734</f>
        <v>4637-1/02</v>
      </c>
      <c r="B179" s="49" t="str">
        <f>'04_MOTOR_CÁLCULO'!B734</f>
        <v>G</v>
      </c>
      <c r="C179" s="101" t="str">
        <f>'04_MOTOR_CÁLCULO'!C734</f>
        <v>Comércio atacadista de açúcar</v>
      </c>
      <c r="D179" s="14" t="str">
        <f>'04_MOTOR_CÁLCULO'!D734</f>
        <v>COMÉRCIO POR ATA</v>
      </c>
      <c r="E179" s="78" t="str">
        <f>'04_MOTOR_CÁLCULO'!N734</f>
        <v>CNAE-STG</v>
      </c>
      <c r="F179" s="62">
        <f>'04_MOTOR_CÁLCULO'!K734</f>
        <v>0.9</v>
      </c>
      <c r="G179" s="63">
        <f>'04_MOTOR_CÁLCULO'!K734-1</f>
        <v>-9.9999999999999978E-2</v>
      </c>
      <c r="H179" s="17" t="str">
        <f>'04_MOTOR_CÁLCULO'!M734</f>
        <v>Baixo</v>
      </c>
    </row>
    <row r="180" spans="1:8" ht="13.5" customHeight="1" x14ac:dyDescent="0.25">
      <c r="A180" s="24" t="str">
        <f>'04_MOTOR_CÁLCULO'!A735</f>
        <v>4637-1/03</v>
      </c>
      <c r="B180" s="38" t="str">
        <f>'04_MOTOR_CÁLCULO'!B735</f>
        <v>G</v>
      </c>
      <c r="C180" s="100" t="str">
        <f>'04_MOTOR_CÁLCULO'!C735</f>
        <v>Comércio atacadista de óleos e gorduras</v>
      </c>
      <c r="D180" s="25" t="str">
        <f>'04_MOTOR_CÁLCULO'!D735</f>
        <v>COMÉRCIO POR ATA</v>
      </c>
      <c r="E180" s="78" t="str">
        <f>'04_MOTOR_CÁLCULO'!N735</f>
        <v>CNAE-STG</v>
      </c>
      <c r="F180" s="62">
        <f>'04_MOTOR_CÁLCULO'!K735</f>
        <v>0.9</v>
      </c>
      <c r="G180" s="63">
        <f>'04_MOTOR_CÁLCULO'!K735-1</f>
        <v>-9.9999999999999978E-2</v>
      </c>
      <c r="H180" s="17" t="str">
        <f>'04_MOTOR_CÁLCULO'!M735</f>
        <v>Baixo</v>
      </c>
    </row>
    <row r="181" spans="1:8" ht="13.5" customHeight="1" x14ac:dyDescent="0.25">
      <c r="A181" s="13" t="str">
        <f>'04_MOTOR_CÁLCULO'!A736</f>
        <v>4637-1/04</v>
      </c>
      <c r="B181" s="49" t="str">
        <f>'04_MOTOR_CÁLCULO'!B736</f>
        <v>G</v>
      </c>
      <c r="C181" s="101" t="str">
        <f>'04_MOTOR_CÁLCULO'!C736</f>
        <v>Comércio atacadista de pães, bolos, biscoitos e similares</v>
      </c>
      <c r="D181" s="14" t="str">
        <f>'04_MOTOR_CÁLCULO'!D736</f>
        <v>COMÉRCIO POR ATA</v>
      </c>
      <c r="E181" s="78" t="str">
        <f>'04_MOTOR_CÁLCULO'!N736</f>
        <v>CNAE-STG</v>
      </c>
      <c r="F181" s="62">
        <f>'04_MOTOR_CÁLCULO'!K736</f>
        <v>0.9</v>
      </c>
      <c r="G181" s="63">
        <f>'04_MOTOR_CÁLCULO'!K736-1</f>
        <v>-9.9999999999999978E-2</v>
      </c>
      <c r="H181" s="17" t="str">
        <f>'04_MOTOR_CÁLCULO'!M736</f>
        <v>Baixo</v>
      </c>
    </row>
    <row r="182" spans="1:8" ht="13.5" customHeight="1" x14ac:dyDescent="0.25">
      <c r="A182" s="24" t="str">
        <f>'04_MOTOR_CÁLCULO'!A737</f>
        <v>4637-1/05</v>
      </c>
      <c r="B182" s="38" t="str">
        <f>'04_MOTOR_CÁLCULO'!B737</f>
        <v>G</v>
      </c>
      <c r="C182" s="100" t="str">
        <f>'04_MOTOR_CÁLCULO'!C737</f>
        <v>Comércio atacadista de massas alimentícias</v>
      </c>
      <c r="D182" s="25" t="str">
        <f>'04_MOTOR_CÁLCULO'!D737</f>
        <v>COMÉRCIO POR ATA</v>
      </c>
      <c r="E182" s="78" t="str">
        <f>'04_MOTOR_CÁLCULO'!N737</f>
        <v>CNAE-STG</v>
      </c>
      <c r="F182" s="62">
        <f>'04_MOTOR_CÁLCULO'!K737</f>
        <v>0.9</v>
      </c>
      <c r="G182" s="63">
        <f>'04_MOTOR_CÁLCULO'!K737-1</f>
        <v>-9.9999999999999978E-2</v>
      </c>
      <c r="H182" s="17" t="str">
        <f>'04_MOTOR_CÁLCULO'!M737</f>
        <v>Baixo</v>
      </c>
    </row>
    <row r="183" spans="1:8" ht="13.5" customHeight="1" x14ac:dyDescent="0.25">
      <c r="A183" s="13" t="str">
        <f>'04_MOTOR_CÁLCULO'!A738</f>
        <v>4637-1/06</v>
      </c>
      <c r="B183" s="49" t="str">
        <f>'04_MOTOR_CÁLCULO'!B738</f>
        <v>G</v>
      </c>
      <c r="C183" s="101" t="str">
        <f>'04_MOTOR_CÁLCULO'!C738</f>
        <v>Comércio atacadista de sorvetes</v>
      </c>
      <c r="D183" s="14" t="str">
        <f>'04_MOTOR_CÁLCULO'!D738</f>
        <v>COMÉRCIO POR ATA</v>
      </c>
      <c r="E183" s="78" t="str">
        <f>'04_MOTOR_CÁLCULO'!N738</f>
        <v>CNAE-STG</v>
      </c>
      <c r="F183" s="62">
        <f>'04_MOTOR_CÁLCULO'!K738</f>
        <v>0.9</v>
      </c>
      <c r="G183" s="63">
        <f>'04_MOTOR_CÁLCULO'!K738-1</f>
        <v>-9.9999999999999978E-2</v>
      </c>
      <c r="H183" s="17" t="str">
        <f>'04_MOTOR_CÁLCULO'!M738</f>
        <v>Baixo</v>
      </c>
    </row>
    <row r="184" spans="1:8" ht="13.5" customHeight="1" x14ac:dyDescent="0.25">
      <c r="A184" s="24" t="str">
        <f>'04_MOTOR_CÁLCULO'!A739</f>
        <v>4637-1/07</v>
      </c>
      <c r="B184" s="38" t="str">
        <f>'04_MOTOR_CÁLCULO'!B739</f>
        <v>G</v>
      </c>
      <c r="C184" s="100" t="str">
        <f>'04_MOTOR_CÁLCULO'!C739</f>
        <v>Comércio atacadista de chocolates, confeitos, balas, bombons e semelhantes</v>
      </c>
      <c r="D184" s="25" t="str">
        <f>'04_MOTOR_CÁLCULO'!D739</f>
        <v>COMÉRCIO POR ATA</v>
      </c>
      <c r="E184" s="78" t="str">
        <f>'04_MOTOR_CÁLCULO'!N739</f>
        <v>CNAE-STG</v>
      </c>
      <c r="F184" s="62">
        <f>'04_MOTOR_CÁLCULO'!K739</f>
        <v>0.9</v>
      </c>
      <c r="G184" s="63">
        <f>'04_MOTOR_CÁLCULO'!K739-1</f>
        <v>-9.9999999999999978E-2</v>
      </c>
      <c r="H184" s="17" t="str">
        <f>'04_MOTOR_CÁLCULO'!M739</f>
        <v>Baixo</v>
      </c>
    </row>
    <row r="185" spans="1:8" ht="13.5" customHeight="1" x14ac:dyDescent="0.25">
      <c r="A185" s="13" t="str">
        <f>'04_MOTOR_CÁLCULO'!A740</f>
        <v>4637-1/99</v>
      </c>
      <c r="B185" s="49" t="str">
        <f>'04_MOTOR_CÁLCULO'!B740</f>
        <v>G</v>
      </c>
      <c r="C185" s="101" t="str">
        <f>'04_MOTOR_CÁLCULO'!C740</f>
        <v>Comércio atacadista especializado em outros produtos alimentícios não especificados anteriormente</v>
      </c>
      <c r="D185" s="14" t="str">
        <f>'04_MOTOR_CÁLCULO'!D740</f>
        <v>COMÉRCIO POR ATA</v>
      </c>
      <c r="E185" s="78" t="str">
        <f>'04_MOTOR_CÁLCULO'!N740</f>
        <v>CNAE-STG</v>
      </c>
      <c r="F185" s="62">
        <f>'04_MOTOR_CÁLCULO'!K740</f>
        <v>0.9</v>
      </c>
      <c r="G185" s="63">
        <f>'04_MOTOR_CÁLCULO'!K740-1</f>
        <v>-9.9999999999999978E-2</v>
      </c>
      <c r="H185" s="17" t="str">
        <f>'04_MOTOR_CÁLCULO'!M740</f>
        <v>Baixo</v>
      </c>
    </row>
    <row r="186" spans="1:8" ht="13.5" customHeight="1" x14ac:dyDescent="0.25">
      <c r="A186" s="24" t="str">
        <f>'04_MOTOR_CÁLCULO'!A741</f>
        <v>4639-7/01</v>
      </c>
      <c r="B186" s="38" t="str">
        <f>'04_MOTOR_CÁLCULO'!B741</f>
        <v>G</v>
      </c>
      <c r="C186" s="100" t="str">
        <f>'04_MOTOR_CÁLCULO'!C741</f>
        <v>Comércio atacadista de produtos alimentícios em geral</v>
      </c>
      <c r="D186" s="25" t="str">
        <f>'04_MOTOR_CÁLCULO'!D741</f>
        <v>COMÉRCIO POR ATA</v>
      </c>
      <c r="E186" s="78" t="str">
        <f>'04_MOTOR_CÁLCULO'!N741</f>
        <v>CNAE-STG</v>
      </c>
      <c r="F186" s="62">
        <f>'04_MOTOR_CÁLCULO'!K741</f>
        <v>0.9</v>
      </c>
      <c r="G186" s="63">
        <f>'04_MOTOR_CÁLCULO'!K741-1</f>
        <v>-9.9999999999999978E-2</v>
      </c>
      <c r="H186" s="17" t="str">
        <f>'04_MOTOR_CÁLCULO'!M741</f>
        <v>Baixo</v>
      </c>
    </row>
    <row r="187" spans="1:8" ht="13.5" customHeight="1" x14ac:dyDescent="0.25">
      <c r="A187" s="13" t="str">
        <f>'04_MOTOR_CÁLCULO'!A742</f>
        <v>4639-7/02</v>
      </c>
      <c r="B187" s="49" t="str">
        <f>'04_MOTOR_CÁLCULO'!B742</f>
        <v>G</v>
      </c>
      <c r="C187" s="101" t="str">
        <f>'04_MOTOR_CÁLCULO'!C742</f>
        <v>Comércio atacadista de produtos alimentícios em geral, com atividade de fracionamento e acondicionamento associada</v>
      </c>
      <c r="D187" s="14" t="str">
        <f>'04_MOTOR_CÁLCULO'!D742</f>
        <v>COMÉRCIO POR ATA</v>
      </c>
      <c r="E187" s="78" t="str">
        <f>'04_MOTOR_CÁLCULO'!N742</f>
        <v>CNAE-STG</v>
      </c>
      <c r="F187" s="62">
        <f>'04_MOTOR_CÁLCULO'!K742</f>
        <v>0.9</v>
      </c>
      <c r="G187" s="63">
        <f>'04_MOTOR_CÁLCULO'!K742-1</f>
        <v>-9.9999999999999978E-2</v>
      </c>
      <c r="H187" s="17" t="str">
        <f>'04_MOTOR_CÁLCULO'!M742</f>
        <v>Baixo</v>
      </c>
    </row>
    <row r="188" spans="1:8" ht="13.5" customHeight="1" x14ac:dyDescent="0.25">
      <c r="A188" s="24" t="str">
        <f>'04_MOTOR_CÁLCULO'!A743</f>
        <v>4641-9/01</v>
      </c>
      <c r="B188" s="38" t="str">
        <f>'04_MOTOR_CÁLCULO'!B743</f>
        <v>G</v>
      </c>
      <c r="C188" s="100" t="str">
        <f>'04_MOTOR_CÁLCULO'!C743</f>
        <v>Comércio atacadista de tecidos</v>
      </c>
      <c r="D188" s="25" t="str">
        <f>'04_MOTOR_CÁLCULO'!D743</f>
        <v>COMÉRCIO POR ATA</v>
      </c>
      <c r="E188" s="78" t="str">
        <f>'04_MOTOR_CÁLCULO'!N743</f>
        <v>CNAE-STG</v>
      </c>
      <c r="F188" s="62">
        <f>'04_MOTOR_CÁLCULO'!K743</f>
        <v>0.9</v>
      </c>
      <c r="G188" s="63">
        <f>'04_MOTOR_CÁLCULO'!K743-1</f>
        <v>-9.9999999999999978E-2</v>
      </c>
      <c r="H188" s="17" t="str">
        <f>'04_MOTOR_CÁLCULO'!M743</f>
        <v>Baixo</v>
      </c>
    </row>
    <row r="189" spans="1:8" ht="13.5" customHeight="1" x14ac:dyDescent="0.25">
      <c r="A189" s="13" t="str">
        <f>'04_MOTOR_CÁLCULO'!A744</f>
        <v>4641-9/02</v>
      </c>
      <c r="B189" s="49" t="str">
        <f>'04_MOTOR_CÁLCULO'!B744</f>
        <v>G</v>
      </c>
      <c r="C189" s="101" t="str">
        <f>'04_MOTOR_CÁLCULO'!C744</f>
        <v>Comércio atacadista de artigos de cama, mesa e banho</v>
      </c>
      <c r="D189" s="14" t="str">
        <f>'04_MOTOR_CÁLCULO'!D744</f>
        <v>COMÉRCIO POR ATA</v>
      </c>
      <c r="E189" s="78" t="str">
        <f>'04_MOTOR_CÁLCULO'!N744</f>
        <v>CNAE-STG</v>
      </c>
      <c r="F189" s="62">
        <f>'04_MOTOR_CÁLCULO'!K744</f>
        <v>0.9</v>
      </c>
      <c r="G189" s="63">
        <f>'04_MOTOR_CÁLCULO'!K744-1</f>
        <v>-9.9999999999999978E-2</v>
      </c>
      <c r="H189" s="17" t="str">
        <f>'04_MOTOR_CÁLCULO'!M744</f>
        <v>Baixo</v>
      </c>
    </row>
    <row r="190" spans="1:8" ht="13.5" customHeight="1" x14ac:dyDescent="0.25">
      <c r="A190" s="24" t="str">
        <f>'04_MOTOR_CÁLCULO'!A745</f>
        <v>4641-9/03</v>
      </c>
      <c r="B190" s="38" t="str">
        <f>'04_MOTOR_CÁLCULO'!B745</f>
        <v>G</v>
      </c>
      <c r="C190" s="100" t="str">
        <f>'04_MOTOR_CÁLCULO'!C745</f>
        <v>Comércio atacadista de artigos de armarinho</v>
      </c>
      <c r="D190" s="25" t="str">
        <f>'04_MOTOR_CÁLCULO'!D745</f>
        <v>COMÉRCIO POR ATA</v>
      </c>
      <c r="E190" s="78" t="str">
        <f>'04_MOTOR_CÁLCULO'!N745</f>
        <v>CNAE-STG</v>
      </c>
      <c r="F190" s="62">
        <f>'04_MOTOR_CÁLCULO'!K745</f>
        <v>0.9</v>
      </c>
      <c r="G190" s="63">
        <f>'04_MOTOR_CÁLCULO'!K745-1</f>
        <v>-9.9999999999999978E-2</v>
      </c>
      <c r="H190" s="17" t="str">
        <f>'04_MOTOR_CÁLCULO'!M745</f>
        <v>Baixo</v>
      </c>
    </row>
    <row r="191" spans="1:8" ht="13.5" customHeight="1" x14ac:dyDescent="0.25">
      <c r="A191" s="13" t="str">
        <f>'04_MOTOR_CÁLCULO'!A746</f>
        <v>4642-7/01</v>
      </c>
      <c r="B191" s="49" t="str">
        <f>'04_MOTOR_CÁLCULO'!B746</f>
        <v>G</v>
      </c>
      <c r="C191" s="101" t="str">
        <f>'04_MOTOR_CÁLCULO'!C746</f>
        <v>Comércio atacadista de artigos do vestuário e acessórios, exceto profissionais e de segurança</v>
      </c>
      <c r="D191" s="14" t="str">
        <f>'04_MOTOR_CÁLCULO'!D746</f>
        <v>COMÉRCIO POR ATA</v>
      </c>
      <c r="E191" s="78" t="str">
        <f>'04_MOTOR_CÁLCULO'!N746</f>
        <v>CNAE-STG</v>
      </c>
      <c r="F191" s="62">
        <f>'04_MOTOR_CÁLCULO'!K746</f>
        <v>0.9</v>
      </c>
      <c r="G191" s="63">
        <f>'04_MOTOR_CÁLCULO'!K746-1</f>
        <v>-9.9999999999999978E-2</v>
      </c>
      <c r="H191" s="17" t="str">
        <f>'04_MOTOR_CÁLCULO'!M746</f>
        <v>Baixo</v>
      </c>
    </row>
    <row r="192" spans="1:8" ht="13.5" customHeight="1" x14ac:dyDescent="0.25">
      <c r="A192" s="24" t="str">
        <f>'04_MOTOR_CÁLCULO'!A747</f>
        <v>4642-7/02</v>
      </c>
      <c r="B192" s="38" t="str">
        <f>'04_MOTOR_CÁLCULO'!B747</f>
        <v>G</v>
      </c>
      <c r="C192" s="100" t="str">
        <f>'04_MOTOR_CÁLCULO'!C747</f>
        <v>Comércio atacadista de roupas e acessórios para uso profissional e de segurança do trabalho</v>
      </c>
      <c r="D192" s="25" t="str">
        <f>'04_MOTOR_CÁLCULO'!D747</f>
        <v>COMÉRCIO POR ATA</v>
      </c>
      <c r="E192" s="78" t="str">
        <f>'04_MOTOR_CÁLCULO'!N747</f>
        <v>CNAE-STG</v>
      </c>
      <c r="F192" s="62">
        <f>'04_MOTOR_CÁLCULO'!K747</f>
        <v>0.9</v>
      </c>
      <c r="G192" s="63">
        <f>'04_MOTOR_CÁLCULO'!K747-1</f>
        <v>-9.9999999999999978E-2</v>
      </c>
      <c r="H192" s="17" t="str">
        <f>'04_MOTOR_CÁLCULO'!M747</f>
        <v>Baixo</v>
      </c>
    </row>
    <row r="193" spans="1:8" ht="13.5" customHeight="1" x14ac:dyDescent="0.25">
      <c r="A193" s="13" t="str">
        <f>'04_MOTOR_CÁLCULO'!A748</f>
        <v>4643-5/01</v>
      </c>
      <c r="B193" s="49" t="str">
        <f>'04_MOTOR_CÁLCULO'!B748</f>
        <v>G</v>
      </c>
      <c r="C193" s="101" t="str">
        <f>'04_MOTOR_CÁLCULO'!C748</f>
        <v>Comércio atacadista de calçados</v>
      </c>
      <c r="D193" s="14" t="str">
        <f>'04_MOTOR_CÁLCULO'!D748</f>
        <v>COMÉRCIO POR ATA</v>
      </c>
      <c r="E193" s="78" t="str">
        <f>'04_MOTOR_CÁLCULO'!N748</f>
        <v>CNAE-STG</v>
      </c>
      <c r="F193" s="62">
        <f>'04_MOTOR_CÁLCULO'!K748</f>
        <v>0.9</v>
      </c>
      <c r="G193" s="63">
        <f>'04_MOTOR_CÁLCULO'!K748-1</f>
        <v>-9.9999999999999978E-2</v>
      </c>
      <c r="H193" s="17" t="str">
        <f>'04_MOTOR_CÁLCULO'!M748</f>
        <v>Baixo</v>
      </c>
    </row>
    <row r="194" spans="1:8" ht="13.5" customHeight="1" x14ac:dyDescent="0.25">
      <c r="A194" s="24" t="str">
        <f>'04_MOTOR_CÁLCULO'!A749</f>
        <v>4643-5/02</v>
      </c>
      <c r="B194" s="38" t="str">
        <f>'04_MOTOR_CÁLCULO'!B749</f>
        <v>G</v>
      </c>
      <c r="C194" s="100" t="str">
        <f>'04_MOTOR_CÁLCULO'!C749</f>
        <v>Comércio atacadista de bolsas, malas e artigos de viagem</v>
      </c>
      <c r="D194" s="25" t="str">
        <f>'04_MOTOR_CÁLCULO'!D749</f>
        <v>COMÉRCIO POR ATA</v>
      </c>
      <c r="E194" s="78" t="str">
        <f>'04_MOTOR_CÁLCULO'!N749</f>
        <v>CNAE-STG</v>
      </c>
      <c r="F194" s="62">
        <f>'04_MOTOR_CÁLCULO'!K749</f>
        <v>0.9</v>
      </c>
      <c r="G194" s="63">
        <f>'04_MOTOR_CÁLCULO'!K749-1</f>
        <v>-9.9999999999999978E-2</v>
      </c>
      <c r="H194" s="17" t="str">
        <f>'04_MOTOR_CÁLCULO'!M749</f>
        <v>Baixo</v>
      </c>
    </row>
    <row r="195" spans="1:8" ht="13.5" customHeight="1" x14ac:dyDescent="0.25">
      <c r="A195" s="13" t="str">
        <f>'04_MOTOR_CÁLCULO'!A750</f>
        <v>4644-3/01</v>
      </c>
      <c r="B195" s="49" t="str">
        <f>'04_MOTOR_CÁLCULO'!B750</f>
        <v>G</v>
      </c>
      <c r="C195" s="101" t="str">
        <f>'04_MOTOR_CÁLCULO'!C750</f>
        <v>Comércio atacadista de medicamentos e drogas de uso humano</v>
      </c>
      <c r="D195" s="14" t="str">
        <f>'04_MOTOR_CÁLCULO'!D750</f>
        <v>COMÉRCIO POR ATA</v>
      </c>
      <c r="E195" s="78" t="str">
        <f>'04_MOTOR_CÁLCULO'!N750</f>
        <v>CNAE-STG</v>
      </c>
      <c r="F195" s="62">
        <f>'04_MOTOR_CÁLCULO'!K750</f>
        <v>0.9</v>
      </c>
      <c r="G195" s="63">
        <f>'04_MOTOR_CÁLCULO'!K750-1</f>
        <v>-9.9999999999999978E-2</v>
      </c>
      <c r="H195" s="17" t="str">
        <f>'04_MOTOR_CÁLCULO'!M750</f>
        <v>Baixo</v>
      </c>
    </row>
    <row r="196" spans="1:8" ht="13.5" customHeight="1" x14ac:dyDescent="0.25">
      <c r="A196" s="24" t="str">
        <f>'04_MOTOR_CÁLCULO'!A751</f>
        <v>4644-3/02</v>
      </c>
      <c r="B196" s="38" t="str">
        <f>'04_MOTOR_CÁLCULO'!B751</f>
        <v>G</v>
      </c>
      <c r="C196" s="100" t="str">
        <f>'04_MOTOR_CÁLCULO'!C751</f>
        <v>Comércio atacadista de medicamentos e drogas de uso veterinário</v>
      </c>
      <c r="D196" s="25" t="str">
        <f>'04_MOTOR_CÁLCULO'!D751</f>
        <v>COMÉRCIO POR ATA</v>
      </c>
      <c r="E196" s="78" t="str">
        <f>'04_MOTOR_CÁLCULO'!N751</f>
        <v>CNAE-STG</v>
      </c>
      <c r="F196" s="62">
        <f>'04_MOTOR_CÁLCULO'!K751</f>
        <v>0.9</v>
      </c>
      <c r="G196" s="63">
        <f>'04_MOTOR_CÁLCULO'!K751-1</f>
        <v>-9.9999999999999978E-2</v>
      </c>
      <c r="H196" s="17" t="str">
        <f>'04_MOTOR_CÁLCULO'!M751</f>
        <v>Baixo</v>
      </c>
    </row>
    <row r="197" spans="1:8" ht="13.5" customHeight="1" x14ac:dyDescent="0.25">
      <c r="A197" s="13" t="str">
        <f>'04_MOTOR_CÁLCULO'!A752</f>
        <v>4645-1/01</v>
      </c>
      <c r="B197" s="49" t="str">
        <f>'04_MOTOR_CÁLCULO'!B752</f>
        <v>G</v>
      </c>
      <c r="C197" s="101" t="str">
        <f>'04_MOTOR_CÁLCULO'!C752</f>
        <v>Comércio atacadista de instrumentos e materiais para uso médico, cirúrgico, hospitalar e de laboratórios</v>
      </c>
      <c r="D197" s="14" t="str">
        <f>'04_MOTOR_CÁLCULO'!D752</f>
        <v>COMÉRCIO POR ATA</v>
      </c>
      <c r="E197" s="78" t="str">
        <f>'04_MOTOR_CÁLCULO'!N752</f>
        <v>CNAE-STG</v>
      </c>
      <c r="F197" s="62">
        <f>'04_MOTOR_CÁLCULO'!K752</f>
        <v>0.9</v>
      </c>
      <c r="G197" s="63">
        <f>'04_MOTOR_CÁLCULO'!K752-1</f>
        <v>-9.9999999999999978E-2</v>
      </c>
      <c r="H197" s="17" t="str">
        <f>'04_MOTOR_CÁLCULO'!M752</f>
        <v>Baixo</v>
      </c>
    </row>
    <row r="198" spans="1:8" ht="13.5" customHeight="1" x14ac:dyDescent="0.25">
      <c r="A198" s="24" t="str">
        <f>'04_MOTOR_CÁLCULO'!A753</f>
        <v>4645-1/02</v>
      </c>
      <c r="B198" s="38" t="str">
        <f>'04_MOTOR_CÁLCULO'!B753</f>
        <v>G</v>
      </c>
      <c r="C198" s="100" t="str">
        <f>'04_MOTOR_CÁLCULO'!C753</f>
        <v>Comércio atacadista de próteses e artigos de ortopedia</v>
      </c>
      <c r="D198" s="25" t="str">
        <f>'04_MOTOR_CÁLCULO'!D753</f>
        <v>COMÉRCIO POR ATA</v>
      </c>
      <c r="E198" s="78" t="str">
        <f>'04_MOTOR_CÁLCULO'!N753</f>
        <v>CNAE-STG</v>
      </c>
      <c r="F198" s="62">
        <f>'04_MOTOR_CÁLCULO'!K753</f>
        <v>0.9</v>
      </c>
      <c r="G198" s="63">
        <f>'04_MOTOR_CÁLCULO'!K753-1</f>
        <v>-9.9999999999999978E-2</v>
      </c>
      <c r="H198" s="17" t="str">
        <f>'04_MOTOR_CÁLCULO'!M753</f>
        <v>Baixo</v>
      </c>
    </row>
    <row r="199" spans="1:8" ht="13.5" customHeight="1" x14ac:dyDescent="0.25">
      <c r="A199" s="13" t="str">
        <f>'04_MOTOR_CÁLCULO'!A754</f>
        <v>4645-1/03</v>
      </c>
      <c r="B199" s="49" t="str">
        <f>'04_MOTOR_CÁLCULO'!B754</f>
        <v>G</v>
      </c>
      <c r="C199" s="101" t="str">
        <f>'04_MOTOR_CÁLCULO'!C754</f>
        <v>Comércio atacadista de produtos odontológicos</v>
      </c>
      <c r="D199" s="14" t="str">
        <f>'04_MOTOR_CÁLCULO'!D754</f>
        <v>COMÉRCIO POR ATA</v>
      </c>
      <c r="E199" s="78" t="str">
        <f>'04_MOTOR_CÁLCULO'!N754</f>
        <v>CNAE-STG</v>
      </c>
      <c r="F199" s="62">
        <f>'04_MOTOR_CÁLCULO'!K754</f>
        <v>0.9</v>
      </c>
      <c r="G199" s="63">
        <f>'04_MOTOR_CÁLCULO'!K754-1</f>
        <v>-9.9999999999999978E-2</v>
      </c>
      <c r="H199" s="17" t="str">
        <f>'04_MOTOR_CÁLCULO'!M754</f>
        <v>Baixo</v>
      </c>
    </row>
    <row r="200" spans="1:8" ht="13.5" customHeight="1" x14ac:dyDescent="0.25">
      <c r="A200" s="24" t="str">
        <f>'04_MOTOR_CÁLCULO'!A755</f>
        <v>4646-0/01</v>
      </c>
      <c r="B200" s="38" t="str">
        <f>'04_MOTOR_CÁLCULO'!B755</f>
        <v>G</v>
      </c>
      <c r="C200" s="100" t="str">
        <f>'04_MOTOR_CÁLCULO'!C755</f>
        <v>Comércio atacadista de cosméticos e produtos de perfumaria</v>
      </c>
      <c r="D200" s="25" t="str">
        <f>'04_MOTOR_CÁLCULO'!D755</f>
        <v>COMÉRCIO POR ATA</v>
      </c>
      <c r="E200" s="78" t="str">
        <f>'04_MOTOR_CÁLCULO'!N755</f>
        <v>CNAE-STG</v>
      </c>
      <c r="F200" s="62">
        <f>'04_MOTOR_CÁLCULO'!K755</f>
        <v>0.9</v>
      </c>
      <c r="G200" s="63">
        <f>'04_MOTOR_CÁLCULO'!K755-1</f>
        <v>-9.9999999999999978E-2</v>
      </c>
      <c r="H200" s="17" t="str">
        <f>'04_MOTOR_CÁLCULO'!M755</f>
        <v>Baixo</v>
      </c>
    </row>
    <row r="201" spans="1:8" ht="13.5" customHeight="1" x14ac:dyDescent="0.25">
      <c r="A201" s="13" t="str">
        <f>'04_MOTOR_CÁLCULO'!A756</f>
        <v>4646-0/02</v>
      </c>
      <c r="B201" s="49" t="str">
        <f>'04_MOTOR_CÁLCULO'!B756</f>
        <v>G</v>
      </c>
      <c r="C201" s="101" t="str">
        <f>'04_MOTOR_CÁLCULO'!C756</f>
        <v>Comércio atacadista de produtos de higiene pessoal</v>
      </c>
      <c r="D201" s="14" t="str">
        <f>'04_MOTOR_CÁLCULO'!D756</f>
        <v>COMÉRCIO POR ATA</v>
      </c>
      <c r="E201" s="78" t="str">
        <f>'04_MOTOR_CÁLCULO'!N756</f>
        <v>CNAE-STG</v>
      </c>
      <c r="F201" s="62">
        <f>'04_MOTOR_CÁLCULO'!K756</f>
        <v>0.9</v>
      </c>
      <c r="G201" s="63">
        <f>'04_MOTOR_CÁLCULO'!K756-1</f>
        <v>-9.9999999999999978E-2</v>
      </c>
      <c r="H201" s="17" t="str">
        <f>'04_MOTOR_CÁLCULO'!M756</f>
        <v>Baixo</v>
      </c>
    </row>
    <row r="202" spans="1:8" ht="13.5" customHeight="1" x14ac:dyDescent="0.25">
      <c r="A202" s="24" t="str">
        <f>'04_MOTOR_CÁLCULO'!A757</f>
        <v>4647-8/01</v>
      </c>
      <c r="B202" s="38" t="str">
        <f>'04_MOTOR_CÁLCULO'!B757</f>
        <v>G</v>
      </c>
      <c r="C202" s="100" t="str">
        <f>'04_MOTOR_CÁLCULO'!C757</f>
        <v>Comércio atacadista de artigos de escritório e de papelaria</v>
      </c>
      <c r="D202" s="25" t="str">
        <f>'04_MOTOR_CÁLCULO'!D757</f>
        <v>COMÉRCIO POR ATA</v>
      </c>
      <c r="E202" s="78" t="str">
        <f>'04_MOTOR_CÁLCULO'!N757</f>
        <v>CNAE-STG</v>
      </c>
      <c r="F202" s="62">
        <f>'04_MOTOR_CÁLCULO'!K757</f>
        <v>0.9</v>
      </c>
      <c r="G202" s="63">
        <f>'04_MOTOR_CÁLCULO'!K757-1</f>
        <v>-9.9999999999999978E-2</v>
      </c>
      <c r="H202" s="17" t="str">
        <f>'04_MOTOR_CÁLCULO'!M757</f>
        <v>Baixo</v>
      </c>
    </row>
    <row r="203" spans="1:8" ht="13.5" customHeight="1" x14ac:dyDescent="0.25">
      <c r="A203" s="13" t="str">
        <f>'04_MOTOR_CÁLCULO'!A758</f>
        <v>4647-8/02</v>
      </c>
      <c r="B203" s="49" t="str">
        <f>'04_MOTOR_CÁLCULO'!B758</f>
        <v>G</v>
      </c>
      <c r="C203" s="101" t="str">
        <f>'04_MOTOR_CÁLCULO'!C758</f>
        <v>Comércio atacadista de livros, jornais e outras publicações</v>
      </c>
      <c r="D203" s="14" t="str">
        <f>'04_MOTOR_CÁLCULO'!D758</f>
        <v>COMÉRCIO POR ATA</v>
      </c>
      <c r="E203" s="78" t="str">
        <f>'04_MOTOR_CÁLCULO'!N758</f>
        <v>CNAE-STG</v>
      </c>
      <c r="F203" s="62">
        <f>'04_MOTOR_CÁLCULO'!K758</f>
        <v>0.9</v>
      </c>
      <c r="G203" s="63">
        <f>'04_MOTOR_CÁLCULO'!K758-1</f>
        <v>-9.9999999999999978E-2</v>
      </c>
      <c r="H203" s="17" t="str">
        <f>'04_MOTOR_CÁLCULO'!M758</f>
        <v>Baixo</v>
      </c>
    </row>
    <row r="204" spans="1:8" ht="13.5" customHeight="1" x14ac:dyDescent="0.25">
      <c r="A204" s="24" t="str">
        <f>'04_MOTOR_CÁLCULO'!A759</f>
        <v>4649-4/01</v>
      </c>
      <c r="B204" s="38" t="str">
        <f>'04_MOTOR_CÁLCULO'!B759</f>
        <v>G</v>
      </c>
      <c r="C204" s="100" t="str">
        <f>'04_MOTOR_CÁLCULO'!C759</f>
        <v>Comércio atacadista de equipamentos elétricos de uso pessoal e doméstico</v>
      </c>
      <c r="D204" s="25" t="str">
        <f>'04_MOTOR_CÁLCULO'!D759</f>
        <v>COMÉRCIO POR ATA</v>
      </c>
      <c r="E204" s="78" t="str">
        <f>'04_MOTOR_CÁLCULO'!N759</f>
        <v>CNAE-STG</v>
      </c>
      <c r="F204" s="62">
        <f>'04_MOTOR_CÁLCULO'!K759</f>
        <v>0.9</v>
      </c>
      <c r="G204" s="63">
        <f>'04_MOTOR_CÁLCULO'!K759-1</f>
        <v>-9.9999999999999978E-2</v>
      </c>
      <c r="H204" s="17" t="str">
        <f>'04_MOTOR_CÁLCULO'!M759</f>
        <v>Baixo</v>
      </c>
    </row>
    <row r="205" spans="1:8" ht="13.5" customHeight="1" x14ac:dyDescent="0.25">
      <c r="A205" s="13" t="str">
        <f>'04_MOTOR_CÁLCULO'!A760</f>
        <v>4649-4/02</v>
      </c>
      <c r="B205" s="49" t="str">
        <f>'04_MOTOR_CÁLCULO'!B760</f>
        <v>G</v>
      </c>
      <c r="C205" s="101" t="str">
        <f>'04_MOTOR_CÁLCULO'!C760</f>
        <v>Comércio atacadista de aparelhos eletrônicos de uso pessoal e doméstico</v>
      </c>
      <c r="D205" s="14" t="str">
        <f>'04_MOTOR_CÁLCULO'!D760</f>
        <v>COMÉRCIO POR ATA</v>
      </c>
      <c r="E205" s="78" t="str">
        <f>'04_MOTOR_CÁLCULO'!N760</f>
        <v>CNAE-STG</v>
      </c>
      <c r="F205" s="62">
        <f>'04_MOTOR_CÁLCULO'!K760</f>
        <v>0.9</v>
      </c>
      <c r="G205" s="63">
        <f>'04_MOTOR_CÁLCULO'!K760-1</f>
        <v>-9.9999999999999978E-2</v>
      </c>
      <c r="H205" s="17" t="str">
        <f>'04_MOTOR_CÁLCULO'!M760</f>
        <v>Baixo</v>
      </c>
    </row>
    <row r="206" spans="1:8" ht="13.5" customHeight="1" x14ac:dyDescent="0.25">
      <c r="A206" s="24" t="str">
        <f>'04_MOTOR_CÁLCULO'!A761</f>
        <v>4649-4/03</v>
      </c>
      <c r="B206" s="38" t="str">
        <f>'04_MOTOR_CÁLCULO'!B761</f>
        <v>G</v>
      </c>
      <c r="C206" s="100" t="str">
        <f>'04_MOTOR_CÁLCULO'!C761</f>
        <v>Comércio atacadista de bicicletas, triciclos e outros veículos recreativos</v>
      </c>
      <c r="D206" s="25" t="str">
        <f>'04_MOTOR_CÁLCULO'!D761</f>
        <v>COMÉRCIO POR ATA</v>
      </c>
      <c r="E206" s="78" t="str">
        <f>'04_MOTOR_CÁLCULO'!N761</f>
        <v>CNAE-STG</v>
      </c>
      <c r="F206" s="62">
        <f>'04_MOTOR_CÁLCULO'!K761</f>
        <v>0.9</v>
      </c>
      <c r="G206" s="63">
        <f>'04_MOTOR_CÁLCULO'!K761-1</f>
        <v>-9.9999999999999978E-2</v>
      </c>
      <c r="H206" s="17" t="str">
        <f>'04_MOTOR_CÁLCULO'!M761</f>
        <v>Baixo</v>
      </c>
    </row>
    <row r="207" spans="1:8" ht="13.5" customHeight="1" x14ac:dyDescent="0.25">
      <c r="A207" s="13" t="str">
        <f>'04_MOTOR_CÁLCULO'!A762</f>
        <v>4649-4/04</v>
      </c>
      <c r="B207" s="49" t="str">
        <f>'04_MOTOR_CÁLCULO'!B762</f>
        <v>G</v>
      </c>
      <c r="C207" s="101" t="str">
        <f>'04_MOTOR_CÁLCULO'!C762</f>
        <v>Comércio atacadista de móveis e artigos de colchoaria</v>
      </c>
      <c r="D207" s="14" t="str">
        <f>'04_MOTOR_CÁLCULO'!D762</f>
        <v>COMÉRCIO POR ATA</v>
      </c>
      <c r="E207" s="78" t="str">
        <f>'04_MOTOR_CÁLCULO'!N762</f>
        <v>CNAE-STG</v>
      </c>
      <c r="F207" s="62">
        <f>'04_MOTOR_CÁLCULO'!K762</f>
        <v>0.9</v>
      </c>
      <c r="G207" s="63">
        <f>'04_MOTOR_CÁLCULO'!K762-1</f>
        <v>-9.9999999999999978E-2</v>
      </c>
      <c r="H207" s="17" t="str">
        <f>'04_MOTOR_CÁLCULO'!M762</f>
        <v>Baixo</v>
      </c>
    </row>
    <row r="208" spans="1:8" ht="13.5" customHeight="1" x14ac:dyDescent="0.25">
      <c r="A208" s="24" t="str">
        <f>'04_MOTOR_CÁLCULO'!A763</f>
        <v>4649-4/05</v>
      </c>
      <c r="B208" s="38" t="str">
        <f>'04_MOTOR_CÁLCULO'!B763</f>
        <v>G</v>
      </c>
      <c r="C208" s="100" t="str">
        <f>'04_MOTOR_CÁLCULO'!C763</f>
        <v>Comércio atacadista de artigos de tapeçaria; persianas e cortinas</v>
      </c>
      <c r="D208" s="25" t="str">
        <f>'04_MOTOR_CÁLCULO'!D763</f>
        <v>COMÉRCIO POR ATA</v>
      </c>
      <c r="E208" s="78" t="str">
        <f>'04_MOTOR_CÁLCULO'!N763</f>
        <v>CNAE-STG</v>
      </c>
      <c r="F208" s="62">
        <f>'04_MOTOR_CÁLCULO'!K763</f>
        <v>0.9</v>
      </c>
      <c r="G208" s="63">
        <f>'04_MOTOR_CÁLCULO'!K763-1</f>
        <v>-9.9999999999999978E-2</v>
      </c>
      <c r="H208" s="17" t="str">
        <f>'04_MOTOR_CÁLCULO'!M763</f>
        <v>Baixo</v>
      </c>
    </row>
    <row r="209" spans="1:8" ht="13.5" customHeight="1" x14ac:dyDescent="0.25">
      <c r="A209" s="13" t="str">
        <f>'04_MOTOR_CÁLCULO'!A764</f>
        <v>4649-4/06</v>
      </c>
      <c r="B209" s="49" t="str">
        <f>'04_MOTOR_CÁLCULO'!B764</f>
        <v>G</v>
      </c>
      <c r="C209" s="101" t="str">
        <f>'04_MOTOR_CÁLCULO'!C764</f>
        <v>Comércio atacadista de lustres, luminárias e abajures</v>
      </c>
      <c r="D209" s="14" t="str">
        <f>'04_MOTOR_CÁLCULO'!D764</f>
        <v>COMÉRCIO POR ATA</v>
      </c>
      <c r="E209" s="78" t="str">
        <f>'04_MOTOR_CÁLCULO'!N764</f>
        <v>CNAE-STG</v>
      </c>
      <c r="F209" s="62">
        <f>'04_MOTOR_CÁLCULO'!K764</f>
        <v>0.9</v>
      </c>
      <c r="G209" s="63">
        <f>'04_MOTOR_CÁLCULO'!K764-1</f>
        <v>-9.9999999999999978E-2</v>
      </c>
      <c r="H209" s="17" t="str">
        <f>'04_MOTOR_CÁLCULO'!M764</f>
        <v>Baixo</v>
      </c>
    </row>
    <row r="210" spans="1:8" ht="13.5" customHeight="1" x14ac:dyDescent="0.25">
      <c r="A210" s="24" t="str">
        <f>'04_MOTOR_CÁLCULO'!A765</f>
        <v>4649-4/07</v>
      </c>
      <c r="B210" s="38" t="str">
        <f>'04_MOTOR_CÁLCULO'!B765</f>
        <v>G</v>
      </c>
      <c r="C210" s="100" t="str">
        <f>'04_MOTOR_CÁLCULO'!C765</f>
        <v>Comércio atacadista de filmes, CDs, DVDs, fitas e discos</v>
      </c>
      <c r="D210" s="25" t="str">
        <f>'04_MOTOR_CÁLCULO'!D765</f>
        <v>COMÉRCIO POR ATA</v>
      </c>
      <c r="E210" s="78" t="str">
        <f>'04_MOTOR_CÁLCULO'!N765</f>
        <v>CNAE-STG</v>
      </c>
      <c r="F210" s="62">
        <f>'04_MOTOR_CÁLCULO'!K765</f>
        <v>0.9</v>
      </c>
      <c r="G210" s="63">
        <f>'04_MOTOR_CÁLCULO'!K765-1</f>
        <v>-9.9999999999999978E-2</v>
      </c>
      <c r="H210" s="17" t="str">
        <f>'04_MOTOR_CÁLCULO'!M765</f>
        <v>Baixo</v>
      </c>
    </row>
    <row r="211" spans="1:8" ht="13.5" customHeight="1" x14ac:dyDescent="0.25">
      <c r="A211" s="13" t="str">
        <f>'04_MOTOR_CÁLCULO'!A766</f>
        <v>4649-4/08</v>
      </c>
      <c r="B211" s="49" t="str">
        <f>'04_MOTOR_CÁLCULO'!B766</f>
        <v>G</v>
      </c>
      <c r="C211" s="101" t="str">
        <f>'04_MOTOR_CÁLCULO'!C766</f>
        <v>Comércio atacadista de produtos de higiene, limpeza e conservação domiciliar</v>
      </c>
      <c r="D211" s="14" t="str">
        <f>'04_MOTOR_CÁLCULO'!D766</f>
        <v>COMÉRCIO POR ATA</v>
      </c>
      <c r="E211" s="78" t="str">
        <f>'04_MOTOR_CÁLCULO'!N766</f>
        <v>CNAE-STG</v>
      </c>
      <c r="F211" s="62">
        <f>'04_MOTOR_CÁLCULO'!K766</f>
        <v>0.9</v>
      </c>
      <c r="G211" s="63">
        <f>'04_MOTOR_CÁLCULO'!K766-1</f>
        <v>-9.9999999999999978E-2</v>
      </c>
      <c r="H211" s="17" t="str">
        <f>'04_MOTOR_CÁLCULO'!M766</f>
        <v>Baixo</v>
      </c>
    </row>
    <row r="212" spans="1:8" ht="13.5" customHeight="1" x14ac:dyDescent="0.25">
      <c r="A212" s="24" t="str">
        <f>'04_MOTOR_CÁLCULO'!A767</f>
        <v>4649-4/09</v>
      </c>
      <c r="B212" s="38" t="str">
        <f>'04_MOTOR_CÁLCULO'!B767</f>
        <v>G</v>
      </c>
      <c r="C212" s="100" t="str">
        <f>'04_MOTOR_CÁLCULO'!C767</f>
        <v>Comércio atacadista de produtos de higiene, limpeza e conservação domiciliar, com atividade de fracionamento e acondicionamento associada</v>
      </c>
      <c r="D212" s="25" t="str">
        <f>'04_MOTOR_CÁLCULO'!D767</f>
        <v>COMÉRCIO POR ATA</v>
      </c>
      <c r="E212" s="78" t="str">
        <f>'04_MOTOR_CÁLCULO'!N767</f>
        <v>CNAE-STG</v>
      </c>
      <c r="F212" s="62">
        <f>'04_MOTOR_CÁLCULO'!K767</f>
        <v>0.9</v>
      </c>
      <c r="G212" s="63">
        <f>'04_MOTOR_CÁLCULO'!K767-1</f>
        <v>-9.9999999999999978E-2</v>
      </c>
      <c r="H212" s="17" t="str">
        <f>'04_MOTOR_CÁLCULO'!M767</f>
        <v>Baixo</v>
      </c>
    </row>
    <row r="213" spans="1:8" ht="13.5" customHeight="1" x14ac:dyDescent="0.25">
      <c r="A213" s="13" t="str">
        <f>'04_MOTOR_CÁLCULO'!A768</f>
        <v>4649-4/10</v>
      </c>
      <c r="B213" s="49" t="str">
        <f>'04_MOTOR_CÁLCULO'!B768</f>
        <v>G</v>
      </c>
      <c r="C213" s="101" t="str">
        <f>'04_MOTOR_CÁLCULO'!C768</f>
        <v>Comércio atacadista de jóias, relógios e bijuterias, inclusive pedras preciosas e semipreciosas lapidadas</v>
      </c>
      <c r="D213" s="14" t="str">
        <f>'04_MOTOR_CÁLCULO'!D768</f>
        <v>COMÉRCIO POR ATA</v>
      </c>
      <c r="E213" s="78" t="str">
        <f>'04_MOTOR_CÁLCULO'!N768</f>
        <v>CNAE-STG</v>
      </c>
      <c r="F213" s="62">
        <f>'04_MOTOR_CÁLCULO'!K768</f>
        <v>0.9</v>
      </c>
      <c r="G213" s="63">
        <f>'04_MOTOR_CÁLCULO'!K768-1</f>
        <v>-9.9999999999999978E-2</v>
      </c>
      <c r="H213" s="17" t="str">
        <f>'04_MOTOR_CÁLCULO'!M768</f>
        <v>Baixo</v>
      </c>
    </row>
    <row r="214" spans="1:8" ht="13.5" customHeight="1" x14ac:dyDescent="0.25">
      <c r="A214" s="24" t="str">
        <f>'04_MOTOR_CÁLCULO'!A769</f>
        <v>4649-4/99</v>
      </c>
      <c r="B214" s="38" t="str">
        <f>'04_MOTOR_CÁLCULO'!B769</f>
        <v>G</v>
      </c>
      <c r="C214" s="100" t="str">
        <f>'04_MOTOR_CÁLCULO'!C769</f>
        <v>Comércio atacadista de outros equipamentos e artigos de uso pessoal e doméstico não especificados anteriormente</v>
      </c>
      <c r="D214" s="25" t="str">
        <f>'04_MOTOR_CÁLCULO'!D769</f>
        <v>COMÉRCIO POR ATA</v>
      </c>
      <c r="E214" s="78" t="str">
        <f>'04_MOTOR_CÁLCULO'!N769</f>
        <v>CNAE-STG</v>
      </c>
      <c r="F214" s="62">
        <f>'04_MOTOR_CÁLCULO'!K769</f>
        <v>0.9</v>
      </c>
      <c r="G214" s="63">
        <f>'04_MOTOR_CÁLCULO'!K769-1</f>
        <v>-9.9999999999999978E-2</v>
      </c>
      <c r="H214" s="17" t="str">
        <f>'04_MOTOR_CÁLCULO'!M769</f>
        <v>Baixo</v>
      </c>
    </row>
    <row r="215" spans="1:8" ht="13.5" customHeight="1" x14ac:dyDescent="0.25">
      <c r="A215" s="13" t="str">
        <f>'04_MOTOR_CÁLCULO'!A770</f>
        <v>4651-6/01</v>
      </c>
      <c r="B215" s="49" t="str">
        <f>'04_MOTOR_CÁLCULO'!B770</f>
        <v>G</v>
      </c>
      <c r="C215" s="101" t="str">
        <f>'04_MOTOR_CÁLCULO'!C770</f>
        <v>Comércio atacadista de equipamentos de informática</v>
      </c>
      <c r="D215" s="14" t="str">
        <f>'04_MOTOR_CÁLCULO'!D770</f>
        <v>COMÉRCIO POR ATA</v>
      </c>
      <c r="E215" s="78" t="str">
        <f>'04_MOTOR_CÁLCULO'!N770</f>
        <v>CNAE-STG</v>
      </c>
      <c r="F215" s="62">
        <f>'04_MOTOR_CÁLCULO'!K770</f>
        <v>0.9</v>
      </c>
      <c r="G215" s="63">
        <f>'04_MOTOR_CÁLCULO'!K770-1</f>
        <v>-9.9999999999999978E-2</v>
      </c>
      <c r="H215" s="17" t="str">
        <f>'04_MOTOR_CÁLCULO'!M770</f>
        <v>Baixo</v>
      </c>
    </row>
    <row r="216" spans="1:8" ht="13.5" customHeight="1" x14ac:dyDescent="0.25">
      <c r="A216" s="24" t="str">
        <f>'04_MOTOR_CÁLCULO'!A771</f>
        <v>4651-6/02</v>
      </c>
      <c r="B216" s="38" t="str">
        <f>'04_MOTOR_CÁLCULO'!B771</f>
        <v>G</v>
      </c>
      <c r="C216" s="100" t="str">
        <f>'04_MOTOR_CÁLCULO'!C771</f>
        <v>Comércio atacadista de suprimentos para informática</v>
      </c>
      <c r="D216" s="25" t="str">
        <f>'04_MOTOR_CÁLCULO'!D771</f>
        <v>COMÉRCIO POR ATA</v>
      </c>
      <c r="E216" s="78" t="str">
        <f>'04_MOTOR_CÁLCULO'!N771</f>
        <v>CNAE-STG</v>
      </c>
      <c r="F216" s="62">
        <f>'04_MOTOR_CÁLCULO'!K771</f>
        <v>0.9</v>
      </c>
      <c r="G216" s="63">
        <f>'04_MOTOR_CÁLCULO'!K771-1</f>
        <v>-9.9999999999999978E-2</v>
      </c>
      <c r="H216" s="17" t="str">
        <f>'04_MOTOR_CÁLCULO'!M771</f>
        <v>Baixo</v>
      </c>
    </row>
    <row r="217" spans="1:8" ht="13.5" customHeight="1" x14ac:dyDescent="0.25">
      <c r="A217" s="13" t="str">
        <f>'04_MOTOR_CÁLCULO'!A772</f>
        <v>4652-4/00</v>
      </c>
      <c r="B217" s="49" t="str">
        <f>'04_MOTOR_CÁLCULO'!B772</f>
        <v>G</v>
      </c>
      <c r="C217" s="101" t="str">
        <f>'04_MOTOR_CÁLCULO'!C772</f>
        <v>Comércio atacadista de componentes eletrônicos e equipamentos de telefonia e comunicação</v>
      </c>
      <c r="D217" s="14" t="str">
        <f>'04_MOTOR_CÁLCULO'!D772</f>
        <v>COMÉRCIO POR ATA</v>
      </c>
      <c r="E217" s="78" t="str">
        <f>'04_MOTOR_CÁLCULO'!N772</f>
        <v>CNAE-STG</v>
      </c>
      <c r="F217" s="62">
        <f>'04_MOTOR_CÁLCULO'!K772</f>
        <v>0.9</v>
      </c>
      <c r="G217" s="63">
        <f>'04_MOTOR_CÁLCULO'!K772-1</f>
        <v>-9.9999999999999978E-2</v>
      </c>
      <c r="H217" s="17" t="str">
        <f>'04_MOTOR_CÁLCULO'!M772</f>
        <v>Baixo</v>
      </c>
    </row>
    <row r="218" spans="1:8" ht="13.5" customHeight="1" x14ac:dyDescent="0.25">
      <c r="A218" s="24" t="str">
        <f>'04_MOTOR_CÁLCULO'!A773</f>
        <v>4661-3/00</v>
      </c>
      <c r="B218" s="38" t="str">
        <f>'04_MOTOR_CÁLCULO'!B773</f>
        <v>G</v>
      </c>
      <c r="C218" s="100" t="str">
        <f>'04_MOTOR_CÁLCULO'!C773</f>
        <v>Comércio atacadista de máquinas, aparelhos e equipamentos para uso agropecuário; partes e peças</v>
      </c>
      <c r="D218" s="25" t="str">
        <f>'04_MOTOR_CÁLCULO'!D773</f>
        <v>COMÉRCIO POR ATA</v>
      </c>
      <c r="E218" s="78" t="str">
        <f>'04_MOTOR_CÁLCULO'!N773</f>
        <v>CNAE-STG</v>
      </c>
      <c r="F218" s="62">
        <f>'04_MOTOR_CÁLCULO'!K773</f>
        <v>0.9</v>
      </c>
      <c r="G218" s="63">
        <f>'04_MOTOR_CÁLCULO'!K773-1</f>
        <v>-9.9999999999999978E-2</v>
      </c>
      <c r="H218" s="17" t="str">
        <f>'04_MOTOR_CÁLCULO'!M773</f>
        <v>Baixo</v>
      </c>
    </row>
    <row r="219" spans="1:8" ht="13.5" customHeight="1" x14ac:dyDescent="0.25">
      <c r="A219" s="13" t="str">
        <f>'04_MOTOR_CÁLCULO'!A774</f>
        <v>4662-1/00</v>
      </c>
      <c r="B219" s="49" t="str">
        <f>'04_MOTOR_CÁLCULO'!B774</f>
        <v>G</v>
      </c>
      <c r="C219" s="101" t="str">
        <f>'04_MOTOR_CÁLCULO'!C774</f>
        <v>Comércio atacadista de máquinas, equipamentos para terraplenagem, mineração e construção; partes e peças</v>
      </c>
      <c r="D219" s="14" t="str">
        <f>'04_MOTOR_CÁLCULO'!D774</f>
        <v>COMÉRCIO POR ATA</v>
      </c>
      <c r="E219" s="78" t="str">
        <f>'04_MOTOR_CÁLCULO'!N774</f>
        <v>CNAE-STG</v>
      </c>
      <c r="F219" s="62">
        <f>'04_MOTOR_CÁLCULO'!K774</f>
        <v>0.9</v>
      </c>
      <c r="G219" s="63">
        <f>'04_MOTOR_CÁLCULO'!K774-1</f>
        <v>-9.9999999999999978E-2</v>
      </c>
      <c r="H219" s="17" t="str">
        <f>'04_MOTOR_CÁLCULO'!M774</f>
        <v>Baixo</v>
      </c>
    </row>
    <row r="220" spans="1:8" ht="13.5" customHeight="1" x14ac:dyDescent="0.25">
      <c r="A220" s="24" t="str">
        <f>'04_MOTOR_CÁLCULO'!A775</f>
        <v>4663-0/00</v>
      </c>
      <c r="B220" s="38" t="str">
        <f>'04_MOTOR_CÁLCULO'!B775</f>
        <v>G</v>
      </c>
      <c r="C220" s="100" t="str">
        <f>'04_MOTOR_CÁLCULO'!C775</f>
        <v>Comércio atacadista de máquinas e equipamentos para uso industrial; partes e peças</v>
      </c>
      <c r="D220" s="25" t="str">
        <f>'04_MOTOR_CÁLCULO'!D775</f>
        <v>COMÉRCIO POR ATA</v>
      </c>
      <c r="E220" s="78" t="str">
        <f>'04_MOTOR_CÁLCULO'!N775</f>
        <v>CNAE-STG</v>
      </c>
      <c r="F220" s="62">
        <f>'04_MOTOR_CÁLCULO'!K775</f>
        <v>0.9</v>
      </c>
      <c r="G220" s="63">
        <f>'04_MOTOR_CÁLCULO'!K775-1</f>
        <v>-9.9999999999999978E-2</v>
      </c>
      <c r="H220" s="17" t="str">
        <f>'04_MOTOR_CÁLCULO'!M775</f>
        <v>Baixo</v>
      </c>
    </row>
    <row r="221" spans="1:8" ht="13.5" customHeight="1" x14ac:dyDescent="0.25">
      <c r="A221" s="13" t="str">
        <f>'04_MOTOR_CÁLCULO'!A776</f>
        <v>4664-8/00</v>
      </c>
      <c r="B221" s="49" t="str">
        <f>'04_MOTOR_CÁLCULO'!B776</f>
        <v>G</v>
      </c>
      <c r="C221" s="101" t="str">
        <f>'04_MOTOR_CÁLCULO'!C776</f>
        <v>Comércio atacadista de máquinas, aparelhos e equipamentos para uso odonto-médico-hospitalar; partes e peças</v>
      </c>
      <c r="D221" s="14" t="str">
        <f>'04_MOTOR_CÁLCULO'!D776</f>
        <v>COMÉRCIO POR ATA</v>
      </c>
      <c r="E221" s="78" t="str">
        <f>'04_MOTOR_CÁLCULO'!N776</f>
        <v>CNAE-STG</v>
      </c>
      <c r="F221" s="62">
        <f>'04_MOTOR_CÁLCULO'!K776</f>
        <v>0.9</v>
      </c>
      <c r="G221" s="63">
        <f>'04_MOTOR_CÁLCULO'!K776-1</f>
        <v>-9.9999999999999978E-2</v>
      </c>
      <c r="H221" s="17" t="str">
        <f>'04_MOTOR_CÁLCULO'!M776</f>
        <v>Baixo</v>
      </c>
    </row>
    <row r="222" spans="1:8" ht="13.5" customHeight="1" x14ac:dyDescent="0.25">
      <c r="A222" s="24" t="str">
        <f>'04_MOTOR_CÁLCULO'!A777</f>
        <v>4665-6/00</v>
      </c>
      <c r="B222" s="38" t="str">
        <f>'04_MOTOR_CÁLCULO'!B777</f>
        <v>G</v>
      </c>
      <c r="C222" s="100" t="str">
        <f>'04_MOTOR_CÁLCULO'!C777</f>
        <v>Comércio atacadista de máquinas e equipamentos para uso comercial; partes e peças</v>
      </c>
      <c r="D222" s="25" t="str">
        <f>'04_MOTOR_CÁLCULO'!D777</f>
        <v>COMÉRCIO POR ATA</v>
      </c>
      <c r="E222" s="78" t="str">
        <f>'04_MOTOR_CÁLCULO'!N777</f>
        <v>CNAE-STG</v>
      </c>
      <c r="F222" s="62">
        <f>'04_MOTOR_CÁLCULO'!K777</f>
        <v>0.9</v>
      </c>
      <c r="G222" s="63">
        <f>'04_MOTOR_CÁLCULO'!K777-1</f>
        <v>-9.9999999999999978E-2</v>
      </c>
      <c r="H222" s="17" t="str">
        <f>'04_MOTOR_CÁLCULO'!M777</f>
        <v>Baixo</v>
      </c>
    </row>
    <row r="223" spans="1:8" ht="13.5" customHeight="1" x14ac:dyDescent="0.25">
      <c r="A223" s="13" t="str">
        <f>'04_MOTOR_CÁLCULO'!A778</f>
        <v>4669-9/01</v>
      </c>
      <c r="B223" s="49" t="str">
        <f>'04_MOTOR_CÁLCULO'!B778</f>
        <v>G</v>
      </c>
      <c r="C223" s="101" t="str">
        <f>'04_MOTOR_CÁLCULO'!C778</f>
        <v>Comércio atacadista de bombas e compressores; partes e peças</v>
      </c>
      <c r="D223" s="14" t="str">
        <f>'04_MOTOR_CÁLCULO'!D778</f>
        <v>COMÉRCIO POR ATA</v>
      </c>
      <c r="E223" s="78" t="str">
        <f>'04_MOTOR_CÁLCULO'!N778</f>
        <v>CNAE-STG</v>
      </c>
      <c r="F223" s="62">
        <f>'04_MOTOR_CÁLCULO'!K778</f>
        <v>0.9</v>
      </c>
      <c r="G223" s="63">
        <f>'04_MOTOR_CÁLCULO'!K778-1</f>
        <v>-9.9999999999999978E-2</v>
      </c>
      <c r="H223" s="17" t="str">
        <f>'04_MOTOR_CÁLCULO'!M778</f>
        <v>Baixo</v>
      </c>
    </row>
    <row r="224" spans="1:8" ht="13.5" customHeight="1" x14ac:dyDescent="0.25">
      <c r="A224" s="24" t="str">
        <f>'04_MOTOR_CÁLCULO'!A779</f>
        <v>4669-9/99</v>
      </c>
      <c r="B224" s="38" t="str">
        <f>'04_MOTOR_CÁLCULO'!B779</f>
        <v>G</v>
      </c>
      <c r="C224" s="100" t="str">
        <f>'04_MOTOR_CÁLCULO'!C779</f>
        <v>Comércio atacadista de outras máquinas e equipamentos não especificados anteriormente; partes e peças</v>
      </c>
      <c r="D224" s="25" t="str">
        <f>'04_MOTOR_CÁLCULO'!D779</f>
        <v>COMÉRCIO POR ATA</v>
      </c>
      <c r="E224" s="78" t="str">
        <f>'04_MOTOR_CÁLCULO'!N779</f>
        <v>CNAE-STG</v>
      </c>
      <c r="F224" s="62">
        <f>'04_MOTOR_CÁLCULO'!K779</f>
        <v>0.9</v>
      </c>
      <c r="G224" s="63">
        <f>'04_MOTOR_CÁLCULO'!K779-1</f>
        <v>-9.9999999999999978E-2</v>
      </c>
      <c r="H224" s="17" t="str">
        <f>'04_MOTOR_CÁLCULO'!M779</f>
        <v>Baixo</v>
      </c>
    </row>
    <row r="225" spans="1:8" ht="13.5" customHeight="1" x14ac:dyDescent="0.25">
      <c r="A225" s="13" t="str">
        <f>'04_MOTOR_CÁLCULO'!A780</f>
        <v>4671-1/00</v>
      </c>
      <c r="B225" s="49" t="str">
        <f>'04_MOTOR_CÁLCULO'!B780</f>
        <v>G</v>
      </c>
      <c r="C225" s="101" t="str">
        <f>'04_MOTOR_CÁLCULO'!C780</f>
        <v>Comércio atacadista de madeira e produtos derivados</v>
      </c>
      <c r="D225" s="14" t="str">
        <f>'04_MOTOR_CÁLCULO'!D780</f>
        <v>COMÉRCIO POR ATA</v>
      </c>
      <c r="E225" s="78" t="str">
        <f>'04_MOTOR_CÁLCULO'!N780</f>
        <v>CNAE-STG</v>
      </c>
      <c r="F225" s="62">
        <f>'04_MOTOR_CÁLCULO'!K780</f>
        <v>0.9</v>
      </c>
      <c r="G225" s="63">
        <f>'04_MOTOR_CÁLCULO'!K780-1</f>
        <v>-9.9999999999999978E-2</v>
      </c>
      <c r="H225" s="17" t="str">
        <f>'04_MOTOR_CÁLCULO'!M780</f>
        <v>Baixo</v>
      </c>
    </row>
    <row r="226" spans="1:8" ht="13.5" customHeight="1" x14ac:dyDescent="0.25">
      <c r="A226" s="24" t="str">
        <f>'04_MOTOR_CÁLCULO'!A781</f>
        <v>4672-9/00</v>
      </c>
      <c r="B226" s="38" t="str">
        <f>'04_MOTOR_CÁLCULO'!B781</f>
        <v>G</v>
      </c>
      <c r="C226" s="100" t="str">
        <f>'04_MOTOR_CÁLCULO'!C781</f>
        <v>Comércio atacadista de ferragens e ferramentas</v>
      </c>
      <c r="D226" s="25" t="str">
        <f>'04_MOTOR_CÁLCULO'!D781</f>
        <v>COMÉRCIO POR ATA</v>
      </c>
      <c r="E226" s="78" t="str">
        <f>'04_MOTOR_CÁLCULO'!N781</f>
        <v>CNAE-STG</v>
      </c>
      <c r="F226" s="62">
        <f>'04_MOTOR_CÁLCULO'!K781</f>
        <v>0.9</v>
      </c>
      <c r="G226" s="63">
        <f>'04_MOTOR_CÁLCULO'!K781-1</f>
        <v>-9.9999999999999978E-2</v>
      </c>
      <c r="H226" s="17" t="str">
        <f>'04_MOTOR_CÁLCULO'!M781</f>
        <v>Baixo</v>
      </c>
    </row>
    <row r="227" spans="1:8" ht="13.5" customHeight="1" x14ac:dyDescent="0.25">
      <c r="A227" s="13" t="str">
        <f>'04_MOTOR_CÁLCULO'!A782</f>
        <v>4673-7/00</v>
      </c>
      <c r="B227" s="49" t="str">
        <f>'04_MOTOR_CÁLCULO'!B782</f>
        <v>G</v>
      </c>
      <c r="C227" s="101" t="str">
        <f>'04_MOTOR_CÁLCULO'!C782</f>
        <v>Comércio atacadista de material elétrico</v>
      </c>
      <c r="D227" s="14" t="str">
        <f>'04_MOTOR_CÁLCULO'!D782</f>
        <v>COMÉRCIO POR ATA</v>
      </c>
      <c r="E227" s="78" t="str">
        <f>'04_MOTOR_CÁLCULO'!N782</f>
        <v>CNAE-STG</v>
      </c>
      <c r="F227" s="62">
        <f>'04_MOTOR_CÁLCULO'!K782</f>
        <v>0.9</v>
      </c>
      <c r="G227" s="63">
        <f>'04_MOTOR_CÁLCULO'!K782-1</f>
        <v>-9.9999999999999978E-2</v>
      </c>
      <c r="H227" s="17" t="str">
        <f>'04_MOTOR_CÁLCULO'!M782</f>
        <v>Baixo</v>
      </c>
    </row>
    <row r="228" spans="1:8" ht="13.5" customHeight="1" x14ac:dyDescent="0.25">
      <c r="A228" s="24" t="str">
        <f>'04_MOTOR_CÁLCULO'!A783</f>
        <v>4674-5/00</v>
      </c>
      <c r="B228" s="38" t="str">
        <f>'04_MOTOR_CÁLCULO'!B783</f>
        <v>G</v>
      </c>
      <c r="C228" s="100" t="str">
        <f>'04_MOTOR_CÁLCULO'!C783</f>
        <v>Comércio atacadista de cimento</v>
      </c>
      <c r="D228" s="25" t="str">
        <f>'04_MOTOR_CÁLCULO'!D783</f>
        <v>COMÉRCIO POR ATA</v>
      </c>
      <c r="E228" s="78" t="str">
        <f>'04_MOTOR_CÁLCULO'!N783</f>
        <v>CNAE-STG</v>
      </c>
      <c r="F228" s="62">
        <f>'04_MOTOR_CÁLCULO'!K783</f>
        <v>0.9</v>
      </c>
      <c r="G228" s="63">
        <f>'04_MOTOR_CÁLCULO'!K783-1</f>
        <v>-9.9999999999999978E-2</v>
      </c>
      <c r="H228" s="17" t="str">
        <f>'04_MOTOR_CÁLCULO'!M783</f>
        <v>Baixo</v>
      </c>
    </row>
    <row r="229" spans="1:8" ht="13.5" customHeight="1" x14ac:dyDescent="0.25">
      <c r="A229" s="13" t="str">
        <f>'04_MOTOR_CÁLCULO'!A784</f>
        <v>4679-6/01</v>
      </c>
      <c r="B229" s="49" t="str">
        <f>'04_MOTOR_CÁLCULO'!B784</f>
        <v>G</v>
      </c>
      <c r="C229" s="101" t="str">
        <f>'04_MOTOR_CÁLCULO'!C784</f>
        <v>Comércio atacadista de tintas, vernizes e similares</v>
      </c>
      <c r="D229" s="14" t="str">
        <f>'04_MOTOR_CÁLCULO'!D784</f>
        <v>COMÉRCIO POR ATA</v>
      </c>
      <c r="E229" s="78" t="str">
        <f>'04_MOTOR_CÁLCULO'!N784</f>
        <v>CNAE-STG</v>
      </c>
      <c r="F229" s="62">
        <f>'04_MOTOR_CÁLCULO'!K784</f>
        <v>0.9</v>
      </c>
      <c r="G229" s="63">
        <f>'04_MOTOR_CÁLCULO'!K784-1</f>
        <v>-9.9999999999999978E-2</v>
      </c>
      <c r="H229" s="17" t="str">
        <f>'04_MOTOR_CÁLCULO'!M784</f>
        <v>Baixo</v>
      </c>
    </row>
    <row r="230" spans="1:8" ht="13.5" customHeight="1" x14ac:dyDescent="0.25">
      <c r="A230" s="24" t="str">
        <f>'04_MOTOR_CÁLCULO'!A785</f>
        <v>4679-6/02</v>
      </c>
      <c r="B230" s="38" t="str">
        <f>'04_MOTOR_CÁLCULO'!B785</f>
        <v>G</v>
      </c>
      <c r="C230" s="100" t="str">
        <f>'04_MOTOR_CÁLCULO'!C785</f>
        <v>Comércio atacadista de mármores e granitos</v>
      </c>
      <c r="D230" s="25" t="str">
        <f>'04_MOTOR_CÁLCULO'!D785</f>
        <v>COMÉRCIO POR ATA</v>
      </c>
      <c r="E230" s="78" t="str">
        <f>'04_MOTOR_CÁLCULO'!N785</f>
        <v>CNAE-STG</v>
      </c>
      <c r="F230" s="62">
        <f>'04_MOTOR_CÁLCULO'!K785</f>
        <v>0.9</v>
      </c>
      <c r="G230" s="63">
        <f>'04_MOTOR_CÁLCULO'!K785-1</f>
        <v>-9.9999999999999978E-2</v>
      </c>
      <c r="H230" s="17" t="str">
        <f>'04_MOTOR_CÁLCULO'!M785</f>
        <v>Baixo</v>
      </c>
    </row>
    <row r="231" spans="1:8" ht="13.5" customHeight="1" x14ac:dyDescent="0.25">
      <c r="A231" s="13" t="str">
        <f>'04_MOTOR_CÁLCULO'!A786</f>
        <v>4679-6/03</v>
      </c>
      <c r="B231" s="49" t="str">
        <f>'04_MOTOR_CÁLCULO'!B786</f>
        <v>G</v>
      </c>
      <c r="C231" s="101" t="str">
        <f>'04_MOTOR_CÁLCULO'!C786</f>
        <v>Comércio atacadista de vidros, espelhos e vitrais</v>
      </c>
      <c r="D231" s="14" t="str">
        <f>'04_MOTOR_CÁLCULO'!D786</f>
        <v>COMÉRCIO POR ATA</v>
      </c>
      <c r="E231" s="78" t="str">
        <f>'04_MOTOR_CÁLCULO'!N786</f>
        <v>CNAE-STG</v>
      </c>
      <c r="F231" s="62">
        <f>'04_MOTOR_CÁLCULO'!K786</f>
        <v>0.9</v>
      </c>
      <c r="G231" s="63">
        <f>'04_MOTOR_CÁLCULO'!K786-1</f>
        <v>-9.9999999999999978E-2</v>
      </c>
      <c r="H231" s="17" t="str">
        <f>'04_MOTOR_CÁLCULO'!M786</f>
        <v>Baixo</v>
      </c>
    </row>
    <row r="232" spans="1:8" ht="13.5" customHeight="1" x14ac:dyDescent="0.25">
      <c r="A232" s="24" t="str">
        <f>'04_MOTOR_CÁLCULO'!A787</f>
        <v>4679-6/04</v>
      </c>
      <c r="B232" s="38" t="str">
        <f>'04_MOTOR_CÁLCULO'!B787</f>
        <v>G</v>
      </c>
      <c r="C232" s="100" t="str">
        <f>'04_MOTOR_CÁLCULO'!C787</f>
        <v>Comércio atacadista especializado de materiais de construção não especificados anteriormente</v>
      </c>
      <c r="D232" s="25" t="str">
        <f>'04_MOTOR_CÁLCULO'!D787</f>
        <v>COMÉRCIO POR ATA</v>
      </c>
      <c r="E232" s="78" t="str">
        <f>'04_MOTOR_CÁLCULO'!N787</f>
        <v>CNAE-STG</v>
      </c>
      <c r="F232" s="62">
        <f>'04_MOTOR_CÁLCULO'!K787</f>
        <v>0.9</v>
      </c>
      <c r="G232" s="63">
        <f>'04_MOTOR_CÁLCULO'!K787-1</f>
        <v>-9.9999999999999978E-2</v>
      </c>
      <c r="H232" s="17" t="str">
        <f>'04_MOTOR_CÁLCULO'!M787</f>
        <v>Baixo</v>
      </c>
    </row>
    <row r="233" spans="1:8" ht="13.5" customHeight="1" x14ac:dyDescent="0.25">
      <c r="A233" s="13" t="str">
        <f>'04_MOTOR_CÁLCULO'!A788</f>
        <v>4679-6/99</v>
      </c>
      <c r="B233" s="49" t="str">
        <f>'04_MOTOR_CÁLCULO'!B788</f>
        <v>G</v>
      </c>
      <c r="C233" s="101" t="str">
        <f>'04_MOTOR_CÁLCULO'!C788</f>
        <v>Comércio atacadista de materiais de construção em geral</v>
      </c>
      <c r="D233" s="14" t="str">
        <f>'04_MOTOR_CÁLCULO'!D788</f>
        <v>COMÉRCIO POR ATA</v>
      </c>
      <c r="E233" s="78" t="str">
        <f>'04_MOTOR_CÁLCULO'!N788</f>
        <v>CNAE-STG</v>
      </c>
      <c r="F233" s="62">
        <f>'04_MOTOR_CÁLCULO'!K788</f>
        <v>0.9</v>
      </c>
      <c r="G233" s="63">
        <f>'04_MOTOR_CÁLCULO'!K788-1</f>
        <v>-9.9999999999999978E-2</v>
      </c>
      <c r="H233" s="17" t="str">
        <f>'04_MOTOR_CÁLCULO'!M788</f>
        <v>Baixo</v>
      </c>
    </row>
    <row r="234" spans="1:8" ht="13.5" customHeight="1" x14ac:dyDescent="0.25">
      <c r="A234" s="24" t="str">
        <f>'04_MOTOR_CÁLCULO'!A808</f>
        <v>4691-5/00</v>
      </c>
      <c r="B234" s="38" t="str">
        <f>'04_MOTOR_CÁLCULO'!B808</f>
        <v>G</v>
      </c>
      <c r="C234" s="100" t="str">
        <f>'04_MOTOR_CÁLCULO'!C808</f>
        <v>Comércio atacadista de mercadorias em geral, com predominância de produtos alimentícios</v>
      </c>
      <c r="D234" s="25" t="str">
        <f>'04_MOTOR_CÁLCULO'!D808</f>
        <v>COMÉRCIO POR ATA</v>
      </c>
      <c r="E234" s="78" t="str">
        <f>'04_MOTOR_CÁLCULO'!N808</f>
        <v>CNAE-STG</v>
      </c>
      <c r="F234" s="62">
        <f>'04_MOTOR_CÁLCULO'!K808</f>
        <v>0.9</v>
      </c>
      <c r="G234" s="63">
        <f>'04_MOTOR_CÁLCULO'!K808-1</f>
        <v>-9.9999999999999978E-2</v>
      </c>
      <c r="H234" s="17" t="str">
        <f>'04_MOTOR_CÁLCULO'!M808</f>
        <v>Baixo</v>
      </c>
    </row>
    <row r="235" spans="1:8" ht="13.5" customHeight="1" x14ac:dyDescent="0.25">
      <c r="A235" s="13" t="str">
        <f>'04_MOTOR_CÁLCULO'!A809</f>
        <v>4692-3/00</v>
      </c>
      <c r="B235" s="49" t="str">
        <f>'04_MOTOR_CÁLCULO'!B809</f>
        <v>G</v>
      </c>
      <c r="C235" s="101" t="str">
        <f>'04_MOTOR_CÁLCULO'!C809</f>
        <v>Comércio atacadista de mercadorias em geral, com predominância de insumos agropecuários</v>
      </c>
      <c r="D235" s="14" t="str">
        <f>'04_MOTOR_CÁLCULO'!D809</f>
        <v>COMÉRCIO POR ATA</v>
      </c>
      <c r="E235" s="78" t="str">
        <f>'04_MOTOR_CÁLCULO'!N809</f>
        <v>CNAE-STG</v>
      </c>
      <c r="F235" s="62">
        <f>'04_MOTOR_CÁLCULO'!K809</f>
        <v>0.9</v>
      </c>
      <c r="G235" s="63">
        <f>'04_MOTOR_CÁLCULO'!K809-1</f>
        <v>-9.9999999999999978E-2</v>
      </c>
      <c r="H235" s="17" t="str">
        <f>'04_MOTOR_CÁLCULO'!M809</f>
        <v>Baixo</v>
      </c>
    </row>
    <row r="236" spans="1:8" ht="13.5" customHeight="1" x14ac:dyDescent="0.25">
      <c r="A236" s="24" t="str">
        <f>'04_MOTOR_CÁLCULO'!A810</f>
        <v>4693-1/00</v>
      </c>
      <c r="B236" s="38" t="str">
        <f>'04_MOTOR_CÁLCULO'!B810</f>
        <v>G</v>
      </c>
      <c r="C236" s="100" t="str">
        <f>'04_MOTOR_CÁLCULO'!C810</f>
        <v>Comércio atacadista de mercadorias em geral, sem predominância de alimentos ou de insumos agropecuários</v>
      </c>
      <c r="D236" s="25" t="str">
        <f>'04_MOTOR_CÁLCULO'!D810</f>
        <v>COMÉRCIO POR ATA</v>
      </c>
      <c r="E236" s="78" t="str">
        <f>'04_MOTOR_CÁLCULO'!N810</f>
        <v>CNAE-STG</v>
      </c>
      <c r="F236" s="62">
        <f>'04_MOTOR_CÁLCULO'!K810</f>
        <v>0.9</v>
      </c>
      <c r="G236" s="63">
        <f>'04_MOTOR_CÁLCULO'!K810-1</f>
        <v>-9.9999999999999978E-2</v>
      </c>
      <c r="H236" s="17" t="str">
        <f>'04_MOTOR_CÁLCULO'!M810</f>
        <v>Baixo</v>
      </c>
    </row>
    <row r="237" spans="1:8" ht="13.5" customHeight="1" x14ac:dyDescent="0.25">
      <c r="A237" s="13" t="str">
        <f>'04_MOTOR_CÁLCULO'!A811</f>
        <v>4711-3/01</v>
      </c>
      <c r="B237" s="49" t="str">
        <f>'04_MOTOR_CÁLCULO'!B811</f>
        <v>G</v>
      </c>
      <c r="C237" s="101" t="str">
        <f>'04_MOTOR_CÁLCULO'!C811</f>
        <v>Comércio varejista de mercadorias em geral, com predominância de produtos alimentícios - hipermercados</v>
      </c>
      <c r="D237" s="14" t="str">
        <f>'04_MOTOR_CÁLCULO'!D811</f>
        <v>COMÉRCIO VAREJIS</v>
      </c>
      <c r="E237" s="78" t="str">
        <f>'04_MOTOR_CÁLCULO'!N811</f>
        <v>CNAE-STG</v>
      </c>
      <c r="F237" s="62">
        <f>'04_MOTOR_CÁLCULO'!K811</f>
        <v>0.9</v>
      </c>
      <c r="G237" s="63">
        <f>'04_MOTOR_CÁLCULO'!K811-1</f>
        <v>-9.9999999999999978E-2</v>
      </c>
      <c r="H237" s="17" t="str">
        <f>'04_MOTOR_CÁLCULO'!M811</f>
        <v>Baixo</v>
      </c>
    </row>
    <row r="238" spans="1:8" ht="13.5" customHeight="1" x14ac:dyDescent="0.25">
      <c r="A238" s="24" t="str">
        <f>'04_MOTOR_CÁLCULO'!A812</f>
        <v>4711-3/02</v>
      </c>
      <c r="B238" s="38" t="str">
        <f>'04_MOTOR_CÁLCULO'!B812</f>
        <v>G</v>
      </c>
      <c r="C238" s="100" t="str">
        <f>'04_MOTOR_CÁLCULO'!C812</f>
        <v>Comércio varejista de mercadorias em geral, com predominância de produtos alimentícios - supermercados</v>
      </c>
      <c r="D238" s="25" t="str">
        <f>'04_MOTOR_CÁLCULO'!D812</f>
        <v>COMÉRCIO VAREJIS</v>
      </c>
      <c r="E238" s="78" t="str">
        <f>'04_MOTOR_CÁLCULO'!N812</f>
        <v>CNAE-STG</v>
      </c>
      <c r="F238" s="62">
        <f>'04_MOTOR_CÁLCULO'!K812</f>
        <v>0.9</v>
      </c>
      <c r="G238" s="63">
        <f>'04_MOTOR_CÁLCULO'!K812-1</f>
        <v>-9.9999999999999978E-2</v>
      </c>
      <c r="H238" s="17" t="str">
        <f>'04_MOTOR_CÁLCULO'!M812</f>
        <v>Baixo</v>
      </c>
    </row>
    <row r="239" spans="1:8" ht="13.5" customHeight="1" x14ac:dyDescent="0.25">
      <c r="A239" s="13" t="str">
        <f>'04_MOTOR_CÁLCULO'!A813</f>
        <v>4712-1/00</v>
      </c>
      <c r="B239" s="49" t="str">
        <f>'04_MOTOR_CÁLCULO'!B813</f>
        <v>G</v>
      </c>
      <c r="C239" s="101" t="str">
        <f>'04_MOTOR_CÁLCULO'!C813</f>
        <v>Comércio varejista de mercadorias em geral, com predominância de produtos alimentícios - minimercados, mercearias e armazéns</v>
      </c>
      <c r="D239" s="14" t="str">
        <f>'04_MOTOR_CÁLCULO'!D813</f>
        <v>COMÉRCIO VAREJIS</v>
      </c>
      <c r="E239" s="78" t="str">
        <f>'04_MOTOR_CÁLCULO'!N813</f>
        <v>CNAE-STG</v>
      </c>
      <c r="F239" s="62">
        <f>'04_MOTOR_CÁLCULO'!K813</f>
        <v>0.9</v>
      </c>
      <c r="G239" s="63">
        <f>'04_MOTOR_CÁLCULO'!K813-1</f>
        <v>-9.9999999999999978E-2</v>
      </c>
      <c r="H239" s="17" t="str">
        <f>'04_MOTOR_CÁLCULO'!M813</f>
        <v>Baixo</v>
      </c>
    </row>
    <row r="240" spans="1:8" ht="13.5" customHeight="1" x14ac:dyDescent="0.25">
      <c r="A240" s="24" t="str">
        <f>'04_MOTOR_CÁLCULO'!A814</f>
        <v>4713-0/02</v>
      </c>
      <c r="B240" s="38" t="str">
        <f>'04_MOTOR_CÁLCULO'!B814</f>
        <v>G</v>
      </c>
      <c r="C240" s="100" t="str">
        <f>'04_MOTOR_CÁLCULO'!C814</f>
        <v>Lojas de variedades, exceto lojas de departamentos ou magazines</v>
      </c>
      <c r="D240" s="25" t="str">
        <f>'04_MOTOR_CÁLCULO'!D814</f>
        <v>COMÉRCIO VAREJIS</v>
      </c>
      <c r="E240" s="78" t="str">
        <f>'04_MOTOR_CÁLCULO'!N814</f>
        <v>CNAE-STG</v>
      </c>
      <c r="F240" s="62">
        <f>'04_MOTOR_CÁLCULO'!K814</f>
        <v>0.9</v>
      </c>
      <c r="G240" s="63">
        <f>'04_MOTOR_CÁLCULO'!K814-1</f>
        <v>-9.9999999999999978E-2</v>
      </c>
      <c r="H240" s="17" t="str">
        <f>'04_MOTOR_CÁLCULO'!M814</f>
        <v>Baixo</v>
      </c>
    </row>
    <row r="241" spans="1:8" ht="13.5" customHeight="1" x14ac:dyDescent="0.25">
      <c r="A241" s="13" t="str">
        <f>'04_MOTOR_CÁLCULO'!A815</f>
        <v>4713-0/04</v>
      </c>
      <c r="B241" s="49" t="str">
        <f>'04_MOTOR_CÁLCULO'!B815</f>
        <v>G</v>
      </c>
      <c r="C241" s="101" t="str">
        <f>'04_MOTOR_CÁLCULO'!C815</f>
        <v>Lojas de departamentos ou magazines, exceto lojas francas (Duty free)</v>
      </c>
      <c r="D241" s="14" t="str">
        <f>'04_MOTOR_CÁLCULO'!D815</f>
        <v>COMÉRCIO VAREJIS</v>
      </c>
      <c r="E241" s="78" t="str">
        <f>'04_MOTOR_CÁLCULO'!N815</f>
        <v>CNAE-STG</v>
      </c>
      <c r="F241" s="62">
        <f>'04_MOTOR_CÁLCULO'!K815</f>
        <v>0.9</v>
      </c>
      <c r="G241" s="63">
        <f>'04_MOTOR_CÁLCULO'!K815-1</f>
        <v>-9.9999999999999978E-2</v>
      </c>
      <c r="H241" s="17" t="str">
        <f>'04_MOTOR_CÁLCULO'!M815</f>
        <v>Baixo</v>
      </c>
    </row>
    <row r="242" spans="1:8" ht="13.5" customHeight="1" x14ac:dyDescent="0.25">
      <c r="A242" s="24" t="str">
        <f>'04_MOTOR_CÁLCULO'!A816</f>
        <v>4713-0/05</v>
      </c>
      <c r="B242" s="38" t="str">
        <f>'04_MOTOR_CÁLCULO'!B816</f>
        <v>G</v>
      </c>
      <c r="C242" s="100" t="str">
        <f>'04_MOTOR_CÁLCULO'!C816</f>
        <v>Lojas francas (Duty Free) de aeroportos, portos e em fronteiras terrestres</v>
      </c>
      <c r="D242" s="25" t="str">
        <f>'04_MOTOR_CÁLCULO'!D816</f>
        <v>COMÉRCIO VAREJIS</v>
      </c>
      <c r="E242" s="78" t="str">
        <f>'04_MOTOR_CÁLCULO'!N816</f>
        <v>CNAE-STG</v>
      </c>
      <c r="F242" s="62">
        <f>'04_MOTOR_CÁLCULO'!K816</f>
        <v>0.9</v>
      </c>
      <c r="G242" s="63">
        <f>'04_MOTOR_CÁLCULO'!K816-1</f>
        <v>-9.9999999999999978E-2</v>
      </c>
      <c r="H242" s="17" t="str">
        <f>'04_MOTOR_CÁLCULO'!M816</f>
        <v>Baixo</v>
      </c>
    </row>
    <row r="243" spans="1:8" ht="13.5" customHeight="1" x14ac:dyDescent="0.25">
      <c r="A243" s="13" t="str">
        <f>'04_MOTOR_CÁLCULO'!A817</f>
        <v>4721-1/02</v>
      </c>
      <c r="B243" s="49" t="str">
        <f>'04_MOTOR_CÁLCULO'!B817</f>
        <v>G</v>
      </c>
      <c r="C243" s="101" t="str">
        <f>'04_MOTOR_CÁLCULO'!C817</f>
        <v>Padaria e confeitaria com predominância de revenda</v>
      </c>
      <c r="D243" s="14" t="str">
        <f>'04_MOTOR_CÁLCULO'!D817</f>
        <v>COMÉRCIO VAREJIS</v>
      </c>
      <c r="E243" s="78" t="str">
        <f>'04_MOTOR_CÁLCULO'!N817</f>
        <v>CNAE-STG</v>
      </c>
      <c r="F243" s="62">
        <f>'04_MOTOR_CÁLCULO'!K817</f>
        <v>0.9</v>
      </c>
      <c r="G243" s="63">
        <f>'04_MOTOR_CÁLCULO'!K817-1</f>
        <v>-9.9999999999999978E-2</v>
      </c>
      <c r="H243" s="17" t="str">
        <f>'04_MOTOR_CÁLCULO'!M817</f>
        <v>Baixo</v>
      </c>
    </row>
    <row r="244" spans="1:8" ht="13.5" customHeight="1" x14ac:dyDescent="0.25">
      <c r="A244" s="24" t="str">
        <f>'04_MOTOR_CÁLCULO'!A818</f>
        <v>4721-1/03</v>
      </c>
      <c r="B244" s="38" t="str">
        <f>'04_MOTOR_CÁLCULO'!B818</f>
        <v>G</v>
      </c>
      <c r="C244" s="100" t="str">
        <f>'04_MOTOR_CÁLCULO'!C818</f>
        <v>Comércio varejista de laticínios e frios</v>
      </c>
      <c r="D244" s="25" t="str">
        <f>'04_MOTOR_CÁLCULO'!D818</f>
        <v>COMÉRCIO VAREJIS</v>
      </c>
      <c r="E244" s="78" t="str">
        <f>'04_MOTOR_CÁLCULO'!N818</f>
        <v>CNAE-STG</v>
      </c>
      <c r="F244" s="62">
        <f>'04_MOTOR_CÁLCULO'!K818</f>
        <v>0.9</v>
      </c>
      <c r="G244" s="63">
        <f>'04_MOTOR_CÁLCULO'!K818-1</f>
        <v>-9.9999999999999978E-2</v>
      </c>
      <c r="H244" s="17" t="str">
        <f>'04_MOTOR_CÁLCULO'!M818</f>
        <v>Baixo</v>
      </c>
    </row>
    <row r="245" spans="1:8" ht="13.5" customHeight="1" x14ac:dyDescent="0.25">
      <c r="A245" s="13" t="str">
        <f>'04_MOTOR_CÁLCULO'!A819</f>
        <v>4721-1/04</v>
      </c>
      <c r="B245" s="49" t="str">
        <f>'04_MOTOR_CÁLCULO'!B819</f>
        <v>G</v>
      </c>
      <c r="C245" s="101" t="str">
        <f>'04_MOTOR_CÁLCULO'!C819</f>
        <v>Comércio varejista de doces, balas, bombons e semelhantes</v>
      </c>
      <c r="D245" s="14" t="str">
        <f>'04_MOTOR_CÁLCULO'!D819</f>
        <v>COMÉRCIO VAREJIS</v>
      </c>
      <c r="E245" s="78" t="str">
        <f>'04_MOTOR_CÁLCULO'!N819</f>
        <v>CNAE-STG</v>
      </c>
      <c r="F245" s="62">
        <f>'04_MOTOR_CÁLCULO'!K819</f>
        <v>0.9</v>
      </c>
      <c r="G245" s="63">
        <f>'04_MOTOR_CÁLCULO'!K819-1</f>
        <v>-9.9999999999999978E-2</v>
      </c>
      <c r="H245" s="17" t="str">
        <f>'04_MOTOR_CÁLCULO'!M819</f>
        <v>Baixo</v>
      </c>
    </row>
    <row r="246" spans="1:8" ht="13.5" customHeight="1" x14ac:dyDescent="0.25">
      <c r="A246" s="24" t="str">
        <f>'04_MOTOR_CÁLCULO'!A820</f>
        <v>4722-9/01</v>
      </c>
      <c r="B246" s="38" t="str">
        <f>'04_MOTOR_CÁLCULO'!B820</f>
        <v>G</v>
      </c>
      <c r="C246" s="100" t="str">
        <f>'04_MOTOR_CÁLCULO'!C820</f>
        <v>Comércio varejista de carnes - açougues</v>
      </c>
      <c r="D246" s="25" t="str">
        <f>'04_MOTOR_CÁLCULO'!D820</f>
        <v>COMÉRCIO VAREJIS</v>
      </c>
      <c r="E246" s="78" t="str">
        <f>'04_MOTOR_CÁLCULO'!N820</f>
        <v>CNAE-STG</v>
      </c>
      <c r="F246" s="62">
        <f>'04_MOTOR_CÁLCULO'!K820</f>
        <v>0.9</v>
      </c>
      <c r="G246" s="63">
        <f>'04_MOTOR_CÁLCULO'!K820-1</f>
        <v>-9.9999999999999978E-2</v>
      </c>
      <c r="H246" s="17" t="str">
        <f>'04_MOTOR_CÁLCULO'!M820</f>
        <v>Baixo</v>
      </c>
    </row>
    <row r="247" spans="1:8" ht="13.5" customHeight="1" x14ac:dyDescent="0.25">
      <c r="A247" s="13" t="str">
        <f>'04_MOTOR_CÁLCULO'!A821</f>
        <v>4722-9/02</v>
      </c>
      <c r="B247" s="49" t="str">
        <f>'04_MOTOR_CÁLCULO'!B821</f>
        <v>G</v>
      </c>
      <c r="C247" s="101" t="str">
        <f>'04_MOTOR_CÁLCULO'!C821</f>
        <v>Peixaria</v>
      </c>
      <c r="D247" s="14" t="str">
        <f>'04_MOTOR_CÁLCULO'!D821</f>
        <v>COMÉRCIO VAREJIS</v>
      </c>
      <c r="E247" s="78" t="str">
        <f>'04_MOTOR_CÁLCULO'!N821</f>
        <v>CNAE-STG</v>
      </c>
      <c r="F247" s="62">
        <f>'04_MOTOR_CÁLCULO'!K821</f>
        <v>0.9</v>
      </c>
      <c r="G247" s="63">
        <f>'04_MOTOR_CÁLCULO'!K821-1</f>
        <v>-9.9999999999999978E-2</v>
      </c>
      <c r="H247" s="17" t="str">
        <f>'04_MOTOR_CÁLCULO'!M821</f>
        <v>Baixo</v>
      </c>
    </row>
    <row r="248" spans="1:8" ht="13.5" customHeight="1" x14ac:dyDescent="0.25">
      <c r="A248" s="24" t="str">
        <f>'04_MOTOR_CÁLCULO'!A822</f>
        <v>4723-7/00</v>
      </c>
      <c r="B248" s="38" t="str">
        <f>'04_MOTOR_CÁLCULO'!B822</f>
        <v>G</v>
      </c>
      <c r="C248" s="100" t="str">
        <f>'04_MOTOR_CÁLCULO'!C822</f>
        <v>Comércio varejista de bebidas</v>
      </c>
      <c r="D248" s="25" t="str">
        <f>'04_MOTOR_CÁLCULO'!D822</f>
        <v>COMÉRCIO VAREJIS</v>
      </c>
      <c r="E248" s="78" t="str">
        <f>'04_MOTOR_CÁLCULO'!N822</f>
        <v>CNAE-STG</v>
      </c>
      <c r="F248" s="62">
        <f>'04_MOTOR_CÁLCULO'!K822</f>
        <v>0.9</v>
      </c>
      <c r="G248" s="63">
        <f>'04_MOTOR_CÁLCULO'!K822-1</f>
        <v>-9.9999999999999978E-2</v>
      </c>
      <c r="H248" s="17" t="str">
        <f>'04_MOTOR_CÁLCULO'!M822</f>
        <v>Baixo</v>
      </c>
    </row>
    <row r="249" spans="1:8" ht="13.5" customHeight="1" x14ac:dyDescent="0.25">
      <c r="A249" s="13" t="str">
        <f>'04_MOTOR_CÁLCULO'!A823</f>
        <v>4724-5/00</v>
      </c>
      <c r="B249" s="49" t="str">
        <f>'04_MOTOR_CÁLCULO'!B823</f>
        <v>G</v>
      </c>
      <c r="C249" s="101" t="str">
        <f>'04_MOTOR_CÁLCULO'!C823</f>
        <v>Comércio varejista de hortifrutigranjeiros</v>
      </c>
      <c r="D249" s="14" t="str">
        <f>'04_MOTOR_CÁLCULO'!D823</f>
        <v>COMÉRCIO VAREJIS</v>
      </c>
      <c r="E249" s="78" t="str">
        <f>'04_MOTOR_CÁLCULO'!N823</f>
        <v>CNAE-STG</v>
      </c>
      <c r="F249" s="62">
        <f>'04_MOTOR_CÁLCULO'!K823</f>
        <v>0.9</v>
      </c>
      <c r="G249" s="63">
        <f>'04_MOTOR_CÁLCULO'!K823-1</f>
        <v>-9.9999999999999978E-2</v>
      </c>
      <c r="H249" s="17" t="str">
        <f>'04_MOTOR_CÁLCULO'!M823</f>
        <v>Baixo</v>
      </c>
    </row>
    <row r="250" spans="1:8" ht="13.5" customHeight="1" x14ac:dyDescent="0.25">
      <c r="A250" s="24" t="str">
        <f>'04_MOTOR_CÁLCULO'!A824</f>
        <v>4729-6/01</v>
      </c>
      <c r="B250" s="38" t="str">
        <f>'04_MOTOR_CÁLCULO'!B824</f>
        <v>G</v>
      </c>
      <c r="C250" s="100" t="str">
        <f>'04_MOTOR_CÁLCULO'!C824</f>
        <v>Tabacaria</v>
      </c>
      <c r="D250" s="25" t="str">
        <f>'04_MOTOR_CÁLCULO'!D824</f>
        <v>COMÉRCIO VAREJIS</v>
      </c>
      <c r="E250" s="78" t="str">
        <f>'04_MOTOR_CÁLCULO'!N824</f>
        <v>CNAE-STG</v>
      </c>
      <c r="F250" s="62">
        <f>'04_MOTOR_CÁLCULO'!K824</f>
        <v>0.9</v>
      </c>
      <c r="G250" s="63">
        <f>'04_MOTOR_CÁLCULO'!K824-1</f>
        <v>-9.9999999999999978E-2</v>
      </c>
      <c r="H250" s="17" t="str">
        <f>'04_MOTOR_CÁLCULO'!M824</f>
        <v>Baixo</v>
      </c>
    </row>
    <row r="251" spans="1:8" ht="13.5" customHeight="1" x14ac:dyDescent="0.25">
      <c r="A251" s="13" t="str">
        <f>'04_MOTOR_CÁLCULO'!A825</f>
        <v>4729-6/02</v>
      </c>
      <c r="B251" s="49" t="str">
        <f>'04_MOTOR_CÁLCULO'!B825</f>
        <v>G</v>
      </c>
      <c r="C251" s="101" t="str">
        <f>'04_MOTOR_CÁLCULO'!C825</f>
        <v>Comércio varejista de mercadorias em lojas de conveniência</v>
      </c>
      <c r="D251" s="14" t="str">
        <f>'04_MOTOR_CÁLCULO'!D825</f>
        <v>COMÉRCIO VAREJIS</v>
      </c>
      <c r="E251" s="78" t="str">
        <f>'04_MOTOR_CÁLCULO'!N825</f>
        <v>CNAE-STG</v>
      </c>
      <c r="F251" s="62">
        <f>'04_MOTOR_CÁLCULO'!K825</f>
        <v>0.9</v>
      </c>
      <c r="G251" s="63">
        <f>'04_MOTOR_CÁLCULO'!K825-1</f>
        <v>-9.9999999999999978E-2</v>
      </c>
      <c r="H251" s="17" t="str">
        <f>'04_MOTOR_CÁLCULO'!M825</f>
        <v>Baixo</v>
      </c>
    </row>
    <row r="252" spans="1:8" ht="13.5" customHeight="1" x14ac:dyDescent="0.25">
      <c r="A252" s="24" t="str">
        <f>'04_MOTOR_CÁLCULO'!A826</f>
        <v>4729-6/99</v>
      </c>
      <c r="B252" s="38" t="str">
        <f>'04_MOTOR_CÁLCULO'!B826</f>
        <v>G</v>
      </c>
      <c r="C252" s="100" t="str">
        <f>'04_MOTOR_CÁLCULO'!C826</f>
        <v>Comércio varejista de produtos alimentícios em geral ou especializado em produtos alimentícios não especificados anteriormente</v>
      </c>
      <c r="D252" s="25" t="str">
        <f>'04_MOTOR_CÁLCULO'!D826</f>
        <v>COMÉRCIO VAREJIS</v>
      </c>
      <c r="E252" s="78" t="str">
        <f>'04_MOTOR_CÁLCULO'!N826</f>
        <v>CNAE-STG</v>
      </c>
      <c r="F252" s="62">
        <f>'04_MOTOR_CÁLCULO'!K826</f>
        <v>0.9</v>
      </c>
      <c r="G252" s="63">
        <f>'04_MOTOR_CÁLCULO'!K826-1</f>
        <v>-9.9999999999999978E-2</v>
      </c>
      <c r="H252" s="17" t="str">
        <f>'04_MOTOR_CÁLCULO'!M826</f>
        <v>Baixo</v>
      </c>
    </row>
    <row r="253" spans="1:8" ht="13.5" customHeight="1" x14ac:dyDescent="0.25">
      <c r="A253" s="13" t="str">
        <f>'04_MOTOR_CÁLCULO'!A829</f>
        <v>4741-5/00</v>
      </c>
      <c r="B253" s="49" t="str">
        <f>'04_MOTOR_CÁLCULO'!B829</f>
        <v>G</v>
      </c>
      <c r="C253" s="101" t="str">
        <f>'04_MOTOR_CÁLCULO'!C829</f>
        <v>Comércio varejista de tintas e materiais para pintura</v>
      </c>
      <c r="D253" s="14" t="str">
        <f>'04_MOTOR_CÁLCULO'!D829</f>
        <v>COMÉRCIO VAREJIS</v>
      </c>
      <c r="E253" s="78" t="str">
        <f>'04_MOTOR_CÁLCULO'!N829</f>
        <v>CNAE-STG</v>
      </c>
      <c r="F253" s="62">
        <f>'04_MOTOR_CÁLCULO'!K829</f>
        <v>0.9</v>
      </c>
      <c r="G253" s="63">
        <f>'04_MOTOR_CÁLCULO'!K829-1</f>
        <v>-9.9999999999999978E-2</v>
      </c>
      <c r="H253" s="17" t="str">
        <f>'04_MOTOR_CÁLCULO'!M829</f>
        <v>Baixo</v>
      </c>
    </row>
    <row r="254" spans="1:8" ht="13.5" customHeight="1" x14ac:dyDescent="0.25">
      <c r="A254" s="24" t="str">
        <f>'04_MOTOR_CÁLCULO'!A830</f>
        <v>4742-3/00</v>
      </c>
      <c r="B254" s="38" t="str">
        <f>'04_MOTOR_CÁLCULO'!B830</f>
        <v>G</v>
      </c>
      <c r="C254" s="100" t="str">
        <f>'04_MOTOR_CÁLCULO'!C830</f>
        <v>Comércio varejista de material elétrico</v>
      </c>
      <c r="D254" s="25" t="str">
        <f>'04_MOTOR_CÁLCULO'!D830</f>
        <v>COMÉRCIO VAREJIS</v>
      </c>
      <c r="E254" s="78" t="str">
        <f>'04_MOTOR_CÁLCULO'!N830</f>
        <v>CNAE-STG</v>
      </c>
      <c r="F254" s="62">
        <f>'04_MOTOR_CÁLCULO'!K830</f>
        <v>0.9</v>
      </c>
      <c r="G254" s="63">
        <f>'04_MOTOR_CÁLCULO'!K830-1</f>
        <v>-9.9999999999999978E-2</v>
      </c>
      <c r="H254" s="17" t="str">
        <f>'04_MOTOR_CÁLCULO'!M830</f>
        <v>Baixo</v>
      </c>
    </row>
    <row r="255" spans="1:8" ht="13.5" customHeight="1" x14ac:dyDescent="0.25">
      <c r="A255" s="13" t="str">
        <f>'04_MOTOR_CÁLCULO'!A831</f>
        <v>4743-1/00</v>
      </c>
      <c r="B255" s="49" t="str">
        <f>'04_MOTOR_CÁLCULO'!B831</f>
        <v>G</v>
      </c>
      <c r="C255" s="101" t="str">
        <f>'04_MOTOR_CÁLCULO'!C831</f>
        <v>Comércio varejista de vidros</v>
      </c>
      <c r="D255" s="14" t="str">
        <f>'04_MOTOR_CÁLCULO'!D831</f>
        <v>COMÉRCIO VAREJIS</v>
      </c>
      <c r="E255" s="78" t="str">
        <f>'04_MOTOR_CÁLCULO'!N831</f>
        <v>CNAE-STG</v>
      </c>
      <c r="F255" s="62">
        <f>'04_MOTOR_CÁLCULO'!K831</f>
        <v>0.9</v>
      </c>
      <c r="G255" s="63">
        <f>'04_MOTOR_CÁLCULO'!K831-1</f>
        <v>-9.9999999999999978E-2</v>
      </c>
      <c r="H255" s="17" t="str">
        <f>'04_MOTOR_CÁLCULO'!M831</f>
        <v>Baixo</v>
      </c>
    </row>
    <row r="256" spans="1:8" ht="13.5" customHeight="1" x14ac:dyDescent="0.25">
      <c r="A256" s="24" t="str">
        <f>'04_MOTOR_CÁLCULO'!A832</f>
        <v>4744-0/01</v>
      </c>
      <c r="B256" s="38" t="str">
        <f>'04_MOTOR_CÁLCULO'!B832</f>
        <v>G</v>
      </c>
      <c r="C256" s="100" t="str">
        <f>'04_MOTOR_CÁLCULO'!C832</f>
        <v>Comércio varejista de ferragens e ferramentas</v>
      </c>
      <c r="D256" s="25" t="str">
        <f>'04_MOTOR_CÁLCULO'!D832</f>
        <v>COMÉRCIO VAREJIS</v>
      </c>
      <c r="E256" s="78" t="str">
        <f>'04_MOTOR_CÁLCULO'!N832</f>
        <v>CNAE-STG</v>
      </c>
      <c r="F256" s="62">
        <f>'04_MOTOR_CÁLCULO'!K832</f>
        <v>0.9</v>
      </c>
      <c r="G256" s="63">
        <f>'04_MOTOR_CÁLCULO'!K832-1</f>
        <v>-9.9999999999999978E-2</v>
      </c>
      <c r="H256" s="17" t="str">
        <f>'04_MOTOR_CÁLCULO'!M832</f>
        <v>Baixo</v>
      </c>
    </row>
    <row r="257" spans="1:8" ht="13.5" customHeight="1" x14ac:dyDescent="0.25">
      <c r="A257" s="13" t="str">
        <f>'04_MOTOR_CÁLCULO'!A833</f>
        <v>4744-0/02</v>
      </c>
      <c r="B257" s="49" t="str">
        <f>'04_MOTOR_CÁLCULO'!B833</f>
        <v>G</v>
      </c>
      <c r="C257" s="101" t="str">
        <f>'04_MOTOR_CÁLCULO'!C833</f>
        <v>Comércio varejista de madeira e artefatos</v>
      </c>
      <c r="D257" s="14" t="str">
        <f>'04_MOTOR_CÁLCULO'!D833</f>
        <v>COMÉRCIO VAREJIS</v>
      </c>
      <c r="E257" s="78" t="str">
        <f>'04_MOTOR_CÁLCULO'!N833</f>
        <v>CNAE-STG</v>
      </c>
      <c r="F257" s="62">
        <f>'04_MOTOR_CÁLCULO'!K833</f>
        <v>0.9</v>
      </c>
      <c r="G257" s="63">
        <f>'04_MOTOR_CÁLCULO'!K833-1</f>
        <v>-9.9999999999999978E-2</v>
      </c>
      <c r="H257" s="17" t="str">
        <f>'04_MOTOR_CÁLCULO'!M833</f>
        <v>Baixo</v>
      </c>
    </row>
    <row r="258" spans="1:8" ht="13.5" customHeight="1" x14ac:dyDescent="0.25">
      <c r="A258" s="24" t="str">
        <f>'04_MOTOR_CÁLCULO'!A834</f>
        <v>4744-0/03</v>
      </c>
      <c r="B258" s="38" t="str">
        <f>'04_MOTOR_CÁLCULO'!B834</f>
        <v>G</v>
      </c>
      <c r="C258" s="100" t="str">
        <f>'04_MOTOR_CÁLCULO'!C834</f>
        <v>Comércio varejista de materiais hidráulicos</v>
      </c>
      <c r="D258" s="25" t="str">
        <f>'04_MOTOR_CÁLCULO'!D834</f>
        <v>COMÉRCIO VAREJIS</v>
      </c>
      <c r="E258" s="78" t="str">
        <f>'04_MOTOR_CÁLCULO'!N834</f>
        <v>CNAE-STG</v>
      </c>
      <c r="F258" s="62">
        <f>'04_MOTOR_CÁLCULO'!K834</f>
        <v>0.9</v>
      </c>
      <c r="G258" s="63">
        <f>'04_MOTOR_CÁLCULO'!K834-1</f>
        <v>-9.9999999999999978E-2</v>
      </c>
      <c r="H258" s="17" t="str">
        <f>'04_MOTOR_CÁLCULO'!M834</f>
        <v>Baixo</v>
      </c>
    </row>
    <row r="259" spans="1:8" ht="13.5" customHeight="1" x14ac:dyDescent="0.25">
      <c r="A259" s="13" t="str">
        <f>'04_MOTOR_CÁLCULO'!A835</f>
        <v>4744-0/04</v>
      </c>
      <c r="B259" s="49" t="str">
        <f>'04_MOTOR_CÁLCULO'!B835</f>
        <v>G</v>
      </c>
      <c r="C259" s="101" t="str">
        <f>'04_MOTOR_CÁLCULO'!C835</f>
        <v>Comércio varejista de cal, areia, pedra britada, tijolos e telhas</v>
      </c>
      <c r="D259" s="14" t="str">
        <f>'04_MOTOR_CÁLCULO'!D835</f>
        <v>COMÉRCIO VAREJIS</v>
      </c>
      <c r="E259" s="78" t="str">
        <f>'04_MOTOR_CÁLCULO'!N835</f>
        <v>CNAE-STG</v>
      </c>
      <c r="F259" s="62">
        <f>'04_MOTOR_CÁLCULO'!K835</f>
        <v>0.9</v>
      </c>
      <c r="G259" s="63">
        <f>'04_MOTOR_CÁLCULO'!K835-1</f>
        <v>-9.9999999999999978E-2</v>
      </c>
      <c r="H259" s="17" t="str">
        <f>'04_MOTOR_CÁLCULO'!M835</f>
        <v>Baixo</v>
      </c>
    </row>
    <row r="260" spans="1:8" ht="13.5" customHeight="1" x14ac:dyDescent="0.25">
      <c r="A260" s="24" t="str">
        <f>'04_MOTOR_CÁLCULO'!A836</f>
        <v>4744-0/05</v>
      </c>
      <c r="B260" s="38" t="str">
        <f>'04_MOTOR_CÁLCULO'!B836</f>
        <v>G</v>
      </c>
      <c r="C260" s="100" t="str">
        <f>'04_MOTOR_CÁLCULO'!C836</f>
        <v>Comércio varejista de materiais de construção não especificados anteriormente</v>
      </c>
      <c r="D260" s="25" t="str">
        <f>'04_MOTOR_CÁLCULO'!D836</f>
        <v>COMÉRCIO VAREJIS</v>
      </c>
      <c r="E260" s="78" t="str">
        <f>'04_MOTOR_CÁLCULO'!N836</f>
        <v>CNAE-STG</v>
      </c>
      <c r="F260" s="62">
        <f>'04_MOTOR_CÁLCULO'!K836</f>
        <v>0.9</v>
      </c>
      <c r="G260" s="63">
        <f>'04_MOTOR_CÁLCULO'!K836-1</f>
        <v>-9.9999999999999978E-2</v>
      </c>
      <c r="H260" s="17" t="str">
        <f>'04_MOTOR_CÁLCULO'!M836</f>
        <v>Baixo</v>
      </c>
    </row>
    <row r="261" spans="1:8" ht="13.5" customHeight="1" x14ac:dyDescent="0.25">
      <c r="A261" s="13" t="str">
        <f>'04_MOTOR_CÁLCULO'!A837</f>
        <v>4744-0/06</v>
      </c>
      <c r="B261" s="49" t="str">
        <f>'04_MOTOR_CÁLCULO'!B837</f>
        <v>G</v>
      </c>
      <c r="C261" s="101" t="str">
        <f>'04_MOTOR_CÁLCULO'!C837</f>
        <v>Comércio varejista de pedras para revestimento</v>
      </c>
      <c r="D261" s="14" t="str">
        <f>'04_MOTOR_CÁLCULO'!D837</f>
        <v>COMÉRCIO VAREJIS</v>
      </c>
      <c r="E261" s="78" t="str">
        <f>'04_MOTOR_CÁLCULO'!N837</f>
        <v>CNAE-STG</v>
      </c>
      <c r="F261" s="62">
        <f>'04_MOTOR_CÁLCULO'!K837</f>
        <v>0.9</v>
      </c>
      <c r="G261" s="63">
        <f>'04_MOTOR_CÁLCULO'!K837-1</f>
        <v>-9.9999999999999978E-2</v>
      </c>
      <c r="H261" s="17" t="str">
        <f>'04_MOTOR_CÁLCULO'!M837</f>
        <v>Baixo</v>
      </c>
    </row>
    <row r="262" spans="1:8" ht="13.5" customHeight="1" x14ac:dyDescent="0.25">
      <c r="A262" s="24" t="str">
        <f>'04_MOTOR_CÁLCULO'!A838</f>
        <v>4744-0/99</v>
      </c>
      <c r="B262" s="38" t="str">
        <f>'04_MOTOR_CÁLCULO'!B838</f>
        <v>G</v>
      </c>
      <c r="C262" s="100" t="str">
        <f>'04_MOTOR_CÁLCULO'!C838</f>
        <v>Comércio varejista de materiais de construção em geral</v>
      </c>
      <c r="D262" s="25" t="str">
        <f>'04_MOTOR_CÁLCULO'!D838</f>
        <v>COMÉRCIO VAREJIS</v>
      </c>
      <c r="E262" s="78" t="str">
        <f>'04_MOTOR_CÁLCULO'!N838</f>
        <v>CNAE-STG</v>
      </c>
      <c r="F262" s="62">
        <f>'04_MOTOR_CÁLCULO'!K838</f>
        <v>0.9</v>
      </c>
      <c r="G262" s="63">
        <f>'04_MOTOR_CÁLCULO'!K838-1</f>
        <v>-9.9999999999999978E-2</v>
      </c>
      <c r="H262" s="17" t="str">
        <f>'04_MOTOR_CÁLCULO'!M838</f>
        <v>Baixo</v>
      </c>
    </row>
    <row r="263" spans="1:8" ht="13.5" customHeight="1" x14ac:dyDescent="0.25">
      <c r="A263" s="13" t="str">
        <f>'04_MOTOR_CÁLCULO'!A839</f>
        <v>4751-2/01</v>
      </c>
      <c r="B263" s="49" t="str">
        <f>'04_MOTOR_CÁLCULO'!B839</f>
        <v>G</v>
      </c>
      <c r="C263" s="101" t="str">
        <f>'04_MOTOR_CÁLCULO'!C839</f>
        <v>Comércio varejista especializado de equipamentos e suprimentos de informática</v>
      </c>
      <c r="D263" s="14" t="str">
        <f>'04_MOTOR_CÁLCULO'!D839</f>
        <v>COMÉRCIO VAREJIS</v>
      </c>
      <c r="E263" s="78" t="str">
        <f>'04_MOTOR_CÁLCULO'!N839</f>
        <v>CNAE-STG</v>
      </c>
      <c r="F263" s="62">
        <f>'04_MOTOR_CÁLCULO'!K839</f>
        <v>0.9</v>
      </c>
      <c r="G263" s="63">
        <f>'04_MOTOR_CÁLCULO'!K839-1</f>
        <v>-9.9999999999999978E-2</v>
      </c>
      <c r="H263" s="17" t="str">
        <f>'04_MOTOR_CÁLCULO'!M839</f>
        <v>Baixo</v>
      </c>
    </row>
    <row r="264" spans="1:8" ht="13.5" customHeight="1" x14ac:dyDescent="0.25">
      <c r="A264" s="24" t="str">
        <f>'04_MOTOR_CÁLCULO'!A840</f>
        <v>4751-2/02</v>
      </c>
      <c r="B264" s="38" t="str">
        <f>'04_MOTOR_CÁLCULO'!B840</f>
        <v>G</v>
      </c>
      <c r="C264" s="100" t="str">
        <f>'04_MOTOR_CÁLCULO'!C840</f>
        <v>Recarga de cartuchos para equipamentos de informática</v>
      </c>
      <c r="D264" s="25" t="str">
        <f>'04_MOTOR_CÁLCULO'!D840</f>
        <v>COMÉRCIO VAREJIS</v>
      </c>
      <c r="E264" s="78" t="str">
        <f>'04_MOTOR_CÁLCULO'!N840</f>
        <v>CNAE-STG</v>
      </c>
      <c r="F264" s="62">
        <f>'04_MOTOR_CÁLCULO'!K840</f>
        <v>0.9</v>
      </c>
      <c r="G264" s="63">
        <f>'04_MOTOR_CÁLCULO'!K840-1</f>
        <v>-9.9999999999999978E-2</v>
      </c>
      <c r="H264" s="17" t="str">
        <f>'04_MOTOR_CÁLCULO'!M840</f>
        <v>Baixo</v>
      </c>
    </row>
    <row r="265" spans="1:8" ht="13.5" customHeight="1" x14ac:dyDescent="0.25">
      <c r="A265" s="13" t="str">
        <f>'04_MOTOR_CÁLCULO'!A841</f>
        <v>4752-1/00</v>
      </c>
      <c r="B265" s="49" t="str">
        <f>'04_MOTOR_CÁLCULO'!B841</f>
        <v>G</v>
      </c>
      <c r="C265" s="101" t="str">
        <f>'04_MOTOR_CÁLCULO'!C841</f>
        <v>Comércio varejista especializado de equipamentos de telefonia e comunicação</v>
      </c>
      <c r="D265" s="14" t="str">
        <f>'04_MOTOR_CÁLCULO'!D841</f>
        <v>COMÉRCIO VAREJIS</v>
      </c>
      <c r="E265" s="78" t="str">
        <f>'04_MOTOR_CÁLCULO'!N841</f>
        <v>CNAE-STG</v>
      </c>
      <c r="F265" s="62">
        <f>'04_MOTOR_CÁLCULO'!K841</f>
        <v>0.9</v>
      </c>
      <c r="G265" s="63">
        <f>'04_MOTOR_CÁLCULO'!K841-1</f>
        <v>-9.9999999999999978E-2</v>
      </c>
      <c r="H265" s="17" t="str">
        <f>'04_MOTOR_CÁLCULO'!M841</f>
        <v>Baixo</v>
      </c>
    </row>
    <row r="266" spans="1:8" ht="13.5" customHeight="1" x14ac:dyDescent="0.25">
      <c r="A266" s="24" t="str">
        <f>'04_MOTOR_CÁLCULO'!A842</f>
        <v>4753-9/00</v>
      </c>
      <c r="B266" s="38" t="str">
        <f>'04_MOTOR_CÁLCULO'!B842</f>
        <v>G</v>
      </c>
      <c r="C266" s="100" t="str">
        <f>'04_MOTOR_CÁLCULO'!C842</f>
        <v>Comércio varejista especializado de eletrodomésticos e equipamentos de áudio e vídeo</v>
      </c>
      <c r="D266" s="25" t="str">
        <f>'04_MOTOR_CÁLCULO'!D842</f>
        <v>COMÉRCIO VAREJIS</v>
      </c>
      <c r="E266" s="78" t="str">
        <f>'04_MOTOR_CÁLCULO'!N842</f>
        <v>CNAE-STG</v>
      </c>
      <c r="F266" s="62">
        <f>'04_MOTOR_CÁLCULO'!K842</f>
        <v>0.9</v>
      </c>
      <c r="G266" s="63">
        <f>'04_MOTOR_CÁLCULO'!K842-1</f>
        <v>-9.9999999999999978E-2</v>
      </c>
      <c r="H266" s="17" t="str">
        <f>'04_MOTOR_CÁLCULO'!M842</f>
        <v>Baixo</v>
      </c>
    </row>
    <row r="267" spans="1:8" ht="13.5" customHeight="1" x14ac:dyDescent="0.25">
      <c r="A267" s="13" t="str">
        <f>'04_MOTOR_CÁLCULO'!A843</f>
        <v>4754-7/01</v>
      </c>
      <c r="B267" s="49" t="str">
        <f>'04_MOTOR_CÁLCULO'!B843</f>
        <v>G</v>
      </c>
      <c r="C267" s="101" t="str">
        <f>'04_MOTOR_CÁLCULO'!C843</f>
        <v>Comércio varejista de móveis</v>
      </c>
      <c r="D267" s="14" t="str">
        <f>'04_MOTOR_CÁLCULO'!D843</f>
        <v>COMÉRCIO VAREJIS</v>
      </c>
      <c r="E267" s="78" t="str">
        <f>'04_MOTOR_CÁLCULO'!N843</f>
        <v>CNAE-STG</v>
      </c>
      <c r="F267" s="62">
        <f>'04_MOTOR_CÁLCULO'!K843</f>
        <v>0.9</v>
      </c>
      <c r="G267" s="63">
        <f>'04_MOTOR_CÁLCULO'!K843-1</f>
        <v>-9.9999999999999978E-2</v>
      </c>
      <c r="H267" s="17" t="str">
        <f>'04_MOTOR_CÁLCULO'!M843</f>
        <v>Baixo</v>
      </c>
    </row>
    <row r="268" spans="1:8" ht="13.5" customHeight="1" x14ac:dyDescent="0.25">
      <c r="A268" s="24" t="str">
        <f>'04_MOTOR_CÁLCULO'!A844</f>
        <v>4754-7/02</v>
      </c>
      <c r="B268" s="38" t="str">
        <f>'04_MOTOR_CÁLCULO'!B844</f>
        <v>G</v>
      </c>
      <c r="C268" s="100" t="str">
        <f>'04_MOTOR_CÁLCULO'!C844</f>
        <v>Comércio varejista de artigos de colchoaria</v>
      </c>
      <c r="D268" s="25" t="str">
        <f>'04_MOTOR_CÁLCULO'!D844</f>
        <v>COMÉRCIO VAREJIS</v>
      </c>
      <c r="E268" s="78" t="str">
        <f>'04_MOTOR_CÁLCULO'!N844</f>
        <v>CNAE-STG</v>
      </c>
      <c r="F268" s="62">
        <f>'04_MOTOR_CÁLCULO'!K844</f>
        <v>0.9</v>
      </c>
      <c r="G268" s="63">
        <f>'04_MOTOR_CÁLCULO'!K844-1</f>
        <v>-9.9999999999999978E-2</v>
      </c>
      <c r="H268" s="17" t="str">
        <f>'04_MOTOR_CÁLCULO'!M844</f>
        <v>Baixo</v>
      </c>
    </row>
    <row r="269" spans="1:8" ht="13.5" customHeight="1" x14ac:dyDescent="0.25">
      <c r="A269" s="13" t="str">
        <f>'04_MOTOR_CÁLCULO'!A845</f>
        <v>4754-7/03</v>
      </c>
      <c r="B269" s="49" t="str">
        <f>'04_MOTOR_CÁLCULO'!B845</f>
        <v>G</v>
      </c>
      <c r="C269" s="101" t="str">
        <f>'04_MOTOR_CÁLCULO'!C845</f>
        <v>Comércio varejista de artigos de iluminação</v>
      </c>
      <c r="D269" s="14" t="str">
        <f>'04_MOTOR_CÁLCULO'!D845</f>
        <v>COMÉRCIO VAREJIS</v>
      </c>
      <c r="E269" s="78" t="str">
        <f>'04_MOTOR_CÁLCULO'!N845</f>
        <v>CNAE-STG</v>
      </c>
      <c r="F269" s="62">
        <f>'04_MOTOR_CÁLCULO'!K845</f>
        <v>0.9</v>
      </c>
      <c r="G269" s="63">
        <f>'04_MOTOR_CÁLCULO'!K845-1</f>
        <v>-9.9999999999999978E-2</v>
      </c>
      <c r="H269" s="17" t="str">
        <f>'04_MOTOR_CÁLCULO'!M845</f>
        <v>Baixo</v>
      </c>
    </row>
    <row r="270" spans="1:8" ht="13.5" customHeight="1" x14ac:dyDescent="0.25">
      <c r="A270" s="24" t="str">
        <f>'04_MOTOR_CÁLCULO'!A846</f>
        <v>4755-5/01</v>
      </c>
      <c r="B270" s="38" t="str">
        <f>'04_MOTOR_CÁLCULO'!B846</f>
        <v>G</v>
      </c>
      <c r="C270" s="100" t="str">
        <f>'04_MOTOR_CÁLCULO'!C846</f>
        <v>Comércio varejista de tecidos</v>
      </c>
      <c r="D270" s="25" t="str">
        <f>'04_MOTOR_CÁLCULO'!D846</f>
        <v>COMÉRCIO VAREJIS</v>
      </c>
      <c r="E270" s="78" t="str">
        <f>'04_MOTOR_CÁLCULO'!N846</f>
        <v>CNAE-STG</v>
      </c>
      <c r="F270" s="62">
        <f>'04_MOTOR_CÁLCULO'!K846</f>
        <v>0.9</v>
      </c>
      <c r="G270" s="63">
        <f>'04_MOTOR_CÁLCULO'!K846-1</f>
        <v>-9.9999999999999978E-2</v>
      </c>
      <c r="H270" s="17" t="str">
        <f>'04_MOTOR_CÁLCULO'!M846</f>
        <v>Baixo</v>
      </c>
    </row>
    <row r="271" spans="1:8" ht="13.5" customHeight="1" x14ac:dyDescent="0.25">
      <c r="A271" s="13" t="str">
        <f>'04_MOTOR_CÁLCULO'!A847</f>
        <v>4755-5/02</v>
      </c>
      <c r="B271" s="49" t="str">
        <f>'04_MOTOR_CÁLCULO'!B847</f>
        <v>G</v>
      </c>
      <c r="C271" s="101" t="str">
        <f>'04_MOTOR_CÁLCULO'!C847</f>
        <v>Comercio varejista de artigos de armarinho</v>
      </c>
      <c r="D271" s="14" t="str">
        <f>'04_MOTOR_CÁLCULO'!D847</f>
        <v>COMÉRCIO VAREJIS</v>
      </c>
      <c r="E271" s="78" t="str">
        <f>'04_MOTOR_CÁLCULO'!N847</f>
        <v>CNAE-STG</v>
      </c>
      <c r="F271" s="62">
        <f>'04_MOTOR_CÁLCULO'!K847</f>
        <v>0.9</v>
      </c>
      <c r="G271" s="63">
        <f>'04_MOTOR_CÁLCULO'!K847-1</f>
        <v>-9.9999999999999978E-2</v>
      </c>
      <c r="H271" s="17" t="str">
        <f>'04_MOTOR_CÁLCULO'!M847</f>
        <v>Baixo</v>
      </c>
    </row>
    <row r="272" spans="1:8" ht="13.5" customHeight="1" x14ac:dyDescent="0.25">
      <c r="A272" s="24" t="str">
        <f>'04_MOTOR_CÁLCULO'!A848</f>
        <v>4755-5/03</v>
      </c>
      <c r="B272" s="38" t="str">
        <f>'04_MOTOR_CÁLCULO'!B848</f>
        <v>G</v>
      </c>
      <c r="C272" s="100" t="str">
        <f>'04_MOTOR_CÁLCULO'!C848</f>
        <v>Comercio varejista de artigos de cama, mesa e banho</v>
      </c>
      <c r="D272" s="25" t="str">
        <f>'04_MOTOR_CÁLCULO'!D848</f>
        <v>COMÉRCIO VAREJIS</v>
      </c>
      <c r="E272" s="78" t="str">
        <f>'04_MOTOR_CÁLCULO'!N848</f>
        <v>CNAE-STG</v>
      </c>
      <c r="F272" s="62">
        <f>'04_MOTOR_CÁLCULO'!K848</f>
        <v>0.9</v>
      </c>
      <c r="G272" s="63">
        <f>'04_MOTOR_CÁLCULO'!K848-1</f>
        <v>-9.9999999999999978E-2</v>
      </c>
      <c r="H272" s="17" t="str">
        <f>'04_MOTOR_CÁLCULO'!M848</f>
        <v>Baixo</v>
      </c>
    </row>
    <row r="273" spans="1:8" ht="13.5" customHeight="1" x14ac:dyDescent="0.25">
      <c r="A273" s="13" t="str">
        <f>'04_MOTOR_CÁLCULO'!A849</f>
        <v>4756-3/00</v>
      </c>
      <c r="B273" s="49" t="str">
        <f>'04_MOTOR_CÁLCULO'!B849</f>
        <v>G</v>
      </c>
      <c r="C273" s="101" t="str">
        <f>'04_MOTOR_CÁLCULO'!C849</f>
        <v>Comércio varejista especializado de instrumentos musicais e acessórios</v>
      </c>
      <c r="D273" s="14" t="str">
        <f>'04_MOTOR_CÁLCULO'!D849</f>
        <v>COMÉRCIO VAREJIS</v>
      </c>
      <c r="E273" s="78" t="str">
        <f>'04_MOTOR_CÁLCULO'!N849</f>
        <v>CNAE-STG</v>
      </c>
      <c r="F273" s="62">
        <f>'04_MOTOR_CÁLCULO'!K849</f>
        <v>0.9</v>
      </c>
      <c r="G273" s="63">
        <f>'04_MOTOR_CÁLCULO'!K849-1</f>
        <v>-9.9999999999999978E-2</v>
      </c>
      <c r="H273" s="17" t="str">
        <f>'04_MOTOR_CÁLCULO'!M849</f>
        <v>Baixo</v>
      </c>
    </row>
    <row r="274" spans="1:8" ht="13.5" customHeight="1" x14ac:dyDescent="0.25">
      <c r="A274" s="24" t="str">
        <f>'04_MOTOR_CÁLCULO'!A850</f>
        <v>4757-1/00</v>
      </c>
      <c r="B274" s="38" t="str">
        <f>'04_MOTOR_CÁLCULO'!B850</f>
        <v>G</v>
      </c>
      <c r="C274" s="100" t="str">
        <f>'04_MOTOR_CÁLCULO'!C850</f>
        <v>Comércio varejista especializado de peças e acessórios para aparelhos eletroeletrônicos para uso doméstico, exceto informática e comunicação</v>
      </c>
      <c r="D274" s="25" t="str">
        <f>'04_MOTOR_CÁLCULO'!D850</f>
        <v>COMÉRCIO VAREJIS</v>
      </c>
      <c r="E274" s="78" t="str">
        <f>'04_MOTOR_CÁLCULO'!N850</f>
        <v>CNAE-STG</v>
      </c>
      <c r="F274" s="62">
        <f>'04_MOTOR_CÁLCULO'!K850</f>
        <v>0.9</v>
      </c>
      <c r="G274" s="63">
        <f>'04_MOTOR_CÁLCULO'!K850-1</f>
        <v>-9.9999999999999978E-2</v>
      </c>
      <c r="H274" s="17" t="str">
        <f>'04_MOTOR_CÁLCULO'!M850</f>
        <v>Baixo</v>
      </c>
    </row>
    <row r="275" spans="1:8" ht="13.5" customHeight="1" x14ac:dyDescent="0.25">
      <c r="A275" s="13" t="str">
        <f>'04_MOTOR_CÁLCULO'!A851</f>
        <v>4759-8/01</v>
      </c>
      <c r="B275" s="49" t="str">
        <f>'04_MOTOR_CÁLCULO'!B851</f>
        <v>G</v>
      </c>
      <c r="C275" s="101" t="str">
        <f>'04_MOTOR_CÁLCULO'!C851</f>
        <v>Comércio varejista de artigos de tapeçaria, cortinas e persianas</v>
      </c>
      <c r="D275" s="14" t="str">
        <f>'04_MOTOR_CÁLCULO'!D851</f>
        <v>COMÉRCIO VAREJIS</v>
      </c>
      <c r="E275" s="78" t="str">
        <f>'04_MOTOR_CÁLCULO'!N851</f>
        <v>CNAE-STG</v>
      </c>
      <c r="F275" s="62">
        <f>'04_MOTOR_CÁLCULO'!K851</f>
        <v>0.9</v>
      </c>
      <c r="G275" s="63">
        <f>'04_MOTOR_CÁLCULO'!K851-1</f>
        <v>-9.9999999999999978E-2</v>
      </c>
      <c r="H275" s="17" t="str">
        <f>'04_MOTOR_CÁLCULO'!M851</f>
        <v>Baixo</v>
      </c>
    </row>
    <row r="276" spans="1:8" ht="13.5" customHeight="1" x14ac:dyDescent="0.25">
      <c r="A276" s="24" t="str">
        <f>'04_MOTOR_CÁLCULO'!A852</f>
        <v>4759-8/99</v>
      </c>
      <c r="B276" s="38" t="str">
        <f>'04_MOTOR_CÁLCULO'!B852</f>
        <v>G</v>
      </c>
      <c r="C276" s="100" t="str">
        <f>'04_MOTOR_CÁLCULO'!C852</f>
        <v>Comércio varejista de outros artigos de uso doméstico não especificados anteriormente</v>
      </c>
      <c r="D276" s="25" t="str">
        <f>'04_MOTOR_CÁLCULO'!D852</f>
        <v>COMÉRCIO VAREJIS</v>
      </c>
      <c r="E276" s="78" t="str">
        <f>'04_MOTOR_CÁLCULO'!N852</f>
        <v>CNAE-STG</v>
      </c>
      <c r="F276" s="62">
        <f>'04_MOTOR_CÁLCULO'!K852</f>
        <v>0.9</v>
      </c>
      <c r="G276" s="63">
        <f>'04_MOTOR_CÁLCULO'!K852-1</f>
        <v>-9.9999999999999978E-2</v>
      </c>
      <c r="H276" s="17" t="str">
        <f>'04_MOTOR_CÁLCULO'!M852</f>
        <v>Baixo</v>
      </c>
    </row>
    <row r="277" spans="1:8" ht="13.5" customHeight="1" x14ac:dyDescent="0.25">
      <c r="A277" s="13" t="str">
        <f>'04_MOTOR_CÁLCULO'!A853</f>
        <v>4761-0/01</v>
      </c>
      <c r="B277" s="49" t="str">
        <f>'04_MOTOR_CÁLCULO'!B853</f>
        <v>G</v>
      </c>
      <c r="C277" s="101" t="str">
        <f>'04_MOTOR_CÁLCULO'!C853</f>
        <v>Comércio varejista de livros</v>
      </c>
      <c r="D277" s="14" t="str">
        <f>'04_MOTOR_CÁLCULO'!D853</f>
        <v>COMÉRCIO VAREJIS</v>
      </c>
      <c r="E277" s="78" t="str">
        <f>'04_MOTOR_CÁLCULO'!N853</f>
        <v>CNAE-STG</v>
      </c>
      <c r="F277" s="62">
        <f>'04_MOTOR_CÁLCULO'!K853</f>
        <v>0.9</v>
      </c>
      <c r="G277" s="63">
        <f>'04_MOTOR_CÁLCULO'!K853-1</f>
        <v>-9.9999999999999978E-2</v>
      </c>
      <c r="H277" s="17" t="str">
        <f>'04_MOTOR_CÁLCULO'!M853</f>
        <v>Baixo</v>
      </c>
    </row>
    <row r="278" spans="1:8" ht="13.5" customHeight="1" x14ac:dyDescent="0.25">
      <c r="A278" s="24" t="str">
        <f>'04_MOTOR_CÁLCULO'!A854</f>
        <v>4761-0/02</v>
      </c>
      <c r="B278" s="38" t="str">
        <f>'04_MOTOR_CÁLCULO'!B854</f>
        <v>G</v>
      </c>
      <c r="C278" s="100" t="str">
        <f>'04_MOTOR_CÁLCULO'!C854</f>
        <v>Comércio varejista de jornais e revistas</v>
      </c>
      <c r="D278" s="25" t="str">
        <f>'04_MOTOR_CÁLCULO'!D854</f>
        <v>COMÉRCIO VAREJIS</v>
      </c>
      <c r="E278" s="78" t="str">
        <f>'04_MOTOR_CÁLCULO'!N854</f>
        <v>CNAE-STG</v>
      </c>
      <c r="F278" s="62">
        <f>'04_MOTOR_CÁLCULO'!K854</f>
        <v>0.9</v>
      </c>
      <c r="G278" s="63">
        <f>'04_MOTOR_CÁLCULO'!K854-1</f>
        <v>-9.9999999999999978E-2</v>
      </c>
      <c r="H278" s="17" t="str">
        <f>'04_MOTOR_CÁLCULO'!M854</f>
        <v>Baixo</v>
      </c>
    </row>
    <row r="279" spans="1:8" ht="13.5" customHeight="1" x14ac:dyDescent="0.25">
      <c r="A279" s="13" t="str">
        <f>'04_MOTOR_CÁLCULO'!A855</f>
        <v>4761-0/03</v>
      </c>
      <c r="B279" s="49" t="str">
        <f>'04_MOTOR_CÁLCULO'!B855</f>
        <v>G</v>
      </c>
      <c r="C279" s="101" t="str">
        <f>'04_MOTOR_CÁLCULO'!C855</f>
        <v>Comércio varejista de artigos de papelaria</v>
      </c>
      <c r="D279" s="14" t="str">
        <f>'04_MOTOR_CÁLCULO'!D855</f>
        <v>COMÉRCIO VAREJIS</v>
      </c>
      <c r="E279" s="78" t="str">
        <f>'04_MOTOR_CÁLCULO'!N855</f>
        <v>CNAE-STG</v>
      </c>
      <c r="F279" s="62">
        <f>'04_MOTOR_CÁLCULO'!K855</f>
        <v>0.9</v>
      </c>
      <c r="G279" s="63">
        <f>'04_MOTOR_CÁLCULO'!K855-1</f>
        <v>-9.9999999999999978E-2</v>
      </c>
      <c r="H279" s="17" t="str">
        <f>'04_MOTOR_CÁLCULO'!M855</f>
        <v>Baixo</v>
      </c>
    </row>
    <row r="280" spans="1:8" ht="13.5" customHeight="1" x14ac:dyDescent="0.25">
      <c r="A280" s="24" t="str">
        <f>'04_MOTOR_CÁLCULO'!A856</f>
        <v>4762-8/00</v>
      </c>
      <c r="B280" s="38" t="str">
        <f>'04_MOTOR_CÁLCULO'!B856</f>
        <v>G</v>
      </c>
      <c r="C280" s="100" t="str">
        <f>'04_MOTOR_CÁLCULO'!C856</f>
        <v>Comércio varejista de discos, CDs, DVDs e fitas</v>
      </c>
      <c r="D280" s="25" t="str">
        <f>'04_MOTOR_CÁLCULO'!D856</f>
        <v>COMÉRCIO VAREJIS</v>
      </c>
      <c r="E280" s="78" t="str">
        <f>'04_MOTOR_CÁLCULO'!N856</f>
        <v>CNAE-STG</v>
      </c>
      <c r="F280" s="62">
        <f>'04_MOTOR_CÁLCULO'!K856</f>
        <v>0.9</v>
      </c>
      <c r="G280" s="63">
        <f>'04_MOTOR_CÁLCULO'!K856-1</f>
        <v>-9.9999999999999978E-2</v>
      </c>
      <c r="H280" s="17" t="str">
        <f>'04_MOTOR_CÁLCULO'!M856</f>
        <v>Baixo</v>
      </c>
    </row>
    <row r="281" spans="1:8" ht="13.5" customHeight="1" x14ac:dyDescent="0.25">
      <c r="A281" s="13" t="str">
        <f>'04_MOTOR_CÁLCULO'!A857</f>
        <v>4763-6/01</v>
      </c>
      <c r="B281" s="49" t="str">
        <f>'04_MOTOR_CÁLCULO'!B857</f>
        <v>G</v>
      </c>
      <c r="C281" s="101" t="str">
        <f>'04_MOTOR_CÁLCULO'!C857</f>
        <v>Comércio varejista de brinquedos e artigos recreativos</v>
      </c>
      <c r="D281" s="14" t="str">
        <f>'04_MOTOR_CÁLCULO'!D857</f>
        <v>COMÉRCIO VAREJIS</v>
      </c>
      <c r="E281" s="78" t="str">
        <f>'04_MOTOR_CÁLCULO'!N857</f>
        <v>CNAE-STG</v>
      </c>
      <c r="F281" s="62">
        <f>'04_MOTOR_CÁLCULO'!K857</f>
        <v>0.9</v>
      </c>
      <c r="G281" s="63">
        <f>'04_MOTOR_CÁLCULO'!K857-1</f>
        <v>-9.9999999999999978E-2</v>
      </c>
      <c r="H281" s="17" t="str">
        <f>'04_MOTOR_CÁLCULO'!M857</f>
        <v>Baixo</v>
      </c>
    </row>
    <row r="282" spans="1:8" ht="13.5" customHeight="1" x14ac:dyDescent="0.25">
      <c r="A282" s="24" t="str">
        <f>'04_MOTOR_CÁLCULO'!A858</f>
        <v>4763-6/02</v>
      </c>
      <c r="B282" s="38" t="str">
        <f>'04_MOTOR_CÁLCULO'!B858</f>
        <v>G</v>
      </c>
      <c r="C282" s="100" t="str">
        <f>'04_MOTOR_CÁLCULO'!C858</f>
        <v>Comércio varejista de artigos esportivos</v>
      </c>
      <c r="D282" s="25" t="str">
        <f>'04_MOTOR_CÁLCULO'!D858</f>
        <v>COMÉRCIO VAREJIS</v>
      </c>
      <c r="E282" s="78" t="str">
        <f>'04_MOTOR_CÁLCULO'!N858</f>
        <v>CNAE-STG</v>
      </c>
      <c r="F282" s="62">
        <f>'04_MOTOR_CÁLCULO'!K858</f>
        <v>0.9</v>
      </c>
      <c r="G282" s="63">
        <f>'04_MOTOR_CÁLCULO'!K858-1</f>
        <v>-9.9999999999999978E-2</v>
      </c>
      <c r="H282" s="17" t="str">
        <f>'04_MOTOR_CÁLCULO'!M858</f>
        <v>Baixo</v>
      </c>
    </row>
    <row r="283" spans="1:8" ht="13.5" customHeight="1" x14ac:dyDescent="0.25">
      <c r="A283" s="13" t="str">
        <f>'04_MOTOR_CÁLCULO'!A859</f>
        <v>4763-6/03</v>
      </c>
      <c r="B283" s="49" t="str">
        <f>'04_MOTOR_CÁLCULO'!B859</f>
        <v>G</v>
      </c>
      <c r="C283" s="101" t="str">
        <f>'04_MOTOR_CÁLCULO'!C859</f>
        <v>Comércio varejista de bicicletas e triciclos; peças e acessórios</v>
      </c>
      <c r="D283" s="14" t="str">
        <f>'04_MOTOR_CÁLCULO'!D859</f>
        <v>COMÉRCIO VAREJIS</v>
      </c>
      <c r="E283" s="78" t="str">
        <f>'04_MOTOR_CÁLCULO'!N859</f>
        <v>CNAE-STG</v>
      </c>
      <c r="F283" s="62">
        <f>'04_MOTOR_CÁLCULO'!K859</f>
        <v>0.9</v>
      </c>
      <c r="G283" s="63">
        <f>'04_MOTOR_CÁLCULO'!K859-1</f>
        <v>-9.9999999999999978E-2</v>
      </c>
      <c r="H283" s="17" t="str">
        <f>'04_MOTOR_CÁLCULO'!M859</f>
        <v>Baixo</v>
      </c>
    </row>
    <row r="284" spans="1:8" ht="13.5" customHeight="1" x14ac:dyDescent="0.25">
      <c r="A284" s="24" t="str">
        <f>'04_MOTOR_CÁLCULO'!A860</f>
        <v>4763-6/04</v>
      </c>
      <c r="B284" s="38" t="str">
        <f>'04_MOTOR_CÁLCULO'!B860</f>
        <v>G</v>
      </c>
      <c r="C284" s="100" t="str">
        <f>'04_MOTOR_CÁLCULO'!C860</f>
        <v>Comércio varejista de artigos de caça, pesca e camping</v>
      </c>
      <c r="D284" s="25" t="str">
        <f>'04_MOTOR_CÁLCULO'!D860</f>
        <v>COMÉRCIO VAREJIS</v>
      </c>
      <c r="E284" s="78" t="str">
        <f>'04_MOTOR_CÁLCULO'!N860</f>
        <v>CNAE-STG</v>
      </c>
      <c r="F284" s="62">
        <f>'04_MOTOR_CÁLCULO'!K860</f>
        <v>0.9</v>
      </c>
      <c r="G284" s="63">
        <f>'04_MOTOR_CÁLCULO'!K860-1</f>
        <v>-9.9999999999999978E-2</v>
      </c>
      <c r="H284" s="17" t="str">
        <f>'04_MOTOR_CÁLCULO'!M860</f>
        <v>Baixo</v>
      </c>
    </row>
    <row r="285" spans="1:8" ht="13.5" customHeight="1" x14ac:dyDescent="0.25">
      <c r="A285" s="13" t="str">
        <f>'04_MOTOR_CÁLCULO'!A861</f>
        <v>4763-6/05</v>
      </c>
      <c r="B285" s="49" t="str">
        <f>'04_MOTOR_CÁLCULO'!B861</f>
        <v>G</v>
      </c>
      <c r="C285" s="101" t="str">
        <f>'04_MOTOR_CÁLCULO'!C861</f>
        <v>Comércio varejista de embarcações e outros veículos recreativos; peças e acessórios</v>
      </c>
      <c r="D285" s="14" t="str">
        <f>'04_MOTOR_CÁLCULO'!D861</f>
        <v>COMÉRCIO VAREJIS</v>
      </c>
      <c r="E285" s="78" t="str">
        <f>'04_MOTOR_CÁLCULO'!N861</f>
        <v>CNAE-STG</v>
      </c>
      <c r="F285" s="62">
        <f>'04_MOTOR_CÁLCULO'!K861</f>
        <v>0.9</v>
      </c>
      <c r="G285" s="63">
        <f>'04_MOTOR_CÁLCULO'!K861-1</f>
        <v>-9.9999999999999978E-2</v>
      </c>
      <c r="H285" s="17" t="str">
        <f>'04_MOTOR_CÁLCULO'!M861</f>
        <v>Baixo</v>
      </c>
    </row>
    <row r="286" spans="1:8" ht="13.5" customHeight="1" x14ac:dyDescent="0.25">
      <c r="A286" s="24" t="str">
        <f>'04_MOTOR_CÁLCULO'!A862</f>
        <v>4771-7/01</v>
      </c>
      <c r="B286" s="38" t="str">
        <f>'04_MOTOR_CÁLCULO'!B862</f>
        <v>G</v>
      </c>
      <c r="C286" s="100" t="str">
        <f>'04_MOTOR_CÁLCULO'!C862</f>
        <v>Comércio varejista de produtos farmacêuticos, sem manipulação de fórmulas</v>
      </c>
      <c r="D286" s="25" t="str">
        <f>'04_MOTOR_CÁLCULO'!D862</f>
        <v>COMÉRCIO VAREJIS</v>
      </c>
      <c r="E286" s="78" t="str">
        <f>'04_MOTOR_CÁLCULO'!N862</f>
        <v>CNAE-STG</v>
      </c>
      <c r="F286" s="62">
        <f>'04_MOTOR_CÁLCULO'!K862</f>
        <v>0.9</v>
      </c>
      <c r="G286" s="63">
        <f>'04_MOTOR_CÁLCULO'!K862-1</f>
        <v>-9.9999999999999978E-2</v>
      </c>
      <c r="H286" s="17" t="str">
        <f>'04_MOTOR_CÁLCULO'!M862</f>
        <v>Baixo</v>
      </c>
    </row>
    <row r="287" spans="1:8" ht="13.5" customHeight="1" x14ac:dyDescent="0.25">
      <c r="A287" s="13" t="str">
        <f>'04_MOTOR_CÁLCULO'!A863</f>
        <v>4771-7/02</v>
      </c>
      <c r="B287" s="49" t="str">
        <f>'04_MOTOR_CÁLCULO'!B863</f>
        <v>G</v>
      </c>
      <c r="C287" s="101" t="str">
        <f>'04_MOTOR_CÁLCULO'!C863</f>
        <v>Comércio varejista de produtos farmacêuticos, com manipulação de fórmulas</v>
      </c>
      <c r="D287" s="14" t="str">
        <f>'04_MOTOR_CÁLCULO'!D863</f>
        <v>COMÉRCIO VAREJIS</v>
      </c>
      <c r="E287" s="78" t="str">
        <f>'04_MOTOR_CÁLCULO'!N863</f>
        <v>CNAE-STG</v>
      </c>
      <c r="F287" s="62">
        <f>'04_MOTOR_CÁLCULO'!K863</f>
        <v>0.9</v>
      </c>
      <c r="G287" s="63">
        <f>'04_MOTOR_CÁLCULO'!K863-1</f>
        <v>-9.9999999999999978E-2</v>
      </c>
      <c r="H287" s="17" t="str">
        <f>'04_MOTOR_CÁLCULO'!M863</f>
        <v>Baixo</v>
      </c>
    </row>
    <row r="288" spans="1:8" ht="13.5" customHeight="1" x14ac:dyDescent="0.25">
      <c r="A288" s="24" t="str">
        <f>'04_MOTOR_CÁLCULO'!A864</f>
        <v>4771-7/03</v>
      </c>
      <c r="B288" s="38" t="str">
        <f>'04_MOTOR_CÁLCULO'!B864</f>
        <v>G</v>
      </c>
      <c r="C288" s="100" t="str">
        <f>'04_MOTOR_CÁLCULO'!C864</f>
        <v>Comércio varejista de produtos farmacêuticos homeopáticos</v>
      </c>
      <c r="D288" s="25" t="str">
        <f>'04_MOTOR_CÁLCULO'!D864</f>
        <v>COMÉRCIO VAREJIS</v>
      </c>
      <c r="E288" s="78" t="str">
        <f>'04_MOTOR_CÁLCULO'!N864</f>
        <v>CNAE-STG</v>
      </c>
      <c r="F288" s="62">
        <f>'04_MOTOR_CÁLCULO'!K864</f>
        <v>0.9</v>
      </c>
      <c r="G288" s="63">
        <f>'04_MOTOR_CÁLCULO'!K864-1</f>
        <v>-9.9999999999999978E-2</v>
      </c>
      <c r="H288" s="17" t="str">
        <f>'04_MOTOR_CÁLCULO'!M864</f>
        <v>Baixo</v>
      </c>
    </row>
    <row r="289" spans="1:8" ht="13.5" customHeight="1" x14ac:dyDescent="0.25">
      <c r="A289" s="13" t="str">
        <f>'04_MOTOR_CÁLCULO'!A865</f>
        <v>4771-7/04</v>
      </c>
      <c r="B289" s="49" t="str">
        <f>'04_MOTOR_CÁLCULO'!B865</f>
        <v>G</v>
      </c>
      <c r="C289" s="101" t="str">
        <f>'04_MOTOR_CÁLCULO'!C865</f>
        <v>Comércio varejista de medicamentos veterinários</v>
      </c>
      <c r="D289" s="14" t="str">
        <f>'04_MOTOR_CÁLCULO'!D865</f>
        <v>COMÉRCIO VAREJIS</v>
      </c>
      <c r="E289" s="78" t="str">
        <f>'04_MOTOR_CÁLCULO'!N865</f>
        <v>CNAE-STG</v>
      </c>
      <c r="F289" s="62">
        <f>'04_MOTOR_CÁLCULO'!K865</f>
        <v>0.9</v>
      </c>
      <c r="G289" s="63">
        <f>'04_MOTOR_CÁLCULO'!K865-1</f>
        <v>-9.9999999999999978E-2</v>
      </c>
      <c r="H289" s="17" t="str">
        <f>'04_MOTOR_CÁLCULO'!M865</f>
        <v>Baixo</v>
      </c>
    </row>
    <row r="290" spans="1:8" ht="13.5" customHeight="1" x14ac:dyDescent="0.25">
      <c r="A290" s="24" t="str">
        <f>'04_MOTOR_CÁLCULO'!A866</f>
        <v>4772-5/00</v>
      </c>
      <c r="B290" s="38" t="str">
        <f>'04_MOTOR_CÁLCULO'!B866</f>
        <v>G</v>
      </c>
      <c r="C290" s="100" t="str">
        <f>'04_MOTOR_CÁLCULO'!C866</f>
        <v>Comércio varejista de cosméticos, produtos de perfumaria e de higiene pessoal</v>
      </c>
      <c r="D290" s="25" t="str">
        <f>'04_MOTOR_CÁLCULO'!D866</f>
        <v>COMÉRCIO VAREJIS</v>
      </c>
      <c r="E290" s="78" t="str">
        <f>'04_MOTOR_CÁLCULO'!N866</f>
        <v>CNAE-STG</v>
      </c>
      <c r="F290" s="62">
        <f>'04_MOTOR_CÁLCULO'!K866</f>
        <v>0.9</v>
      </c>
      <c r="G290" s="63">
        <f>'04_MOTOR_CÁLCULO'!K866-1</f>
        <v>-9.9999999999999978E-2</v>
      </c>
      <c r="H290" s="17" t="str">
        <f>'04_MOTOR_CÁLCULO'!M866</f>
        <v>Baixo</v>
      </c>
    </row>
    <row r="291" spans="1:8" ht="13.5" customHeight="1" x14ac:dyDescent="0.25">
      <c r="A291" s="13" t="str">
        <f>'04_MOTOR_CÁLCULO'!A867</f>
        <v>4773-3/00</v>
      </c>
      <c r="B291" s="49" t="str">
        <f>'04_MOTOR_CÁLCULO'!B867</f>
        <v>G</v>
      </c>
      <c r="C291" s="101" t="str">
        <f>'04_MOTOR_CÁLCULO'!C867</f>
        <v>Comércio varejista de artigos médicos e ortopédicos</v>
      </c>
      <c r="D291" s="14" t="str">
        <f>'04_MOTOR_CÁLCULO'!D867</f>
        <v>COMÉRCIO VAREJIS</v>
      </c>
      <c r="E291" s="78" t="str">
        <f>'04_MOTOR_CÁLCULO'!N867</f>
        <v>CNAE-STG</v>
      </c>
      <c r="F291" s="62">
        <f>'04_MOTOR_CÁLCULO'!K867</f>
        <v>0.9</v>
      </c>
      <c r="G291" s="63">
        <f>'04_MOTOR_CÁLCULO'!K867-1</f>
        <v>-9.9999999999999978E-2</v>
      </c>
      <c r="H291" s="17" t="str">
        <f>'04_MOTOR_CÁLCULO'!M867</f>
        <v>Baixo</v>
      </c>
    </row>
    <row r="292" spans="1:8" ht="13.5" customHeight="1" x14ac:dyDescent="0.25">
      <c r="A292" s="24" t="str">
        <f>'04_MOTOR_CÁLCULO'!A868</f>
        <v>4774-1/00</v>
      </c>
      <c r="B292" s="38" t="str">
        <f>'04_MOTOR_CÁLCULO'!B868</f>
        <v>G</v>
      </c>
      <c r="C292" s="100" t="str">
        <f>'04_MOTOR_CÁLCULO'!C868</f>
        <v>Comércio varejista de artigos de óptica</v>
      </c>
      <c r="D292" s="25" t="str">
        <f>'04_MOTOR_CÁLCULO'!D868</f>
        <v>COMÉRCIO VAREJIS</v>
      </c>
      <c r="E292" s="78" t="str">
        <f>'04_MOTOR_CÁLCULO'!N868</f>
        <v>CNAE-STG</v>
      </c>
      <c r="F292" s="62">
        <f>'04_MOTOR_CÁLCULO'!K868</f>
        <v>0.9</v>
      </c>
      <c r="G292" s="63">
        <f>'04_MOTOR_CÁLCULO'!K868-1</f>
        <v>-9.9999999999999978E-2</v>
      </c>
      <c r="H292" s="17" t="str">
        <f>'04_MOTOR_CÁLCULO'!M868</f>
        <v>Baixo</v>
      </c>
    </row>
    <row r="293" spans="1:8" ht="13.5" customHeight="1" x14ac:dyDescent="0.25">
      <c r="A293" s="13" t="str">
        <f>'04_MOTOR_CÁLCULO'!A869</f>
        <v>4781-4/00</v>
      </c>
      <c r="B293" s="49" t="str">
        <f>'04_MOTOR_CÁLCULO'!B869</f>
        <v>G</v>
      </c>
      <c r="C293" s="101" t="str">
        <f>'04_MOTOR_CÁLCULO'!C869</f>
        <v>Comércio varejista de artigos do vestuário e acessórios</v>
      </c>
      <c r="D293" s="14" t="str">
        <f>'04_MOTOR_CÁLCULO'!D869</f>
        <v>COMÉRCIO VAREJIS</v>
      </c>
      <c r="E293" s="78" t="str">
        <f>'04_MOTOR_CÁLCULO'!N869</f>
        <v>CNAE-STG</v>
      </c>
      <c r="F293" s="62">
        <f>'04_MOTOR_CÁLCULO'!K869</f>
        <v>0.9</v>
      </c>
      <c r="G293" s="63">
        <f>'04_MOTOR_CÁLCULO'!K869-1</f>
        <v>-9.9999999999999978E-2</v>
      </c>
      <c r="H293" s="17" t="str">
        <f>'04_MOTOR_CÁLCULO'!M869</f>
        <v>Baixo</v>
      </c>
    </row>
    <row r="294" spans="1:8" ht="13.5" customHeight="1" x14ac:dyDescent="0.25">
      <c r="A294" s="24" t="str">
        <f>'04_MOTOR_CÁLCULO'!A870</f>
        <v>4782-2/01</v>
      </c>
      <c r="B294" s="38" t="str">
        <f>'04_MOTOR_CÁLCULO'!B870</f>
        <v>G</v>
      </c>
      <c r="C294" s="100" t="str">
        <f>'04_MOTOR_CÁLCULO'!C870</f>
        <v>Comércio varejista de calçados</v>
      </c>
      <c r="D294" s="25" t="str">
        <f>'04_MOTOR_CÁLCULO'!D870</f>
        <v>COMÉRCIO VAREJIS</v>
      </c>
      <c r="E294" s="78" t="str">
        <f>'04_MOTOR_CÁLCULO'!N870</f>
        <v>CNAE-STG</v>
      </c>
      <c r="F294" s="62">
        <f>'04_MOTOR_CÁLCULO'!K870</f>
        <v>0.9</v>
      </c>
      <c r="G294" s="63">
        <f>'04_MOTOR_CÁLCULO'!K870-1</f>
        <v>-9.9999999999999978E-2</v>
      </c>
      <c r="H294" s="17" t="str">
        <f>'04_MOTOR_CÁLCULO'!M870</f>
        <v>Baixo</v>
      </c>
    </row>
    <row r="295" spans="1:8" ht="13.5" customHeight="1" x14ac:dyDescent="0.25">
      <c r="A295" s="13" t="str">
        <f>'04_MOTOR_CÁLCULO'!A871</f>
        <v>4782-2/02</v>
      </c>
      <c r="B295" s="49" t="str">
        <f>'04_MOTOR_CÁLCULO'!B871</f>
        <v>G</v>
      </c>
      <c r="C295" s="101" t="str">
        <f>'04_MOTOR_CÁLCULO'!C871</f>
        <v>Comércio varejista de artigos de viagem</v>
      </c>
      <c r="D295" s="14" t="str">
        <f>'04_MOTOR_CÁLCULO'!D871</f>
        <v>COMÉRCIO VAREJIS</v>
      </c>
      <c r="E295" s="78" t="str">
        <f>'04_MOTOR_CÁLCULO'!N871</f>
        <v>CNAE-STG</v>
      </c>
      <c r="F295" s="62">
        <f>'04_MOTOR_CÁLCULO'!K871</f>
        <v>0.9</v>
      </c>
      <c r="G295" s="63">
        <f>'04_MOTOR_CÁLCULO'!K871-1</f>
        <v>-9.9999999999999978E-2</v>
      </c>
      <c r="H295" s="17" t="str">
        <f>'04_MOTOR_CÁLCULO'!M871</f>
        <v>Baixo</v>
      </c>
    </row>
    <row r="296" spans="1:8" ht="13.5" customHeight="1" x14ac:dyDescent="0.25">
      <c r="A296" s="24" t="str">
        <f>'04_MOTOR_CÁLCULO'!A872</f>
        <v>4783-1/01</v>
      </c>
      <c r="B296" s="38" t="str">
        <f>'04_MOTOR_CÁLCULO'!B872</f>
        <v>G</v>
      </c>
      <c r="C296" s="100" t="str">
        <f>'04_MOTOR_CÁLCULO'!C872</f>
        <v>Comércio varejista de artigos de joalheria</v>
      </c>
      <c r="D296" s="25" t="str">
        <f>'04_MOTOR_CÁLCULO'!D872</f>
        <v>COMÉRCIO VAREJIS</v>
      </c>
      <c r="E296" s="78" t="str">
        <f>'04_MOTOR_CÁLCULO'!N872</f>
        <v>CNAE-STG</v>
      </c>
      <c r="F296" s="62">
        <f>'04_MOTOR_CÁLCULO'!K872</f>
        <v>0.9</v>
      </c>
      <c r="G296" s="63">
        <f>'04_MOTOR_CÁLCULO'!K872-1</f>
        <v>-9.9999999999999978E-2</v>
      </c>
      <c r="H296" s="17" t="str">
        <f>'04_MOTOR_CÁLCULO'!M872</f>
        <v>Baixo</v>
      </c>
    </row>
    <row r="297" spans="1:8" ht="13.5" customHeight="1" x14ac:dyDescent="0.25">
      <c r="A297" s="13" t="str">
        <f>'04_MOTOR_CÁLCULO'!A873</f>
        <v>4783-1/02</v>
      </c>
      <c r="B297" s="49" t="str">
        <f>'04_MOTOR_CÁLCULO'!B873</f>
        <v>G</v>
      </c>
      <c r="C297" s="101" t="str">
        <f>'04_MOTOR_CÁLCULO'!C873</f>
        <v>Comércio varejista de artigos de relojoaria</v>
      </c>
      <c r="D297" s="14" t="str">
        <f>'04_MOTOR_CÁLCULO'!D873</f>
        <v>COMÉRCIO VAREJIS</v>
      </c>
      <c r="E297" s="78" t="str">
        <f>'04_MOTOR_CÁLCULO'!N873</f>
        <v>CNAE-STG</v>
      </c>
      <c r="F297" s="62">
        <f>'04_MOTOR_CÁLCULO'!K873</f>
        <v>0.9</v>
      </c>
      <c r="G297" s="63">
        <f>'04_MOTOR_CÁLCULO'!K873-1</f>
        <v>-9.9999999999999978E-2</v>
      </c>
      <c r="H297" s="17" t="str">
        <f>'04_MOTOR_CÁLCULO'!M873</f>
        <v>Baixo</v>
      </c>
    </row>
    <row r="298" spans="1:8" ht="13.5" customHeight="1" x14ac:dyDescent="0.25">
      <c r="A298" s="24" t="str">
        <f>'04_MOTOR_CÁLCULO'!A874</f>
        <v>4784-9/00</v>
      </c>
      <c r="B298" s="38" t="str">
        <f>'04_MOTOR_CÁLCULO'!B874</f>
        <v>G</v>
      </c>
      <c r="C298" s="100" t="str">
        <f>'04_MOTOR_CÁLCULO'!C874</f>
        <v>Comércio varejista de gás liqüefeito de petróleo (GLP)</v>
      </c>
      <c r="D298" s="25" t="str">
        <f>'04_MOTOR_CÁLCULO'!D874</f>
        <v>COMÉRCIO VAREJIS</v>
      </c>
      <c r="E298" s="78" t="str">
        <f>'04_MOTOR_CÁLCULO'!N874</f>
        <v>CNAE-STG</v>
      </c>
      <c r="F298" s="62">
        <f>'04_MOTOR_CÁLCULO'!K874</f>
        <v>0.9</v>
      </c>
      <c r="G298" s="63">
        <f>'04_MOTOR_CÁLCULO'!K874-1</f>
        <v>-9.9999999999999978E-2</v>
      </c>
      <c r="H298" s="17" t="str">
        <f>'04_MOTOR_CÁLCULO'!M874</f>
        <v>Baixo</v>
      </c>
    </row>
    <row r="299" spans="1:8" ht="13.5" customHeight="1" x14ac:dyDescent="0.25">
      <c r="A299" s="13" t="str">
        <f>'04_MOTOR_CÁLCULO'!A875</f>
        <v>4785-7/01</v>
      </c>
      <c r="B299" s="49" t="str">
        <f>'04_MOTOR_CÁLCULO'!B875</f>
        <v>G</v>
      </c>
      <c r="C299" s="101" t="str">
        <f>'04_MOTOR_CÁLCULO'!C875</f>
        <v>Comércio varejista de antiguidades</v>
      </c>
      <c r="D299" s="14" t="str">
        <f>'04_MOTOR_CÁLCULO'!D875</f>
        <v>COMÉRCIO VAREJIS</v>
      </c>
      <c r="E299" s="78" t="str">
        <f>'04_MOTOR_CÁLCULO'!N875</f>
        <v>CNAE-STG</v>
      </c>
      <c r="F299" s="62">
        <f>'04_MOTOR_CÁLCULO'!K875</f>
        <v>0.9</v>
      </c>
      <c r="G299" s="63">
        <f>'04_MOTOR_CÁLCULO'!K875-1</f>
        <v>-9.9999999999999978E-2</v>
      </c>
      <c r="H299" s="17" t="str">
        <f>'04_MOTOR_CÁLCULO'!M875</f>
        <v>Baixo</v>
      </c>
    </row>
    <row r="300" spans="1:8" ht="13.5" customHeight="1" x14ac:dyDescent="0.25">
      <c r="A300" s="24" t="str">
        <f>'04_MOTOR_CÁLCULO'!A876</f>
        <v>4785-7/99</v>
      </c>
      <c r="B300" s="38" t="str">
        <f>'04_MOTOR_CÁLCULO'!B876</f>
        <v>G</v>
      </c>
      <c r="C300" s="100" t="str">
        <f>'04_MOTOR_CÁLCULO'!C876</f>
        <v>Comércio varejista de outros artigos usados</v>
      </c>
      <c r="D300" s="25" t="str">
        <f>'04_MOTOR_CÁLCULO'!D876</f>
        <v>COMÉRCIO VAREJIS</v>
      </c>
      <c r="E300" s="78" t="str">
        <f>'04_MOTOR_CÁLCULO'!N876</f>
        <v>CNAE-STG</v>
      </c>
      <c r="F300" s="62">
        <f>'04_MOTOR_CÁLCULO'!K876</f>
        <v>0.9</v>
      </c>
      <c r="G300" s="63">
        <f>'04_MOTOR_CÁLCULO'!K876-1</f>
        <v>-9.9999999999999978E-2</v>
      </c>
      <c r="H300" s="17" t="str">
        <f>'04_MOTOR_CÁLCULO'!M876</f>
        <v>Baixo</v>
      </c>
    </row>
    <row r="301" spans="1:8" ht="13.5" customHeight="1" x14ac:dyDescent="0.25">
      <c r="A301" s="13" t="str">
        <f>'04_MOTOR_CÁLCULO'!A877</f>
        <v>4789-0/01</v>
      </c>
      <c r="B301" s="49" t="str">
        <f>'04_MOTOR_CÁLCULO'!B877</f>
        <v>G</v>
      </c>
      <c r="C301" s="101" t="str">
        <f>'04_MOTOR_CÁLCULO'!C877</f>
        <v>Comércio varejista de suvenires, bijuterias e artesanatos</v>
      </c>
      <c r="D301" s="14" t="str">
        <f>'04_MOTOR_CÁLCULO'!D877</f>
        <v>COMÉRCIO VAREJIS</v>
      </c>
      <c r="E301" s="78" t="str">
        <f>'04_MOTOR_CÁLCULO'!N877</f>
        <v>CNAE-STG</v>
      </c>
      <c r="F301" s="62">
        <f>'04_MOTOR_CÁLCULO'!K877</f>
        <v>0.9</v>
      </c>
      <c r="G301" s="63">
        <f>'04_MOTOR_CÁLCULO'!K877-1</f>
        <v>-9.9999999999999978E-2</v>
      </c>
      <c r="H301" s="17" t="str">
        <f>'04_MOTOR_CÁLCULO'!M877</f>
        <v>Baixo</v>
      </c>
    </row>
    <row r="302" spans="1:8" ht="13.5" customHeight="1" x14ac:dyDescent="0.25">
      <c r="A302" s="24" t="str">
        <f>'04_MOTOR_CÁLCULO'!A878</f>
        <v>4789-0/02</v>
      </c>
      <c r="B302" s="38" t="str">
        <f>'04_MOTOR_CÁLCULO'!B878</f>
        <v>G</v>
      </c>
      <c r="C302" s="100" t="str">
        <f>'04_MOTOR_CÁLCULO'!C878</f>
        <v>Comércio varejista de plantas e flores naturais</v>
      </c>
      <c r="D302" s="25" t="str">
        <f>'04_MOTOR_CÁLCULO'!D878</f>
        <v>COMÉRCIO VAREJIS</v>
      </c>
      <c r="E302" s="78" t="str">
        <f>'04_MOTOR_CÁLCULO'!N878</f>
        <v>CNAE-STG</v>
      </c>
      <c r="F302" s="62">
        <f>'04_MOTOR_CÁLCULO'!K878</f>
        <v>0.9</v>
      </c>
      <c r="G302" s="63">
        <f>'04_MOTOR_CÁLCULO'!K878-1</f>
        <v>-9.9999999999999978E-2</v>
      </c>
      <c r="H302" s="17" t="str">
        <f>'04_MOTOR_CÁLCULO'!M878</f>
        <v>Baixo</v>
      </c>
    </row>
    <row r="303" spans="1:8" ht="13.5" customHeight="1" x14ac:dyDescent="0.25">
      <c r="A303" s="13" t="str">
        <f>'04_MOTOR_CÁLCULO'!A879</f>
        <v>4789-0/03</v>
      </c>
      <c r="B303" s="49" t="str">
        <f>'04_MOTOR_CÁLCULO'!B879</f>
        <v>G</v>
      </c>
      <c r="C303" s="101" t="str">
        <f>'04_MOTOR_CÁLCULO'!C879</f>
        <v>Comércio varejista de objetos de arte</v>
      </c>
      <c r="D303" s="14" t="str">
        <f>'04_MOTOR_CÁLCULO'!D879</f>
        <v>COMÉRCIO VAREJIS</v>
      </c>
      <c r="E303" s="78" t="str">
        <f>'04_MOTOR_CÁLCULO'!N879</f>
        <v>CNAE-STG</v>
      </c>
      <c r="F303" s="62">
        <f>'04_MOTOR_CÁLCULO'!K879</f>
        <v>0.9</v>
      </c>
      <c r="G303" s="63">
        <f>'04_MOTOR_CÁLCULO'!K879-1</f>
        <v>-9.9999999999999978E-2</v>
      </c>
      <c r="H303" s="17" t="str">
        <f>'04_MOTOR_CÁLCULO'!M879</f>
        <v>Baixo</v>
      </c>
    </row>
    <row r="304" spans="1:8" ht="13.5" customHeight="1" x14ac:dyDescent="0.25">
      <c r="A304" s="24" t="str">
        <f>'04_MOTOR_CÁLCULO'!A880</f>
        <v>4789-0/04</v>
      </c>
      <c r="B304" s="38" t="str">
        <f>'04_MOTOR_CÁLCULO'!B880</f>
        <v>G</v>
      </c>
      <c r="C304" s="100" t="str">
        <f>'04_MOTOR_CÁLCULO'!C880</f>
        <v>Comércio varejista de animais vivos e de artigos e alimentos para animais de estimação</v>
      </c>
      <c r="D304" s="25" t="str">
        <f>'04_MOTOR_CÁLCULO'!D880</f>
        <v>COMÉRCIO VAREJIS</v>
      </c>
      <c r="E304" s="78" t="str">
        <f>'04_MOTOR_CÁLCULO'!N880</f>
        <v>CNAE-STG</v>
      </c>
      <c r="F304" s="62">
        <f>'04_MOTOR_CÁLCULO'!K880</f>
        <v>0.9</v>
      </c>
      <c r="G304" s="63">
        <f>'04_MOTOR_CÁLCULO'!K880-1</f>
        <v>-9.9999999999999978E-2</v>
      </c>
      <c r="H304" s="17" t="str">
        <f>'04_MOTOR_CÁLCULO'!M880</f>
        <v>Baixo</v>
      </c>
    </row>
    <row r="305" spans="1:8" ht="13.5" customHeight="1" x14ac:dyDescent="0.25">
      <c r="A305" s="13" t="str">
        <f>'04_MOTOR_CÁLCULO'!A881</f>
        <v>4789-0/05</v>
      </c>
      <c r="B305" s="49" t="str">
        <f>'04_MOTOR_CÁLCULO'!B881</f>
        <v>G</v>
      </c>
      <c r="C305" s="101" t="str">
        <f>'04_MOTOR_CÁLCULO'!C881</f>
        <v>Comércio varejista de produtos saneantes domissanitários</v>
      </c>
      <c r="D305" s="14" t="str">
        <f>'04_MOTOR_CÁLCULO'!D881</f>
        <v>COMÉRCIO VAREJIS</v>
      </c>
      <c r="E305" s="78" t="str">
        <f>'04_MOTOR_CÁLCULO'!N881</f>
        <v>CNAE-STG</v>
      </c>
      <c r="F305" s="62">
        <f>'04_MOTOR_CÁLCULO'!K881</f>
        <v>0.9</v>
      </c>
      <c r="G305" s="63">
        <f>'04_MOTOR_CÁLCULO'!K881-1</f>
        <v>-9.9999999999999978E-2</v>
      </c>
      <c r="H305" s="17" t="str">
        <f>'04_MOTOR_CÁLCULO'!M881</f>
        <v>Baixo</v>
      </c>
    </row>
    <row r="306" spans="1:8" ht="13.5" customHeight="1" x14ac:dyDescent="0.25">
      <c r="A306" s="24" t="str">
        <f>'04_MOTOR_CÁLCULO'!A882</f>
        <v>4789-0/06</v>
      </c>
      <c r="B306" s="38" t="str">
        <f>'04_MOTOR_CÁLCULO'!B882</f>
        <v>G</v>
      </c>
      <c r="C306" s="100" t="str">
        <f>'04_MOTOR_CÁLCULO'!C882</f>
        <v>Comércio varejista de fogos de artifício e artigos pirotécnicos</v>
      </c>
      <c r="D306" s="25" t="str">
        <f>'04_MOTOR_CÁLCULO'!D882</f>
        <v>COMÉRCIO VAREJIS</v>
      </c>
      <c r="E306" s="78" t="str">
        <f>'04_MOTOR_CÁLCULO'!N882</f>
        <v>CNAE-STG</v>
      </c>
      <c r="F306" s="62">
        <f>'04_MOTOR_CÁLCULO'!K882</f>
        <v>0.9</v>
      </c>
      <c r="G306" s="63">
        <f>'04_MOTOR_CÁLCULO'!K882-1</f>
        <v>-9.9999999999999978E-2</v>
      </c>
      <c r="H306" s="17" t="str">
        <f>'04_MOTOR_CÁLCULO'!M882</f>
        <v>Baixo</v>
      </c>
    </row>
    <row r="307" spans="1:8" ht="13.5" customHeight="1" x14ac:dyDescent="0.25">
      <c r="A307" s="13" t="str">
        <f>'04_MOTOR_CÁLCULO'!A883</f>
        <v>4789-0/07</v>
      </c>
      <c r="B307" s="49" t="str">
        <f>'04_MOTOR_CÁLCULO'!B883</f>
        <v>G</v>
      </c>
      <c r="C307" s="101" t="str">
        <f>'04_MOTOR_CÁLCULO'!C883</f>
        <v>Comércio varejista de equipamentos para escritório</v>
      </c>
      <c r="D307" s="14" t="str">
        <f>'04_MOTOR_CÁLCULO'!D883</f>
        <v>COMÉRCIO VAREJIS</v>
      </c>
      <c r="E307" s="78" t="str">
        <f>'04_MOTOR_CÁLCULO'!N883</f>
        <v>CNAE-STG</v>
      </c>
      <c r="F307" s="62">
        <f>'04_MOTOR_CÁLCULO'!K883</f>
        <v>0.9</v>
      </c>
      <c r="G307" s="63">
        <f>'04_MOTOR_CÁLCULO'!K883-1</f>
        <v>-9.9999999999999978E-2</v>
      </c>
      <c r="H307" s="17" t="str">
        <f>'04_MOTOR_CÁLCULO'!M883</f>
        <v>Baixo</v>
      </c>
    </row>
    <row r="308" spans="1:8" ht="13.5" customHeight="1" x14ac:dyDescent="0.25">
      <c r="A308" s="24" t="str">
        <f>'04_MOTOR_CÁLCULO'!A884</f>
        <v>4789-0/08</v>
      </c>
      <c r="B308" s="38" t="str">
        <f>'04_MOTOR_CÁLCULO'!B884</f>
        <v>G</v>
      </c>
      <c r="C308" s="100" t="str">
        <f>'04_MOTOR_CÁLCULO'!C884</f>
        <v>Comércio varejista de artigos fotográficos e para filmagem</v>
      </c>
      <c r="D308" s="25" t="str">
        <f>'04_MOTOR_CÁLCULO'!D884</f>
        <v>COMÉRCIO VAREJIS</v>
      </c>
      <c r="E308" s="78" t="str">
        <f>'04_MOTOR_CÁLCULO'!N884</f>
        <v>CNAE-STG</v>
      </c>
      <c r="F308" s="62">
        <f>'04_MOTOR_CÁLCULO'!K884</f>
        <v>0.9</v>
      </c>
      <c r="G308" s="63">
        <f>'04_MOTOR_CÁLCULO'!K884-1</f>
        <v>-9.9999999999999978E-2</v>
      </c>
      <c r="H308" s="17" t="str">
        <f>'04_MOTOR_CÁLCULO'!M884</f>
        <v>Baixo</v>
      </c>
    </row>
    <row r="309" spans="1:8" ht="13.5" customHeight="1" x14ac:dyDescent="0.25">
      <c r="A309" s="13" t="str">
        <f>'04_MOTOR_CÁLCULO'!A885</f>
        <v>4789-0/09</v>
      </c>
      <c r="B309" s="49" t="str">
        <f>'04_MOTOR_CÁLCULO'!B885</f>
        <v>G</v>
      </c>
      <c r="C309" s="101" t="str">
        <f>'04_MOTOR_CÁLCULO'!C885</f>
        <v>Comércio varejista de armas e munições</v>
      </c>
      <c r="D309" s="14" t="str">
        <f>'04_MOTOR_CÁLCULO'!D885</f>
        <v>COMÉRCIO VAREJIS</v>
      </c>
      <c r="E309" s="78" t="str">
        <f>'04_MOTOR_CÁLCULO'!N885</f>
        <v>CNAE-STG</v>
      </c>
      <c r="F309" s="62">
        <f>'04_MOTOR_CÁLCULO'!K885</f>
        <v>0.9</v>
      </c>
      <c r="G309" s="63">
        <f>'04_MOTOR_CÁLCULO'!K885-1</f>
        <v>-9.9999999999999978E-2</v>
      </c>
      <c r="H309" s="17" t="str">
        <f>'04_MOTOR_CÁLCULO'!M885</f>
        <v>Baixo</v>
      </c>
    </row>
    <row r="310" spans="1:8" ht="13.5" customHeight="1" x14ac:dyDescent="0.25">
      <c r="A310" s="24" t="str">
        <f>'04_MOTOR_CÁLCULO'!A886</f>
        <v>4789-0/99</v>
      </c>
      <c r="B310" s="38" t="str">
        <f>'04_MOTOR_CÁLCULO'!B886</f>
        <v>G</v>
      </c>
      <c r="C310" s="100" t="str">
        <f>'04_MOTOR_CÁLCULO'!C886</f>
        <v>Comércio varejista de outros produtos não especificados anteriormente</v>
      </c>
      <c r="D310" s="25" t="str">
        <f>'04_MOTOR_CÁLCULO'!D886</f>
        <v>COMÉRCIO VAREJIS</v>
      </c>
      <c r="E310" s="78" t="str">
        <f>'04_MOTOR_CÁLCULO'!N886</f>
        <v>CNAE-STG</v>
      </c>
      <c r="F310" s="62">
        <f>'04_MOTOR_CÁLCULO'!K886</f>
        <v>0.9</v>
      </c>
      <c r="G310" s="63">
        <f>'04_MOTOR_CÁLCULO'!K886-1</f>
        <v>-9.9999999999999978E-2</v>
      </c>
      <c r="H310" s="17" t="str">
        <f>'04_MOTOR_CÁLCULO'!M886</f>
        <v>Baixo</v>
      </c>
    </row>
    <row r="311" spans="1:8" ht="13.5" customHeight="1" x14ac:dyDescent="0.25">
      <c r="A311" s="13" t="str">
        <f>'04_MOTOR_CÁLCULO'!A957</f>
        <v>5510-8/01</v>
      </c>
      <c r="B311" s="49" t="str">
        <f>'04_MOTOR_CÁLCULO'!B957</f>
        <v>I</v>
      </c>
      <c r="C311" s="101" t="str">
        <f>'04_MOTOR_CÁLCULO'!C957</f>
        <v>Hotéis</v>
      </c>
      <c r="D311" s="14" t="str">
        <f>'04_MOTOR_CÁLCULO'!D957</f>
        <v>ALOJAMENTO</v>
      </c>
      <c r="E311" s="78" t="str">
        <f>'04_MOTOR_CÁLCULO'!N957</f>
        <v>CNAE-STG</v>
      </c>
      <c r="F311" s="62">
        <f>'04_MOTOR_CÁLCULO'!K957</f>
        <v>0.9</v>
      </c>
      <c r="G311" s="63">
        <f>'04_MOTOR_CÁLCULO'!K957-1</f>
        <v>-9.9999999999999978E-2</v>
      </c>
      <c r="H311" s="17" t="str">
        <f>'04_MOTOR_CÁLCULO'!M957</f>
        <v>Baixo</v>
      </c>
    </row>
    <row r="312" spans="1:8" ht="13.5" customHeight="1" x14ac:dyDescent="0.25">
      <c r="A312" s="24" t="str">
        <f>'04_MOTOR_CÁLCULO'!A958</f>
        <v>5510-8/02</v>
      </c>
      <c r="B312" s="38" t="str">
        <f>'04_MOTOR_CÁLCULO'!B958</f>
        <v>I</v>
      </c>
      <c r="C312" s="100" t="str">
        <f>'04_MOTOR_CÁLCULO'!C958</f>
        <v>Apart-hotéis</v>
      </c>
      <c r="D312" s="25" t="str">
        <f>'04_MOTOR_CÁLCULO'!D958</f>
        <v>ALOJAMENTO</v>
      </c>
      <c r="E312" s="78" t="str">
        <f>'04_MOTOR_CÁLCULO'!N958</f>
        <v>CNAE-STG</v>
      </c>
      <c r="F312" s="62">
        <f>'04_MOTOR_CÁLCULO'!K958</f>
        <v>0.9</v>
      </c>
      <c r="G312" s="63">
        <f>'04_MOTOR_CÁLCULO'!K958-1</f>
        <v>-9.9999999999999978E-2</v>
      </c>
      <c r="H312" s="17" t="str">
        <f>'04_MOTOR_CÁLCULO'!M958</f>
        <v>Baixo</v>
      </c>
    </row>
    <row r="313" spans="1:8" ht="13.5" customHeight="1" x14ac:dyDescent="0.25">
      <c r="A313" s="13" t="str">
        <f>'04_MOTOR_CÁLCULO'!A959</f>
        <v>5510-8/03</v>
      </c>
      <c r="B313" s="49" t="str">
        <f>'04_MOTOR_CÁLCULO'!B959</f>
        <v>I</v>
      </c>
      <c r="C313" s="101" t="str">
        <f>'04_MOTOR_CÁLCULO'!C959</f>
        <v>Motéis</v>
      </c>
      <c r="D313" s="14" t="str">
        <f>'04_MOTOR_CÁLCULO'!D959</f>
        <v>ALOJAMENTO</v>
      </c>
      <c r="E313" s="78" t="str">
        <f>'04_MOTOR_CÁLCULO'!N959</f>
        <v>CNAE-STG</v>
      </c>
      <c r="F313" s="62">
        <f>'04_MOTOR_CÁLCULO'!K959</f>
        <v>0.9</v>
      </c>
      <c r="G313" s="63">
        <f>'04_MOTOR_CÁLCULO'!K959-1</f>
        <v>-9.9999999999999978E-2</v>
      </c>
      <c r="H313" s="17" t="str">
        <f>'04_MOTOR_CÁLCULO'!M959</f>
        <v>Baixo</v>
      </c>
    </row>
    <row r="314" spans="1:8" ht="13.5" customHeight="1" x14ac:dyDescent="0.25">
      <c r="A314" s="24" t="str">
        <f>'04_MOTOR_CÁLCULO'!A960</f>
        <v>5590-6/01</v>
      </c>
      <c r="B314" s="38" t="str">
        <f>'04_MOTOR_CÁLCULO'!B960</f>
        <v>I</v>
      </c>
      <c r="C314" s="100" t="str">
        <f>'04_MOTOR_CÁLCULO'!C960</f>
        <v>Albergues, exceto assistenciais</v>
      </c>
      <c r="D314" s="25" t="str">
        <f>'04_MOTOR_CÁLCULO'!D960</f>
        <v>ALOJAMENTO</v>
      </c>
      <c r="E314" s="78" t="str">
        <f>'04_MOTOR_CÁLCULO'!N960</f>
        <v>CNAE-STG</v>
      </c>
      <c r="F314" s="62">
        <f>'04_MOTOR_CÁLCULO'!K960</f>
        <v>0.9</v>
      </c>
      <c r="G314" s="63">
        <f>'04_MOTOR_CÁLCULO'!K960-1</f>
        <v>-9.9999999999999978E-2</v>
      </c>
      <c r="H314" s="17" t="str">
        <f>'04_MOTOR_CÁLCULO'!M960</f>
        <v>Baixo</v>
      </c>
    </row>
    <row r="315" spans="1:8" ht="13.5" customHeight="1" x14ac:dyDescent="0.25">
      <c r="A315" s="13" t="str">
        <f>'04_MOTOR_CÁLCULO'!A961</f>
        <v>5590-6/02</v>
      </c>
      <c r="B315" s="49" t="str">
        <f>'04_MOTOR_CÁLCULO'!B961</f>
        <v>I</v>
      </c>
      <c r="C315" s="101" t="str">
        <f>'04_MOTOR_CÁLCULO'!C961</f>
        <v>Campings</v>
      </c>
      <c r="D315" s="14" t="str">
        <f>'04_MOTOR_CÁLCULO'!D961</f>
        <v>ALOJAMENTO</v>
      </c>
      <c r="E315" s="78" t="str">
        <f>'04_MOTOR_CÁLCULO'!N961</f>
        <v>CNAE-STG</v>
      </c>
      <c r="F315" s="62">
        <f>'04_MOTOR_CÁLCULO'!K961</f>
        <v>0.9</v>
      </c>
      <c r="G315" s="63">
        <f>'04_MOTOR_CÁLCULO'!K961-1</f>
        <v>-9.9999999999999978E-2</v>
      </c>
      <c r="H315" s="17" t="str">
        <f>'04_MOTOR_CÁLCULO'!M961</f>
        <v>Baixo</v>
      </c>
    </row>
    <row r="316" spans="1:8" ht="13.5" customHeight="1" x14ac:dyDescent="0.25">
      <c r="A316" s="24" t="str">
        <f>'04_MOTOR_CÁLCULO'!A962</f>
        <v>5590-6/03</v>
      </c>
      <c r="B316" s="38" t="str">
        <f>'04_MOTOR_CÁLCULO'!B962</f>
        <v>I</v>
      </c>
      <c r="C316" s="100" t="str">
        <f>'04_MOTOR_CÁLCULO'!C962</f>
        <v>Pensões (alojamento)</v>
      </c>
      <c r="D316" s="25" t="str">
        <f>'04_MOTOR_CÁLCULO'!D962</f>
        <v>ALOJAMENTO</v>
      </c>
      <c r="E316" s="78" t="str">
        <f>'04_MOTOR_CÁLCULO'!N962</f>
        <v>CNAE-STG</v>
      </c>
      <c r="F316" s="62">
        <f>'04_MOTOR_CÁLCULO'!K962</f>
        <v>0.9</v>
      </c>
      <c r="G316" s="63">
        <f>'04_MOTOR_CÁLCULO'!K962-1</f>
        <v>-9.9999999999999978E-2</v>
      </c>
      <c r="H316" s="17" t="str">
        <f>'04_MOTOR_CÁLCULO'!M962</f>
        <v>Baixo</v>
      </c>
    </row>
    <row r="317" spans="1:8" ht="13.5" customHeight="1" x14ac:dyDescent="0.25">
      <c r="A317" s="13" t="str">
        <f>'04_MOTOR_CÁLCULO'!A963</f>
        <v>5590-6/99</v>
      </c>
      <c r="B317" s="49" t="str">
        <f>'04_MOTOR_CÁLCULO'!B963</f>
        <v>I</v>
      </c>
      <c r="C317" s="101" t="str">
        <f>'04_MOTOR_CÁLCULO'!C963</f>
        <v>Outros alojamentos não especificados anteriormente</v>
      </c>
      <c r="D317" s="14" t="str">
        <f>'04_MOTOR_CÁLCULO'!D963</f>
        <v>ALOJAMENTO</v>
      </c>
      <c r="E317" s="78" t="str">
        <f>'04_MOTOR_CÁLCULO'!N963</f>
        <v>CNAE-STG</v>
      </c>
      <c r="F317" s="62">
        <f>'04_MOTOR_CÁLCULO'!K963</f>
        <v>0.9</v>
      </c>
      <c r="G317" s="63">
        <f>'04_MOTOR_CÁLCULO'!K963-1</f>
        <v>-9.9999999999999978E-2</v>
      </c>
      <c r="H317" s="17" t="str">
        <f>'04_MOTOR_CÁLCULO'!M963</f>
        <v>Baixo</v>
      </c>
    </row>
    <row r="318" spans="1:8" ht="13.5" customHeight="1" x14ac:dyDescent="0.25">
      <c r="A318" s="24" t="str">
        <f>'04_MOTOR_CÁLCULO'!A973</f>
        <v>5811-5/00</v>
      </c>
      <c r="B318" s="38" t="str">
        <f>'04_MOTOR_CÁLCULO'!B973</f>
        <v>J</v>
      </c>
      <c r="C318" s="100" t="str">
        <f>'04_MOTOR_CÁLCULO'!C973</f>
        <v>Edição de livros</v>
      </c>
      <c r="D318" s="25" t="str">
        <f>'04_MOTOR_CÁLCULO'!D973</f>
        <v xml:space="preserve">EDIÇÃO E EDIÇÃO </v>
      </c>
      <c r="E318" s="78" t="str">
        <f>'04_MOTOR_CÁLCULO'!N973</f>
        <v>CNAE-STG</v>
      </c>
      <c r="F318" s="62">
        <f>'04_MOTOR_CÁLCULO'!K973</f>
        <v>0.9</v>
      </c>
      <c r="G318" s="63">
        <f>'04_MOTOR_CÁLCULO'!K973-1</f>
        <v>-9.9999999999999978E-2</v>
      </c>
      <c r="H318" s="17" t="str">
        <f>'04_MOTOR_CÁLCULO'!M973</f>
        <v>Baixo</v>
      </c>
    </row>
    <row r="319" spans="1:8" ht="13.5" customHeight="1" x14ac:dyDescent="0.25">
      <c r="A319" s="13" t="str">
        <f>'04_MOTOR_CÁLCULO'!A974</f>
        <v>5812-3/01</v>
      </c>
      <c r="B319" s="49" t="str">
        <f>'04_MOTOR_CÁLCULO'!B974</f>
        <v>J</v>
      </c>
      <c r="C319" s="101" t="str">
        <f>'04_MOTOR_CÁLCULO'!C974</f>
        <v>Edição de jornais diários</v>
      </c>
      <c r="D319" s="14" t="str">
        <f>'04_MOTOR_CÁLCULO'!D974</f>
        <v xml:space="preserve">EDIÇÃO E EDIÇÃO </v>
      </c>
      <c r="E319" s="78" t="str">
        <f>'04_MOTOR_CÁLCULO'!N974</f>
        <v>CNAE-STG</v>
      </c>
      <c r="F319" s="62">
        <f>'04_MOTOR_CÁLCULO'!K974</f>
        <v>0.9</v>
      </c>
      <c r="G319" s="63">
        <f>'04_MOTOR_CÁLCULO'!K974-1</f>
        <v>-9.9999999999999978E-2</v>
      </c>
      <c r="H319" s="17" t="str">
        <f>'04_MOTOR_CÁLCULO'!M974</f>
        <v>Baixo</v>
      </c>
    </row>
    <row r="320" spans="1:8" ht="13.5" customHeight="1" x14ac:dyDescent="0.25">
      <c r="A320" s="24" t="str">
        <f>'04_MOTOR_CÁLCULO'!A975</f>
        <v>5812-3/02</v>
      </c>
      <c r="B320" s="38" t="str">
        <f>'04_MOTOR_CÁLCULO'!B975</f>
        <v>J</v>
      </c>
      <c r="C320" s="100" t="str">
        <f>'04_MOTOR_CÁLCULO'!C975</f>
        <v>Edição de jornais não diários</v>
      </c>
      <c r="D320" s="25" t="str">
        <f>'04_MOTOR_CÁLCULO'!D975</f>
        <v xml:space="preserve">EDIÇÃO E EDIÇÃO </v>
      </c>
      <c r="E320" s="78" t="str">
        <f>'04_MOTOR_CÁLCULO'!N975</f>
        <v>CNAE-STG</v>
      </c>
      <c r="F320" s="62">
        <f>'04_MOTOR_CÁLCULO'!K975</f>
        <v>0.9</v>
      </c>
      <c r="G320" s="63">
        <f>'04_MOTOR_CÁLCULO'!K975-1</f>
        <v>-9.9999999999999978E-2</v>
      </c>
      <c r="H320" s="17" t="str">
        <f>'04_MOTOR_CÁLCULO'!M975</f>
        <v>Baixo</v>
      </c>
    </row>
    <row r="321" spans="1:8" ht="13.5" customHeight="1" x14ac:dyDescent="0.25">
      <c r="A321" s="13" t="str">
        <f>'04_MOTOR_CÁLCULO'!A976</f>
        <v>5813-1/00</v>
      </c>
      <c r="B321" s="49" t="str">
        <f>'04_MOTOR_CÁLCULO'!B976</f>
        <v>J</v>
      </c>
      <c r="C321" s="101" t="str">
        <f>'04_MOTOR_CÁLCULO'!C976</f>
        <v>Edição de revistas</v>
      </c>
      <c r="D321" s="14" t="str">
        <f>'04_MOTOR_CÁLCULO'!D976</f>
        <v xml:space="preserve">EDIÇÃO E EDIÇÃO </v>
      </c>
      <c r="E321" s="78" t="str">
        <f>'04_MOTOR_CÁLCULO'!N976</f>
        <v>CNAE-STG</v>
      </c>
      <c r="F321" s="62">
        <f>'04_MOTOR_CÁLCULO'!K976</f>
        <v>0.9</v>
      </c>
      <c r="G321" s="63">
        <f>'04_MOTOR_CÁLCULO'!K976-1</f>
        <v>-9.9999999999999978E-2</v>
      </c>
      <c r="H321" s="17" t="str">
        <f>'04_MOTOR_CÁLCULO'!M976</f>
        <v>Baixo</v>
      </c>
    </row>
    <row r="322" spans="1:8" ht="13.5" customHeight="1" x14ac:dyDescent="0.25">
      <c r="A322" s="24" t="str">
        <f>'04_MOTOR_CÁLCULO'!A977</f>
        <v>5819-1/00</v>
      </c>
      <c r="B322" s="38" t="str">
        <f>'04_MOTOR_CÁLCULO'!B977</f>
        <v>J</v>
      </c>
      <c r="C322" s="100" t="str">
        <f>'04_MOTOR_CÁLCULO'!C977</f>
        <v>Edição de cadastros, listas e outros produtos gráficos</v>
      </c>
      <c r="D322" s="25" t="str">
        <f>'04_MOTOR_CÁLCULO'!D977</f>
        <v xml:space="preserve">EDIÇÃO E EDIÇÃO </v>
      </c>
      <c r="E322" s="78" t="str">
        <f>'04_MOTOR_CÁLCULO'!N977</f>
        <v>CNAE-STG</v>
      </c>
      <c r="F322" s="62">
        <f>'04_MOTOR_CÁLCULO'!K977</f>
        <v>0.9</v>
      </c>
      <c r="G322" s="63">
        <f>'04_MOTOR_CÁLCULO'!K977-1</f>
        <v>-9.9999999999999978E-2</v>
      </c>
      <c r="H322" s="17" t="str">
        <f>'04_MOTOR_CÁLCULO'!M977</f>
        <v>Baixo</v>
      </c>
    </row>
    <row r="323" spans="1:8" ht="13.5" customHeight="1" x14ac:dyDescent="0.25">
      <c r="A323" s="13" t="str">
        <f>'04_MOTOR_CÁLCULO'!A978</f>
        <v>5821-2/00</v>
      </c>
      <c r="B323" s="49" t="str">
        <f>'04_MOTOR_CÁLCULO'!B978</f>
        <v>J</v>
      </c>
      <c r="C323" s="101" t="str">
        <f>'04_MOTOR_CÁLCULO'!C978</f>
        <v>Edição integrada à impressão de livros</v>
      </c>
      <c r="D323" s="14" t="str">
        <f>'04_MOTOR_CÁLCULO'!D978</f>
        <v xml:space="preserve">EDIÇÃO E EDIÇÃO </v>
      </c>
      <c r="E323" s="78" t="str">
        <f>'04_MOTOR_CÁLCULO'!N978</f>
        <v>CNAE-STG</v>
      </c>
      <c r="F323" s="62">
        <f>'04_MOTOR_CÁLCULO'!K978</f>
        <v>0.9</v>
      </c>
      <c r="G323" s="63">
        <f>'04_MOTOR_CÁLCULO'!K978-1</f>
        <v>-9.9999999999999978E-2</v>
      </c>
      <c r="H323" s="17" t="str">
        <f>'04_MOTOR_CÁLCULO'!M978</f>
        <v>Baixo</v>
      </c>
    </row>
    <row r="324" spans="1:8" ht="13.5" customHeight="1" x14ac:dyDescent="0.25">
      <c r="A324" s="24" t="str">
        <f>'04_MOTOR_CÁLCULO'!A979</f>
        <v>5822-1/01</v>
      </c>
      <c r="B324" s="38" t="str">
        <f>'04_MOTOR_CÁLCULO'!B979</f>
        <v>J</v>
      </c>
      <c r="C324" s="100" t="str">
        <f>'04_MOTOR_CÁLCULO'!C979</f>
        <v>Edição integrada à impressão de jornais diários</v>
      </c>
      <c r="D324" s="25" t="str">
        <f>'04_MOTOR_CÁLCULO'!D979</f>
        <v xml:space="preserve">EDIÇÃO E EDIÇÃO </v>
      </c>
      <c r="E324" s="78" t="str">
        <f>'04_MOTOR_CÁLCULO'!N979</f>
        <v>CNAE-STG</v>
      </c>
      <c r="F324" s="62">
        <f>'04_MOTOR_CÁLCULO'!K979</f>
        <v>0.9</v>
      </c>
      <c r="G324" s="63">
        <f>'04_MOTOR_CÁLCULO'!K979-1</f>
        <v>-9.9999999999999978E-2</v>
      </c>
      <c r="H324" s="17" t="str">
        <f>'04_MOTOR_CÁLCULO'!M979</f>
        <v>Baixo</v>
      </c>
    </row>
    <row r="325" spans="1:8" ht="13.5" customHeight="1" x14ac:dyDescent="0.25">
      <c r="A325" s="13" t="str">
        <f>'04_MOTOR_CÁLCULO'!A980</f>
        <v>5822-1/02</v>
      </c>
      <c r="B325" s="49" t="str">
        <f>'04_MOTOR_CÁLCULO'!B980</f>
        <v>J</v>
      </c>
      <c r="C325" s="101" t="str">
        <f>'04_MOTOR_CÁLCULO'!C980</f>
        <v>Edição integrada à impressão de jornais não diários</v>
      </c>
      <c r="D325" s="14" t="str">
        <f>'04_MOTOR_CÁLCULO'!D980</f>
        <v xml:space="preserve">EDIÇÃO E EDIÇÃO </v>
      </c>
      <c r="E325" s="78" t="str">
        <f>'04_MOTOR_CÁLCULO'!N980</f>
        <v>CNAE-STG</v>
      </c>
      <c r="F325" s="62">
        <f>'04_MOTOR_CÁLCULO'!K980</f>
        <v>0.9</v>
      </c>
      <c r="G325" s="63">
        <f>'04_MOTOR_CÁLCULO'!K980-1</f>
        <v>-9.9999999999999978E-2</v>
      </c>
      <c r="H325" s="17" t="str">
        <f>'04_MOTOR_CÁLCULO'!M980</f>
        <v>Baixo</v>
      </c>
    </row>
    <row r="326" spans="1:8" ht="13.5" customHeight="1" x14ac:dyDescent="0.25">
      <c r="A326" s="24" t="str">
        <f>'04_MOTOR_CÁLCULO'!A981</f>
        <v>5823-9/00</v>
      </c>
      <c r="B326" s="38" t="str">
        <f>'04_MOTOR_CÁLCULO'!B981</f>
        <v>J</v>
      </c>
      <c r="C326" s="100" t="str">
        <f>'04_MOTOR_CÁLCULO'!C981</f>
        <v>Edição integrada à impressão de revistas</v>
      </c>
      <c r="D326" s="25" t="str">
        <f>'04_MOTOR_CÁLCULO'!D981</f>
        <v xml:space="preserve">EDIÇÃO E EDIÇÃO </v>
      </c>
      <c r="E326" s="78" t="str">
        <f>'04_MOTOR_CÁLCULO'!N981</f>
        <v>CNAE-STG</v>
      </c>
      <c r="F326" s="62">
        <f>'04_MOTOR_CÁLCULO'!K981</f>
        <v>0.9</v>
      </c>
      <c r="G326" s="63">
        <f>'04_MOTOR_CÁLCULO'!K981-1</f>
        <v>-9.9999999999999978E-2</v>
      </c>
      <c r="H326" s="17" t="str">
        <f>'04_MOTOR_CÁLCULO'!M981</f>
        <v>Baixo</v>
      </c>
    </row>
    <row r="327" spans="1:8" ht="13.5" customHeight="1" x14ac:dyDescent="0.25">
      <c r="A327" s="13" t="str">
        <f>'04_MOTOR_CÁLCULO'!A982</f>
        <v>5829-8/00</v>
      </c>
      <c r="B327" s="49" t="str">
        <f>'04_MOTOR_CÁLCULO'!B982</f>
        <v>J</v>
      </c>
      <c r="C327" s="101" t="str">
        <f>'04_MOTOR_CÁLCULO'!C982</f>
        <v>Edição integrada à impressão de cadastros, listas e outros produtos gráficos</v>
      </c>
      <c r="D327" s="14" t="str">
        <f>'04_MOTOR_CÁLCULO'!D982</f>
        <v xml:space="preserve">EDIÇÃO E EDIÇÃO </v>
      </c>
      <c r="E327" s="78" t="str">
        <f>'04_MOTOR_CÁLCULO'!N982</f>
        <v>CNAE-STG</v>
      </c>
      <c r="F327" s="62">
        <f>'04_MOTOR_CÁLCULO'!K982</f>
        <v>0.9</v>
      </c>
      <c r="G327" s="63">
        <f>'04_MOTOR_CÁLCULO'!K982-1</f>
        <v>-9.9999999999999978E-2</v>
      </c>
      <c r="H327" s="17" t="str">
        <f>'04_MOTOR_CÁLCULO'!M982</f>
        <v>Baixo</v>
      </c>
    </row>
    <row r="328" spans="1:8" ht="13.5" customHeight="1" x14ac:dyDescent="0.25">
      <c r="A328" s="24" t="str">
        <f>'04_MOTOR_CÁLCULO'!A983</f>
        <v>5911-1/01</v>
      </c>
      <c r="B328" s="38" t="str">
        <f>'04_MOTOR_CÁLCULO'!B983</f>
        <v>J</v>
      </c>
      <c r="C328" s="100" t="str">
        <f>'04_MOTOR_CÁLCULO'!C983</f>
        <v>Estúdios cinematográficos</v>
      </c>
      <c r="D328" s="25" t="str">
        <f>'04_MOTOR_CÁLCULO'!D983</f>
        <v>ATIVIDADES CINEM</v>
      </c>
      <c r="E328" s="78" t="str">
        <f>'04_MOTOR_CÁLCULO'!N983</f>
        <v>CNAE-STG</v>
      </c>
      <c r="F328" s="62">
        <f>'04_MOTOR_CÁLCULO'!K983</f>
        <v>0.9</v>
      </c>
      <c r="G328" s="63">
        <f>'04_MOTOR_CÁLCULO'!K983-1</f>
        <v>-9.9999999999999978E-2</v>
      </c>
      <c r="H328" s="17" t="str">
        <f>'04_MOTOR_CÁLCULO'!M983</f>
        <v>Baixo</v>
      </c>
    </row>
    <row r="329" spans="1:8" ht="13.5" customHeight="1" x14ac:dyDescent="0.25">
      <c r="A329" s="13" t="str">
        <f>'04_MOTOR_CÁLCULO'!A984</f>
        <v>5911-1/02</v>
      </c>
      <c r="B329" s="49" t="str">
        <f>'04_MOTOR_CÁLCULO'!B984</f>
        <v>J</v>
      </c>
      <c r="C329" s="101" t="str">
        <f>'04_MOTOR_CÁLCULO'!C984</f>
        <v>Produção de filmes para publicidade</v>
      </c>
      <c r="D329" s="14" t="str">
        <f>'04_MOTOR_CÁLCULO'!D984</f>
        <v>ATIVIDADES CINEM</v>
      </c>
      <c r="E329" s="78" t="str">
        <f>'04_MOTOR_CÁLCULO'!N984</f>
        <v>CNAE-STG</v>
      </c>
      <c r="F329" s="62">
        <f>'04_MOTOR_CÁLCULO'!K984</f>
        <v>0.9</v>
      </c>
      <c r="G329" s="63">
        <f>'04_MOTOR_CÁLCULO'!K984-1</f>
        <v>-9.9999999999999978E-2</v>
      </c>
      <c r="H329" s="17" t="str">
        <f>'04_MOTOR_CÁLCULO'!M984</f>
        <v>Baixo</v>
      </c>
    </row>
    <row r="330" spans="1:8" ht="13.5" customHeight="1" x14ac:dyDescent="0.25">
      <c r="A330" s="24" t="str">
        <f>'04_MOTOR_CÁLCULO'!A985</f>
        <v>5911-1/99</v>
      </c>
      <c r="B330" s="38" t="str">
        <f>'04_MOTOR_CÁLCULO'!B985</f>
        <v>J</v>
      </c>
      <c r="C330" s="100" t="str">
        <f>'04_MOTOR_CÁLCULO'!C985</f>
        <v>Atividades de produção cinematográfica, de vídeos e de programas de televisão não especificadas anteriormente</v>
      </c>
      <c r="D330" s="25" t="str">
        <f>'04_MOTOR_CÁLCULO'!D985</f>
        <v>ATIVIDADES CINEM</v>
      </c>
      <c r="E330" s="78" t="str">
        <f>'04_MOTOR_CÁLCULO'!N985</f>
        <v>CNAE-STG</v>
      </c>
      <c r="F330" s="62">
        <f>'04_MOTOR_CÁLCULO'!K985</f>
        <v>0.9</v>
      </c>
      <c r="G330" s="63">
        <f>'04_MOTOR_CÁLCULO'!K985-1</f>
        <v>-9.9999999999999978E-2</v>
      </c>
      <c r="H330" s="17" t="str">
        <f>'04_MOTOR_CÁLCULO'!M985</f>
        <v>Baixo</v>
      </c>
    </row>
    <row r="331" spans="1:8" ht="13.5" customHeight="1" x14ac:dyDescent="0.25">
      <c r="A331" s="13" t="str">
        <f>'04_MOTOR_CÁLCULO'!A986</f>
        <v>5912-0/01</v>
      </c>
      <c r="B331" s="49" t="str">
        <f>'04_MOTOR_CÁLCULO'!B986</f>
        <v>J</v>
      </c>
      <c r="C331" s="101" t="str">
        <f>'04_MOTOR_CÁLCULO'!C986</f>
        <v>Serviços de dublagem</v>
      </c>
      <c r="D331" s="14" t="str">
        <f>'04_MOTOR_CÁLCULO'!D986</f>
        <v>ATIVIDADES CINEM</v>
      </c>
      <c r="E331" s="78" t="str">
        <f>'04_MOTOR_CÁLCULO'!N986</f>
        <v>CNAE-STG</v>
      </c>
      <c r="F331" s="62">
        <f>'04_MOTOR_CÁLCULO'!K986</f>
        <v>0.9</v>
      </c>
      <c r="G331" s="63">
        <f>'04_MOTOR_CÁLCULO'!K986-1</f>
        <v>-9.9999999999999978E-2</v>
      </c>
      <c r="H331" s="17" t="str">
        <f>'04_MOTOR_CÁLCULO'!M986</f>
        <v>Baixo</v>
      </c>
    </row>
    <row r="332" spans="1:8" ht="13.5" customHeight="1" x14ac:dyDescent="0.25">
      <c r="A332" s="24" t="str">
        <f>'04_MOTOR_CÁLCULO'!A987</f>
        <v>5912-0/02</v>
      </c>
      <c r="B332" s="38" t="str">
        <f>'04_MOTOR_CÁLCULO'!B987</f>
        <v>J</v>
      </c>
      <c r="C332" s="100" t="str">
        <f>'04_MOTOR_CÁLCULO'!C987</f>
        <v>Serviços de mixagem sonora em produção audiovisual</v>
      </c>
      <c r="D332" s="25" t="str">
        <f>'04_MOTOR_CÁLCULO'!D987</f>
        <v>ATIVIDADES CINEM</v>
      </c>
      <c r="E332" s="78" t="str">
        <f>'04_MOTOR_CÁLCULO'!N987</f>
        <v>CNAE-STG</v>
      </c>
      <c r="F332" s="62">
        <f>'04_MOTOR_CÁLCULO'!K987</f>
        <v>0.9</v>
      </c>
      <c r="G332" s="63">
        <f>'04_MOTOR_CÁLCULO'!K987-1</f>
        <v>-9.9999999999999978E-2</v>
      </c>
      <c r="H332" s="17" t="str">
        <f>'04_MOTOR_CÁLCULO'!M987</f>
        <v>Baixo</v>
      </c>
    </row>
    <row r="333" spans="1:8" ht="13.5" customHeight="1" x14ac:dyDescent="0.25">
      <c r="A333" s="13" t="str">
        <f>'04_MOTOR_CÁLCULO'!A988</f>
        <v>5912-0/99</v>
      </c>
      <c r="B333" s="49" t="str">
        <f>'04_MOTOR_CÁLCULO'!B988</f>
        <v>J</v>
      </c>
      <c r="C333" s="101" t="str">
        <f>'04_MOTOR_CÁLCULO'!C988</f>
        <v>Atividades de pós-produção cinematográfica, de vídeos e de programas de televisão não especificadas anteriormente</v>
      </c>
      <c r="D333" s="14" t="str">
        <f>'04_MOTOR_CÁLCULO'!D988</f>
        <v>ATIVIDADES CINEM</v>
      </c>
      <c r="E333" s="78" t="str">
        <f>'04_MOTOR_CÁLCULO'!N988</f>
        <v>CNAE-STG</v>
      </c>
      <c r="F333" s="62">
        <f>'04_MOTOR_CÁLCULO'!K988</f>
        <v>0.9</v>
      </c>
      <c r="G333" s="63">
        <f>'04_MOTOR_CÁLCULO'!K988-1</f>
        <v>-9.9999999999999978E-2</v>
      </c>
      <c r="H333" s="17" t="str">
        <f>'04_MOTOR_CÁLCULO'!M988</f>
        <v>Baixo</v>
      </c>
    </row>
    <row r="334" spans="1:8" ht="13.5" customHeight="1" x14ac:dyDescent="0.25">
      <c r="A334" s="24" t="str">
        <f>'04_MOTOR_CÁLCULO'!A989</f>
        <v>5913-8/00</v>
      </c>
      <c r="B334" s="38" t="str">
        <f>'04_MOTOR_CÁLCULO'!B989</f>
        <v>J</v>
      </c>
      <c r="C334" s="100" t="str">
        <f>'04_MOTOR_CÁLCULO'!C989</f>
        <v>Distribuição cinematográfica, de vídeo e de programas de televisão</v>
      </c>
      <c r="D334" s="25" t="str">
        <f>'04_MOTOR_CÁLCULO'!D989</f>
        <v>ATIVIDADES CINEM</v>
      </c>
      <c r="E334" s="78" t="str">
        <f>'04_MOTOR_CÁLCULO'!N989</f>
        <v>CNAE-STG</v>
      </c>
      <c r="F334" s="62">
        <f>'04_MOTOR_CÁLCULO'!K989</f>
        <v>0.9</v>
      </c>
      <c r="G334" s="63">
        <f>'04_MOTOR_CÁLCULO'!K989-1</f>
        <v>-9.9999999999999978E-2</v>
      </c>
      <c r="H334" s="17" t="str">
        <f>'04_MOTOR_CÁLCULO'!M989</f>
        <v>Baixo</v>
      </c>
    </row>
    <row r="335" spans="1:8" ht="13.5" customHeight="1" x14ac:dyDescent="0.25">
      <c r="A335" s="13" t="str">
        <f>'04_MOTOR_CÁLCULO'!A990</f>
        <v>5914-6/00</v>
      </c>
      <c r="B335" s="49" t="str">
        <f>'04_MOTOR_CÁLCULO'!B990</f>
        <v>J</v>
      </c>
      <c r="C335" s="101" t="str">
        <f>'04_MOTOR_CÁLCULO'!C990</f>
        <v>Atividades de exibição cinematográfica</v>
      </c>
      <c r="D335" s="14" t="str">
        <f>'04_MOTOR_CÁLCULO'!D990</f>
        <v>ATIVIDADES CINEM</v>
      </c>
      <c r="E335" s="78" t="str">
        <f>'04_MOTOR_CÁLCULO'!N990</f>
        <v>CNAE-STG</v>
      </c>
      <c r="F335" s="62">
        <f>'04_MOTOR_CÁLCULO'!K990</f>
        <v>0.9</v>
      </c>
      <c r="G335" s="63">
        <f>'04_MOTOR_CÁLCULO'!K990-1</f>
        <v>-9.9999999999999978E-2</v>
      </c>
      <c r="H335" s="17" t="str">
        <f>'04_MOTOR_CÁLCULO'!M990</f>
        <v>Baixo</v>
      </c>
    </row>
    <row r="336" spans="1:8" ht="13.5" customHeight="1" x14ac:dyDescent="0.25">
      <c r="A336" s="24" t="str">
        <f>'04_MOTOR_CÁLCULO'!A991</f>
        <v>5920-1/00</v>
      </c>
      <c r="B336" s="38" t="str">
        <f>'04_MOTOR_CÁLCULO'!B991</f>
        <v>J</v>
      </c>
      <c r="C336" s="100" t="str">
        <f>'04_MOTOR_CÁLCULO'!C991</f>
        <v>Atividades de gravação de som e de edição de música</v>
      </c>
      <c r="D336" s="25" t="str">
        <f>'04_MOTOR_CÁLCULO'!D991</f>
        <v>ATIVIDADES CINEM</v>
      </c>
      <c r="E336" s="78" t="str">
        <f>'04_MOTOR_CÁLCULO'!N991</f>
        <v>CNAE-STG</v>
      </c>
      <c r="F336" s="62">
        <f>'04_MOTOR_CÁLCULO'!K991</f>
        <v>0.9</v>
      </c>
      <c r="G336" s="63">
        <f>'04_MOTOR_CÁLCULO'!K991-1</f>
        <v>-9.9999999999999978E-2</v>
      </c>
      <c r="H336" s="17" t="str">
        <f>'04_MOTOR_CÁLCULO'!M991</f>
        <v>Baixo</v>
      </c>
    </row>
    <row r="337" spans="1:8" ht="13.5" customHeight="1" x14ac:dyDescent="0.25">
      <c r="A337" s="13" t="str">
        <f>'04_MOTOR_CÁLCULO'!A992</f>
        <v>6010-1/00</v>
      </c>
      <c r="B337" s="49" t="str">
        <f>'04_MOTOR_CÁLCULO'!B992</f>
        <v>J</v>
      </c>
      <c r="C337" s="101" t="str">
        <f>'04_MOTOR_CÁLCULO'!C992</f>
        <v>Atividades de rádio</v>
      </c>
      <c r="D337" s="14" t="str">
        <f>'04_MOTOR_CÁLCULO'!D992</f>
        <v>ATIVIDADES DE RÁ</v>
      </c>
      <c r="E337" s="78" t="str">
        <f>'04_MOTOR_CÁLCULO'!N992</f>
        <v>CNAE-STG</v>
      </c>
      <c r="F337" s="62">
        <f>'04_MOTOR_CÁLCULO'!K992</f>
        <v>0.9</v>
      </c>
      <c r="G337" s="63">
        <f>'04_MOTOR_CÁLCULO'!K992-1</f>
        <v>-9.9999999999999978E-2</v>
      </c>
      <c r="H337" s="17" t="str">
        <f>'04_MOTOR_CÁLCULO'!M992</f>
        <v>Baixo</v>
      </c>
    </row>
    <row r="338" spans="1:8" ht="13.5" customHeight="1" x14ac:dyDescent="0.25">
      <c r="A338" s="24" t="str">
        <f>'04_MOTOR_CÁLCULO'!A993</f>
        <v>6021-7/00</v>
      </c>
      <c r="B338" s="38" t="str">
        <f>'04_MOTOR_CÁLCULO'!B993</f>
        <v>J</v>
      </c>
      <c r="C338" s="100" t="str">
        <f>'04_MOTOR_CÁLCULO'!C993</f>
        <v>Atividades de televisão aberta</v>
      </c>
      <c r="D338" s="25" t="str">
        <f>'04_MOTOR_CÁLCULO'!D993</f>
        <v>ATIVIDADES DE RÁ</v>
      </c>
      <c r="E338" s="78" t="str">
        <f>'04_MOTOR_CÁLCULO'!N993</f>
        <v>CNAE-STG</v>
      </c>
      <c r="F338" s="62">
        <f>'04_MOTOR_CÁLCULO'!K993</f>
        <v>0.9</v>
      </c>
      <c r="G338" s="63">
        <f>'04_MOTOR_CÁLCULO'!K993-1</f>
        <v>-9.9999999999999978E-2</v>
      </c>
      <c r="H338" s="17" t="str">
        <f>'04_MOTOR_CÁLCULO'!M993</f>
        <v>Baixo</v>
      </c>
    </row>
    <row r="339" spans="1:8" ht="13.5" customHeight="1" x14ac:dyDescent="0.25">
      <c r="A339" s="13" t="str">
        <f>'04_MOTOR_CÁLCULO'!A994</f>
        <v>6022-5/01</v>
      </c>
      <c r="B339" s="49" t="str">
        <f>'04_MOTOR_CÁLCULO'!B994</f>
        <v>J</v>
      </c>
      <c r="C339" s="101" t="str">
        <f>'04_MOTOR_CÁLCULO'!C994</f>
        <v>Programadoras</v>
      </c>
      <c r="D339" s="14" t="str">
        <f>'04_MOTOR_CÁLCULO'!D994</f>
        <v>ATIVIDADES DE RÁ</v>
      </c>
      <c r="E339" s="78" t="str">
        <f>'04_MOTOR_CÁLCULO'!N994</f>
        <v>CNAE-STG</v>
      </c>
      <c r="F339" s="62">
        <f>'04_MOTOR_CÁLCULO'!K994</f>
        <v>0.9</v>
      </c>
      <c r="G339" s="63">
        <f>'04_MOTOR_CÁLCULO'!K994-1</f>
        <v>-9.9999999999999978E-2</v>
      </c>
      <c r="H339" s="17" t="str">
        <f>'04_MOTOR_CÁLCULO'!M994</f>
        <v>Baixo</v>
      </c>
    </row>
    <row r="340" spans="1:8" ht="13.5" customHeight="1" x14ac:dyDescent="0.25">
      <c r="A340" s="24" t="str">
        <f>'04_MOTOR_CÁLCULO'!A995</f>
        <v>6022-5/02</v>
      </c>
      <c r="B340" s="38" t="str">
        <f>'04_MOTOR_CÁLCULO'!B995</f>
        <v>J</v>
      </c>
      <c r="C340" s="100" t="str">
        <f>'04_MOTOR_CÁLCULO'!C995</f>
        <v>Atividades relacionadas à televisão por assinatura, exceto programadoras</v>
      </c>
      <c r="D340" s="25" t="str">
        <f>'04_MOTOR_CÁLCULO'!D995</f>
        <v>ATIVIDADES DE RÁ</v>
      </c>
      <c r="E340" s="78" t="str">
        <f>'04_MOTOR_CÁLCULO'!N995</f>
        <v>CNAE-STG</v>
      </c>
      <c r="F340" s="62">
        <f>'04_MOTOR_CÁLCULO'!K995</f>
        <v>0.9</v>
      </c>
      <c r="G340" s="63">
        <f>'04_MOTOR_CÁLCULO'!K995-1</f>
        <v>-9.9999999999999978E-2</v>
      </c>
      <c r="H340" s="17" t="str">
        <f>'04_MOTOR_CÁLCULO'!M995</f>
        <v>Baixo</v>
      </c>
    </row>
    <row r="341" spans="1:8" ht="13.5" customHeight="1" x14ac:dyDescent="0.25">
      <c r="A341" s="13" t="str">
        <f>'04_MOTOR_CÁLCULO'!A1010</f>
        <v>6201-5/01</v>
      </c>
      <c r="B341" s="49" t="str">
        <f>'04_MOTOR_CÁLCULO'!B1010</f>
        <v>J</v>
      </c>
      <c r="C341" s="101" t="str">
        <f>'04_MOTOR_CÁLCULO'!C1010</f>
        <v>Desenvolvimento de programas de computador sob encomenda</v>
      </c>
      <c r="D341" s="14" t="str">
        <f>'04_MOTOR_CÁLCULO'!D1010</f>
        <v>ATIVIDADES DOS S</v>
      </c>
      <c r="E341" s="78" t="str">
        <f>'04_MOTOR_CÁLCULO'!N1010</f>
        <v>CNAE-STG</v>
      </c>
      <c r="F341" s="62">
        <f>'04_MOTOR_CÁLCULO'!K1010</f>
        <v>0.9</v>
      </c>
      <c r="G341" s="63">
        <f>'04_MOTOR_CÁLCULO'!K1010-1</f>
        <v>-9.9999999999999978E-2</v>
      </c>
      <c r="H341" s="17" t="str">
        <f>'04_MOTOR_CÁLCULO'!M1010</f>
        <v>Baixo</v>
      </c>
    </row>
    <row r="342" spans="1:8" ht="13.5" customHeight="1" x14ac:dyDescent="0.25">
      <c r="A342" s="24" t="str">
        <f>'04_MOTOR_CÁLCULO'!A1011</f>
        <v>6201-5/02</v>
      </c>
      <c r="B342" s="38" t="str">
        <f>'04_MOTOR_CÁLCULO'!B1011</f>
        <v>J</v>
      </c>
      <c r="C342" s="100" t="str">
        <f>'04_MOTOR_CÁLCULO'!C1011</f>
        <v>Web desing</v>
      </c>
      <c r="D342" s="25" t="str">
        <f>'04_MOTOR_CÁLCULO'!D1011</f>
        <v>ATIVIDADES DOS S</v>
      </c>
      <c r="E342" s="78" t="str">
        <f>'04_MOTOR_CÁLCULO'!N1011</f>
        <v>CNAE-STG</v>
      </c>
      <c r="F342" s="62">
        <f>'04_MOTOR_CÁLCULO'!K1011</f>
        <v>0.9</v>
      </c>
      <c r="G342" s="63">
        <f>'04_MOTOR_CÁLCULO'!K1011-1</f>
        <v>-9.9999999999999978E-2</v>
      </c>
      <c r="H342" s="17" t="str">
        <f>'04_MOTOR_CÁLCULO'!M1011</f>
        <v>Baixo</v>
      </c>
    </row>
    <row r="343" spans="1:8" ht="13.5" customHeight="1" x14ac:dyDescent="0.25">
      <c r="A343" s="13" t="str">
        <f>'04_MOTOR_CÁLCULO'!A1012</f>
        <v>6202-3/00</v>
      </c>
      <c r="B343" s="49" t="str">
        <f>'04_MOTOR_CÁLCULO'!B1012</f>
        <v>J</v>
      </c>
      <c r="C343" s="101" t="str">
        <f>'04_MOTOR_CÁLCULO'!C1012</f>
        <v>Desenvolvimento e licenciamento de programas de computador customizáveis</v>
      </c>
      <c r="D343" s="14" t="str">
        <f>'04_MOTOR_CÁLCULO'!D1012</f>
        <v>ATIVIDADES DOS S</v>
      </c>
      <c r="E343" s="78" t="str">
        <f>'04_MOTOR_CÁLCULO'!N1012</f>
        <v>CNAE-STG</v>
      </c>
      <c r="F343" s="62">
        <f>'04_MOTOR_CÁLCULO'!K1012</f>
        <v>0.9</v>
      </c>
      <c r="G343" s="63">
        <f>'04_MOTOR_CÁLCULO'!K1012-1</f>
        <v>-9.9999999999999978E-2</v>
      </c>
      <c r="H343" s="17" t="str">
        <f>'04_MOTOR_CÁLCULO'!M1012</f>
        <v>Baixo</v>
      </c>
    </row>
    <row r="344" spans="1:8" ht="13.5" customHeight="1" x14ac:dyDescent="0.25">
      <c r="A344" s="24" t="str">
        <f>'04_MOTOR_CÁLCULO'!A1013</f>
        <v>6203-1/00</v>
      </c>
      <c r="B344" s="38" t="str">
        <f>'04_MOTOR_CÁLCULO'!B1013</f>
        <v>J</v>
      </c>
      <c r="C344" s="100" t="str">
        <f>'04_MOTOR_CÁLCULO'!C1013</f>
        <v>Desenvolvimento e licenciamento de programas de computador não customizáveis</v>
      </c>
      <c r="D344" s="25" t="str">
        <f>'04_MOTOR_CÁLCULO'!D1013</f>
        <v>ATIVIDADES DOS S</v>
      </c>
      <c r="E344" s="78" t="str">
        <f>'04_MOTOR_CÁLCULO'!N1013</f>
        <v>CNAE-STG</v>
      </c>
      <c r="F344" s="62">
        <f>'04_MOTOR_CÁLCULO'!K1013</f>
        <v>0.9</v>
      </c>
      <c r="G344" s="63">
        <f>'04_MOTOR_CÁLCULO'!K1013-1</f>
        <v>-9.9999999999999978E-2</v>
      </c>
      <c r="H344" s="17" t="str">
        <f>'04_MOTOR_CÁLCULO'!M1013</f>
        <v>Baixo</v>
      </c>
    </row>
    <row r="345" spans="1:8" ht="13.5" customHeight="1" x14ac:dyDescent="0.25">
      <c r="A345" s="13" t="str">
        <f>'04_MOTOR_CÁLCULO'!A1014</f>
        <v>6204-0/00</v>
      </c>
      <c r="B345" s="49" t="str">
        <f>'04_MOTOR_CÁLCULO'!B1014</f>
        <v>J</v>
      </c>
      <c r="C345" s="101" t="str">
        <f>'04_MOTOR_CÁLCULO'!C1014</f>
        <v>Consultoria em tecnologia da informação</v>
      </c>
      <c r="D345" s="14" t="str">
        <f>'04_MOTOR_CÁLCULO'!D1014</f>
        <v>ATIVIDADES DOS S</v>
      </c>
      <c r="E345" s="78" t="str">
        <f>'04_MOTOR_CÁLCULO'!N1014</f>
        <v>CNAE-STG</v>
      </c>
      <c r="F345" s="62">
        <f>'04_MOTOR_CÁLCULO'!K1014</f>
        <v>0.9</v>
      </c>
      <c r="G345" s="63">
        <f>'04_MOTOR_CÁLCULO'!K1014-1</f>
        <v>-9.9999999999999978E-2</v>
      </c>
      <c r="H345" s="17" t="str">
        <f>'04_MOTOR_CÁLCULO'!M1014</f>
        <v>Baixo</v>
      </c>
    </row>
    <row r="346" spans="1:8" ht="13.5" customHeight="1" x14ac:dyDescent="0.25">
      <c r="A346" s="24" t="str">
        <f>'04_MOTOR_CÁLCULO'!A1015</f>
        <v>6209-1/00</v>
      </c>
      <c r="B346" s="38" t="str">
        <f>'04_MOTOR_CÁLCULO'!B1015</f>
        <v>J</v>
      </c>
      <c r="C346" s="100" t="str">
        <f>'04_MOTOR_CÁLCULO'!C1015</f>
        <v>Suporte técnico, manutenção e outros serviços em tecnologia da informação</v>
      </c>
      <c r="D346" s="25" t="str">
        <f>'04_MOTOR_CÁLCULO'!D1015</f>
        <v>ATIVIDADES DOS S</v>
      </c>
      <c r="E346" s="78" t="str">
        <f>'04_MOTOR_CÁLCULO'!N1015</f>
        <v>CNAE-STG</v>
      </c>
      <c r="F346" s="62">
        <f>'04_MOTOR_CÁLCULO'!K1015</f>
        <v>0.9</v>
      </c>
      <c r="G346" s="63">
        <f>'04_MOTOR_CÁLCULO'!K1015-1</f>
        <v>-9.9999999999999978E-2</v>
      </c>
      <c r="H346" s="17" t="str">
        <f>'04_MOTOR_CÁLCULO'!M1015</f>
        <v>Baixo</v>
      </c>
    </row>
    <row r="347" spans="1:8" ht="13.5" customHeight="1" x14ac:dyDescent="0.25">
      <c r="A347" s="13" t="str">
        <f>'04_MOTOR_CÁLCULO'!A1016</f>
        <v>6311-9/00</v>
      </c>
      <c r="B347" s="49" t="str">
        <f>'04_MOTOR_CÁLCULO'!B1016</f>
        <v>J</v>
      </c>
      <c r="C347" s="101" t="str">
        <f>'04_MOTOR_CÁLCULO'!C1016</f>
        <v>Tratamento de dados, provedores de serviços de aplicação e serviços de hospedagem na Internet</v>
      </c>
      <c r="D347" s="14" t="str">
        <f>'04_MOTOR_CÁLCULO'!D1016</f>
        <v>ATIVIDADES DE PR</v>
      </c>
      <c r="E347" s="78" t="str">
        <f>'04_MOTOR_CÁLCULO'!N1016</f>
        <v>CNAE-STG</v>
      </c>
      <c r="F347" s="62">
        <f>'04_MOTOR_CÁLCULO'!K1016</f>
        <v>0.9</v>
      </c>
      <c r="G347" s="63">
        <f>'04_MOTOR_CÁLCULO'!K1016-1</f>
        <v>-9.9999999999999978E-2</v>
      </c>
      <c r="H347" s="17" t="str">
        <f>'04_MOTOR_CÁLCULO'!M1016</f>
        <v>Baixo</v>
      </c>
    </row>
    <row r="348" spans="1:8" ht="13.5" customHeight="1" x14ac:dyDescent="0.25">
      <c r="A348" s="24" t="str">
        <f>'04_MOTOR_CÁLCULO'!A1017</f>
        <v>6319-4/00</v>
      </c>
      <c r="B348" s="38" t="str">
        <f>'04_MOTOR_CÁLCULO'!B1017</f>
        <v>J</v>
      </c>
      <c r="C348" s="100" t="str">
        <f>'04_MOTOR_CÁLCULO'!C1017</f>
        <v>Portais, provedores de conteúdo e outros serviços de informação na Internet</v>
      </c>
      <c r="D348" s="25" t="str">
        <f>'04_MOTOR_CÁLCULO'!D1017</f>
        <v>ATIVIDADES DE PR</v>
      </c>
      <c r="E348" s="78" t="str">
        <f>'04_MOTOR_CÁLCULO'!N1017</f>
        <v>CNAE-STG</v>
      </c>
      <c r="F348" s="62">
        <f>'04_MOTOR_CÁLCULO'!K1017</f>
        <v>0.9</v>
      </c>
      <c r="G348" s="63">
        <f>'04_MOTOR_CÁLCULO'!K1017-1</f>
        <v>-9.9999999999999978E-2</v>
      </c>
      <c r="H348" s="17" t="str">
        <f>'04_MOTOR_CÁLCULO'!M1017</f>
        <v>Baixo</v>
      </c>
    </row>
    <row r="349" spans="1:8" ht="13.5" customHeight="1" x14ac:dyDescent="0.25">
      <c r="A349" s="13" t="str">
        <f>'04_MOTOR_CÁLCULO'!A1018</f>
        <v>6391-7/00</v>
      </c>
      <c r="B349" s="49" t="str">
        <f>'04_MOTOR_CÁLCULO'!B1018</f>
        <v>J</v>
      </c>
      <c r="C349" s="101" t="str">
        <f>'04_MOTOR_CÁLCULO'!C1018</f>
        <v>Agências de notícias</v>
      </c>
      <c r="D349" s="14" t="str">
        <f>'04_MOTOR_CÁLCULO'!D1018</f>
        <v>ATIVIDADES DE PR</v>
      </c>
      <c r="E349" s="78" t="str">
        <f>'04_MOTOR_CÁLCULO'!N1018</f>
        <v>CNAE-STG</v>
      </c>
      <c r="F349" s="62">
        <f>'04_MOTOR_CÁLCULO'!K1018</f>
        <v>0.9</v>
      </c>
      <c r="G349" s="63">
        <f>'04_MOTOR_CÁLCULO'!K1018-1</f>
        <v>-9.9999999999999978E-2</v>
      </c>
      <c r="H349" s="17" t="str">
        <f>'04_MOTOR_CÁLCULO'!M1018</f>
        <v>Baixo</v>
      </c>
    </row>
    <row r="350" spans="1:8" ht="13.5" customHeight="1" x14ac:dyDescent="0.25">
      <c r="A350" s="24" t="str">
        <f>'04_MOTOR_CÁLCULO'!A1019</f>
        <v>6399-2/00</v>
      </c>
      <c r="B350" s="38" t="str">
        <f>'04_MOTOR_CÁLCULO'!B1019</f>
        <v>J</v>
      </c>
      <c r="C350" s="100" t="str">
        <f>'04_MOTOR_CÁLCULO'!C1019</f>
        <v>Outras atividades de prestação de serviços de informação não especificadas anteriormente</v>
      </c>
      <c r="D350" s="25" t="str">
        <f>'04_MOTOR_CÁLCULO'!D1019</f>
        <v>ATIVIDADES DE PR</v>
      </c>
      <c r="E350" s="78" t="str">
        <f>'04_MOTOR_CÁLCULO'!N1019</f>
        <v>CNAE-STG</v>
      </c>
      <c r="F350" s="62">
        <f>'04_MOTOR_CÁLCULO'!K1019</f>
        <v>0.9</v>
      </c>
      <c r="G350" s="63">
        <f>'04_MOTOR_CÁLCULO'!K1019-1</f>
        <v>-9.9999999999999978E-2</v>
      </c>
      <c r="H350" s="17" t="str">
        <f>'04_MOTOR_CÁLCULO'!M1019</f>
        <v>Baixo</v>
      </c>
    </row>
    <row r="351" spans="1:8" ht="13.5" customHeight="1" x14ac:dyDescent="0.25">
      <c r="A351" s="13" t="str">
        <f>'04_MOTOR_CÁLCULO'!A1020</f>
        <v>6410-7/00</v>
      </c>
      <c r="B351" s="49" t="str">
        <f>'04_MOTOR_CÁLCULO'!B1020</f>
        <v>K</v>
      </c>
      <c r="C351" s="101" t="str">
        <f>'04_MOTOR_CÁLCULO'!C1020</f>
        <v>Banco Central</v>
      </c>
      <c r="D351" s="14" t="str">
        <f>'04_MOTOR_CÁLCULO'!D1020</f>
        <v>ATIVIDADES DE SE</v>
      </c>
      <c r="E351" s="78" t="str">
        <f>'04_MOTOR_CÁLCULO'!N1020</f>
        <v>CNAE-STG</v>
      </c>
      <c r="F351" s="62">
        <f>'04_MOTOR_CÁLCULO'!K1020</f>
        <v>0.9</v>
      </c>
      <c r="G351" s="63">
        <f>'04_MOTOR_CÁLCULO'!K1020-1</f>
        <v>-9.9999999999999978E-2</v>
      </c>
      <c r="H351" s="17" t="str">
        <f>'04_MOTOR_CÁLCULO'!M1020</f>
        <v>Baixo</v>
      </c>
    </row>
    <row r="352" spans="1:8" ht="13.5" customHeight="1" x14ac:dyDescent="0.25">
      <c r="A352" s="24" t="str">
        <f>'04_MOTOR_CÁLCULO'!A1021</f>
        <v>6421-2/00</v>
      </c>
      <c r="B352" s="38" t="str">
        <f>'04_MOTOR_CÁLCULO'!B1021</f>
        <v>K</v>
      </c>
      <c r="C352" s="100" t="str">
        <f>'04_MOTOR_CÁLCULO'!C1021</f>
        <v>Bancos comerciais</v>
      </c>
      <c r="D352" s="25" t="str">
        <f>'04_MOTOR_CÁLCULO'!D1021</f>
        <v>ATIVIDADES DE SE</v>
      </c>
      <c r="E352" s="78" t="str">
        <f>'04_MOTOR_CÁLCULO'!N1021</f>
        <v>CNAE-STG</v>
      </c>
      <c r="F352" s="62">
        <f>'04_MOTOR_CÁLCULO'!K1021</f>
        <v>0.9</v>
      </c>
      <c r="G352" s="63">
        <f>'04_MOTOR_CÁLCULO'!K1021-1</f>
        <v>-9.9999999999999978E-2</v>
      </c>
      <c r="H352" s="17" t="str">
        <f>'04_MOTOR_CÁLCULO'!M1021</f>
        <v>Baixo</v>
      </c>
    </row>
    <row r="353" spans="1:8" ht="13.5" customHeight="1" x14ac:dyDescent="0.25">
      <c r="A353" s="13" t="str">
        <f>'04_MOTOR_CÁLCULO'!A1022</f>
        <v>6422-1/00</v>
      </c>
      <c r="B353" s="49" t="str">
        <f>'04_MOTOR_CÁLCULO'!B1022</f>
        <v>K</v>
      </c>
      <c r="C353" s="101" t="str">
        <f>'04_MOTOR_CÁLCULO'!C1022</f>
        <v>Bancos múltiplos, com carteira comercial</v>
      </c>
      <c r="D353" s="14" t="str">
        <f>'04_MOTOR_CÁLCULO'!D1022</f>
        <v>ATIVIDADES DE SE</v>
      </c>
      <c r="E353" s="78" t="str">
        <f>'04_MOTOR_CÁLCULO'!N1022</f>
        <v>CNAE-STG</v>
      </c>
      <c r="F353" s="62">
        <f>'04_MOTOR_CÁLCULO'!K1022</f>
        <v>0.9</v>
      </c>
      <c r="G353" s="63">
        <f>'04_MOTOR_CÁLCULO'!K1022-1</f>
        <v>-9.9999999999999978E-2</v>
      </c>
      <c r="H353" s="17" t="str">
        <f>'04_MOTOR_CÁLCULO'!M1022</f>
        <v>Baixo</v>
      </c>
    </row>
    <row r="354" spans="1:8" ht="13.5" customHeight="1" x14ac:dyDescent="0.25">
      <c r="A354" s="24" t="str">
        <f>'04_MOTOR_CÁLCULO'!A1023</f>
        <v>6423-9/00</v>
      </c>
      <c r="B354" s="38" t="str">
        <f>'04_MOTOR_CÁLCULO'!B1023</f>
        <v>K</v>
      </c>
      <c r="C354" s="100" t="str">
        <f>'04_MOTOR_CÁLCULO'!C1023</f>
        <v>Caixas econômicas</v>
      </c>
      <c r="D354" s="25" t="str">
        <f>'04_MOTOR_CÁLCULO'!D1023</f>
        <v>ATIVIDADES DE SE</v>
      </c>
      <c r="E354" s="78" t="str">
        <f>'04_MOTOR_CÁLCULO'!N1023</f>
        <v>CNAE-STG</v>
      </c>
      <c r="F354" s="62">
        <f>'04_MOTOR_CÁLCULO'!K1023</f>
        <v>0.9</v>
      </c>
      <c r="G354" s="63">
        <f>'04_MOTOR_CÁLCULO'!K1023-1</f>
        <v>-9.9999999999999978E-2</v>
      </c>
      <c r="H354" s="17" t="str">
        <f>'04_MOTOR_CÁLCULO'!M1023</f>
        <v>Baixo</v>
      </c>
    </row>
    <row r="355" spans="1:8" ht="13.5" customHeight="1" x14ac:dyDescent="0.25">
      <c r="A355" s="13" t="str">
        <f>'04_MOTOR_CÁLCULO'!A1024</f>
        <v>6424-7/01</v>
      </c>
      <c r="B355" s="49" t="str">
        <f>'04_MOTOR_CÁLCULO'!B1024</f>
        <v>K</v>
      </c>
      <c r="C355" s="101" t="str">
        <f>'04_MOTOR_CÁLCULO'!C1024</f>
        <v>Bancos cooperativos</v>
      </c>
      <c r="D355" s="14" t="str">
        <f>'04_MOTOR_CÁLCULO'!D1024</f>
        <v>ATIVIDADES DE SE</v>
      </c>
      <c r="E355" s="78" t="str">
        <f>'04_MOTOR_CÁLCULO'!N1024</f>
        <v>CNAE-STG</v>
      </c>
      <c r="F355" s="62">
        <f>'04_MOTOR_CÁLCULO'!K1024</f>
        <v>0.9</v>
      </c>
      <c r="G355" s="63">
        <f>'04_MOTOR_CÁLCULO'!K1024-1</f>
        <v>-9.9999999999999978E-2</v>
      </c>
      <c r="H355" s="17" t="str">
        <f>'04_MOTOR_CÁLCULO'!M1024</f>
        <v>Baixo</v>
      </c>
    </row>
    <row r="356" spans="1:8" ht="13.5" customHeight="1" x14ac:dyDescent="0.25">
      <c r="A356" s="24" t="str">
        <f>'04_MOTOR_CÁLCULO'!A1025</f>
        <v>6424-7/02</v>
      </c>
      <c r="B356" s="38" t="str">
        <f>'04_MOTOR_CÁLCULO'!B1025</f>
        <v>K</v>
      </c>
      <c r="C356" s="100" t="str">
        <f>'04_MOTOR_CÁLCULO'!C1025</f>
        <v>Cooperativas centrais de crédito</v>
      </c>
      <c r="D356" s="25" t="str">
        <f>'04_MOTOR_CÁLCULO'!D1025</f>
        <v>ATIVIDADES DE SE</v>
      </c>
      <c r="E356" s="78" t="str">
        <f>'04_MOTOR_CÁLCULO'!N1025</f>
        <v>CNAE-STG</v>
      </c>
      <c r="F356" s="62">
        <f>'04_MOTOR_CÁLCULO'!K1025</f>
        <v>0.9</v>
      </c>
      <c r="G356" s="63">
        <f>'04_MOTOR_CÁLCULO'!K1025-1</f>
        <v>-9.9999999999999978E-2</v>
      </c>
      <c r="H356" s="17" t="str">
        <f>'04_MOTOR_CÁLCULO'!M1025</f>
        <v>Baixo</v>
      </c>
    </row>
    <row r="357" spans="1:8" ht="13.5" customHeight="1" x14ac:dyDescent="0.25">
      <c r="A357" s="13" t="str">
        <f>'04_MOTOR_CÁLCULO'!A1026</f>
        <v>6424-7/03</v>
      </c>
      <c r="B357" s="49" t="str">
        <f>'04_MOTOR_CÁLCULO'!B1026</f>
        <v>K</v>
      </c>
      <c r="C357" s="101" t="str">
        <f>'04_MOTOR_CÁLCULO'!C1026</f>
        <v>Cooperativas de crédito mútuo</v>
      </c>
      <c r="D357" s="14" t="str">
        <f>'04_MOTOR_CÁLCULO'!D1026</f>
        <v>ATIVIDADES DE SE</v>
      </c>
      <c r="E357" s="78" t="str">
        <f>'04_MOTOR_CÁLCULO'!N1026</f>
        <v>CNAE-STG</v>
      </c>
      <c r="F357" s="62">
        <f>'04_MOTOR_CÁLCULO'!K1026</f>
        <v>0.9</v>
      </c>
      <c r="G357" s="63">
        <f>'04_MOTOR_CÁLCULO'!K1026-1</f>
        <v>-9.9999999999999978E-2</v>
      </c>
      <c r="H357" s="17" t="str">
        <f>'04_MOTOR_CÁLCULO'!M1026</f>
        <v>Baixo</v>
      </c>
    </row>
    <row r="358" spans="1:8" ht="13.5" customHeight="1" x14ac:dyDescent="0.25">
      <c r="A358" s="24" t="str">
        <f>'04_MOTOR_CÁLCULO'!A1027</f>
        <v>6424-7/04</v>
      </c>
      <c r="B358" s="38" t="str">
        <f>'04_MOTOR_CÁLCULO'!B1027</f>
        <v>K</v>
      </c>
      <c r="C358" s="100" t="str">
        <f>'04_MOTOR_CÁLCULO'!C1027</f>
        <v>Cooperativas de crédito rural</v>
      </c>
      <c r="D358" s="25" t="str">
        <f>'04_MOTOR_CÁLCULO'!D1027</f>
        <v>ATIVIDADES DE SE</v>
      </c>
      <c r="E358" s="78" t="str">
        <f>'04_MOTOR_CÁLCULO'!N1027</f>
        <v>CNAE-STG</v>
      </c>
      <c r="F358" s="62">
        <f>'04_MOTOR_CÁLCULO'!K1027</f>
        <v>0.9</v>
      </c>
      <c r="G358" s="63">
        <f>'04_MOTOR_CÁLCULO'!K1027-1</f>
        <v>-9.9999999999999978E-2</v>
      </c>
      <c r="H358" s="17" t="str">
        <f>'04_MOTOR_CÁLCULO'!M1027</f>
        <v>Baixo</v>
      </c>
    </row>
    <row r="359" spans="1:8" ht="13.5" customHeight="1" x14ac:dyDescent="0.25">
      <c r="A359" s="13" t="str">
        <f>'04_MOTOR_CÁLCULO'!A1028</f>
        <v>6431-0/00</v>
      </c>
      <c r="B359" s="49" t="str">
        <f>'04_MOTOR_CÁLCULO'!B1028</f>
        <v>K</v>
      </c>
      <c r="C359" s="101" t="str">
        <f>'04_MOTOR_CÁLCULO'!C1028</f>
        <v>Bancos múltiplos, sem carteira comercial</v>
      </c>
      <c r="D359" s="14" t="str">
        <f>'04_MOTOR_CÁLCULO'!D1028</f>
        <v>ATIVIDADES DE SE</v>
      </c>
      <c r="E359" s="78" t="str">
        <f>'04_MOTOR_CÁLCULO'!N1028</f>
        <v>CNAE-STG</v>
      </c>
      <c r="F359" s="62">
        <f>'04_MOTOR_CÁLCULO'!K1028</f>
        <v>0.9</v>
      </c>
      <c r="G359" s="63">
        <f>'04_MOTOR_CÁLCULO'!K1028-1</f>
        <v>-9.9999999999999978E-2</v>
      </c>
      <c r="H359" s="17" t="str">
        <f>'04_MOTOR_CÁLCULO'!M1028</f>
        <v>Baixo</v>
      </c>
    </row>
    <row r="360" spans="1:8" ht="13.5" customHeight="1" x14ac:dyDescent="0.25">
      <c r="A360" s="24" t="str">
        <f>'04_MOTOR_CÁLCULO'!A1029</f>
        <v>6432-8/00</v>
      </c>
      <c r="B360" s="38" t="str">
        <f>'04_MOTOR_CÁLCULO'!B1029</f>
        <v>K</v>
      </c>
      <c r="C360" s="100" t="str">
        <f>'04_MOTOR_CÁLCULO'!C1029</f>
        <v>Bancos de investimento</v>
      </c>
      <c r="D360" s="25" t="str">
        <f>'04_MOTOR_CÁLCULO'!D1029</f>
        <v>ATIVIDADES DE SE</v>
      </c>
      <c r="E360" s="78" t="str">
        <f>'04_MOTOR_CÁLCULO'!N1029</f>
        <v>CNAE-STG</v>
      </c>
      <c r="F360" s="62">
        <f>'04_MOTOR_CÁLCULO'!K1029</f>
        <v>0.9</v>
      </c>
      <c r="G360" s="63">
        <f>'04_MOTOR_CÁLCULO'!K1029-1</f>
        <v>-9.9999999999999978E-2</v>
      </c>
      <c r="H360" s="17" t="str">
        <f>'04_MOTOR_CÁLCULO'!M1029</f>
        <v>Baixo</v>
      </c>
    </row>
    <row r="361" spans="1:8" ht="13.5" customHeight="1" x14ac:dyDescent="0.25">
      <c r="A361" s="13" t="str">
        <f>'04_MOTOR_CÁLCULO'!A1030</f>
        <v>6433-6/00</v>
      </c>
      <c r="B361" s="49" t="str">
        <f>'04_MOTOR_CÁLCULO'!B1030</f>
        <v>K</v>
      </c>
      <c r="C361" s="101" t="str">
        <f>'04_MOTOR_CÁLCULO'!C1030</f>
        <v>Bancos de desenvolvimento</v>
      </c>
      <c r="D361" s="14" t="str">
        <f>'04_MOTOR_CÁLCULO'!D1030</f>
        <v>ATIVIDADES DE SE</v>
      </c>
      <c r="E361" s="78" t="str">
        <f>'04_MOTOR_CÁLCULO'!N1030</f>
        <v>CNAE-STG</v>
      </c>
      <c r="F361" s="62">
        <f>'04_MOTOR_CÁLCULO'!K1030</f>
        <v>0.9</v>
      </c>
      <c r="G361" s="63">
        <f>'04_MOTOR_CÁLCULO'!K1030-1</f>
        <v>-9.9999999999999978E-2</v>
      </c>
      <c r="H361" s="17" t="str">
        <f>'04_MOTOR_CÁLCULO'!M1030</f>
        <v>Baixo</v>
      </c>
    </row>
    <row r="362" spans="1:8" ht="13.5" customHeight="1" x14ac:dyDescent="0.25">
      <c r="A362" s="24" t="str">
        <f>'04_MOTOR_CÁLCULO'!A1031</f>
        <v>6434-4/00</v>
      </c>
      <c r="B362" s="38" t="str">
        <f>'04_MOTOR_CÁLCULO'!B1031</f>
        <v>K</v>
      </c>
      <c r="C362" s="100" t="str">
        <f>'04_MOTOR_CÁLCULO'!C1031</f>
        <v>Agências de fomento</v>
      </c>
      <c r="D362" s="25" t="str">
        <f>'04_MOTOR_CÁLCULO'!D1031</f>
        <v>ATIVIDADES DE SE</v>
      </c>
      <c r="E362" s="78" t="str">
        <f>'04_MOTOR_CÁLCULO'!N1031</f>
        <v>CNAE-STG</v>
      </c>
      <c r="F362" s="62">
        <f>'04_MOTOR_CÁLCULO'!K1031</f>
        <v>0.9</v>
      </c>
      <c r="G362" s="63">
        <f>'04_MOTOR_CÁLCULO'!K1031-1</f>
        <v>-9.9999999999999978E-2</v>
      </c>
      <c r="H362" s="17" t="str">
        <f>'04_MOTOR_CÁLCULO'!M1031</f>
        <v>Baixo</v>
      </c>
    </row>
    <row r="363" spans="1:8" ht="13.5" customHeight="1" x14ac:dyDescent="0.25">
      <c r="A363" s="13" t="str">
        <f>'04_MOTOR_CÁLCULO'!A1032</f>
        <v>6435-2/01</v>
      </c>
      <c r="B363" s="49" t="str">
        <f>'04_MOTOR_CÁLCULO'!B1032</f>
        <v>K</v>
      </c>
      <c r="C363" s="101" t="str">
        <f>'04_MOTOR_CÁLCULO'!C1032</f>
        <v>Sociedades de crédito imobiliário</v>
      </c>
      <c r="D363" s="14" t="str">
        <f>'04_MOTOR_CÁLCULO'!D1032</f>
        <v>ATIVIDADES DE SE</v>
      </c>
      <c r="E363" s="78" t="str">
        <f>'04_MOTOR_CÁLCULO'!N1032</f>
        <v>CNAE-STG</v>
      </c>
      <c r="F363" s="62">
        <f>'04_MOTOR_CÁLCULO'!K1032</f>
        <v>0.9</v>
      </c>
      <c r="G363" s="63">
        <f>'04_MOTOR_CÁLCULO'!K1032-1</f>
        <v>-9.9999999999999978E-2</v>
      </c>
      <c r="H363" s="17" t="str">
        <f>'04_MOTOR_CÁLCULO'!M1032</f>
        <v>Baixo</v>
      </c>
    </row>
    <row r="364" spans="1:8" ht="13.5" customHeight="1" x14ac:dyDescent="0.25">
      <c r="A364" s="24" t="str">
        <f>'04_MOTOR_CÁLCULO'!A1033</f>
        <v>6435-2/02</v>
      </c>
      <c r="B364" s="38" t="str">
        <f>'04_MOTOR_CÁLCULO'!B1033</f>
        <v>K</v>
      </c>
      <c r="C364" s="100" t="str">
        <f>'04_MOTOR_CÁLCULO'!C1033</f>
        <v>Associações de poupança e empréstimo</v>
      </c>
      <c r="D364" s="25" t="str">
        <f>'04_MOTOR_CÁLCULO'!D1033</f>
        <v>ATIVIDADES DE SE</v>
      </c>
      <c r="E364" s="78" t="str">
        <f>'04_MOTOR_CÁLCULO'!N1033</f>
        <v>CNAE-STG</v>
      </c>
      <c r="F364" s="62">
        <f>'04_MOTOR_CÁLCULO'!K1033</f>
        <v>0.9</v>
      </c>
      <c r="G364" s="63">
        <f>'04_MOTOR_CÁLCULO'!K1033-1</f>
        <v>-9.9999999999999978E-2</v>
      </c>
      <c r="H364" s="17" t="str">
        <f>'04_MOTOR_CÁLCULO'!M1033</f>
        <v>Baixo</v>
      </c>
    </row>
    <row r="365" spans="1:8" ht="13.5" customHeight="1" x14ac:dyDescent="0.25">
      <c r="A365" s="13" t="str">
        <f>'04_MOTOR_CÁLCULO'!A1034</f>
        <v>6435-2/03</v>
      </c>
      <c r="B365" s="49" t="str">
        <f>'04_MOTOR_CÁLCULO'!B1034</f>
        <v>K</v>
      </c>
      <c r="C365" s="101" t="str">
        <f>'04_MOTOR_CÁLCULO'!C1034</f>
        <v>Companhias hipotecárias</v>
      </c>
      <c r="D365" s="14" t="str">
        <f>'04_MOTOR_CÁLCULO'!D1034</f>
        <v>ATIVIDADES DE SE</v>
      </c>
      <c r="E365" s="78" t="str">
        <f>'04_MOTOR_CÁLCULO'!N1034</f>
        <v>CNAE-STG</v>
      </c>
      <c r="F365" s="62">
        <f>'04_MOTOR_CÁLCULO'!K1034</f>
        <v>0.9</v>
      </c>
      <c r="G365" s="63">
        <f>'04_MOTOR_CÁLCULO'!K1034-1</f>
        <v>-9.9999999999999978E-2</v>
      </c>
      <c r="H365" s="17" t="str">
        <f>'04_MOTOR_CÁLCULO'!M1034</f>
        <v>Baixo</v>
      </c>
    </row>
    <row r="366" spans="1:8" ht="13.5" customHeight="1" x14ac:dyDescent="0.25">
      <c r="A366" s="24" t="str">
        <f>'04_MOTOR_CÁLCULO'!A1035</f>
        <v>6436-1/00</v>
      </c>
      <c r="B366" s="38" t="str">
        <f>'04_MOTOR_CÁLCULO'!B1035</f>
        <v>K</v>
      </c>
      <c r="C366" s="100" t="str">
        <f>'04_MOTOR_CÁLCULO'!C1035</f>
        <v>Sociedades de crédito, financiamento e investimento - financeiras</v>
      </c>
      <c r="D366" s="25" t="str">
        <f>'04_MOTOR_CÁLCULO'!D1035</f>
        <v>ATIVIDADES DE SE</v>
      </c>
      <c r="E366" s="78" t="str">
        <f>'04_MOTOR_CÁLCULO'!N1035</f>
        <v>CNAE-STG</v>
      </c>
      <c r="F366" s="62">
        <f>'04_MOTOR_CÁLCULO'!K1035</f>
        <v>0.9</v>
      </c>
      <c r="G366" s="63">
        <f>'04_MOTOR_CÁLCULO'!K1035-1</f>
        <v>-9.9999999999999978E-2</v>
      </c>
      <c r="H366" s="17" t="str">
        <f>'04_MOTOR_CÁLCULO'!M1035</f>
        <v>Baixo</v>
      </c>
    </row>
    <row r="367" spans="1:8" ht="13.5" customHeight="1" x14ac:dyDescent="0.25">
      <c r="A367" s="13" t="str">
        <f>'04_MOTOR_CÁLCULO'!A1036</f>
        <v>6437-9/00</v>
      </c>
      <c r="B367" s="49" t="str">
        <f>'04_MOTOR_CÁLCULO'!B1036</f>
        <v>K</v>
      </c>
      <c r="C367" s="101" t="str">
        <f>'04_MOTOR_CÁLCULO'!C1036</f>
        <v>Sociedades de crédito ao microempreendedor</v>
      </c>
      <c r="D367" s="14" t="str">
        <f>'04_MOTOR_CÁLCULO'!D1036</f>
        <v>ATIVIDADES DE SE</v>
      </c>
      <c r="E367" s="78" t="str">
        <f>'04_MOTOR_CÁLCULO'!N1036</f>
        <v>CNAE-STG</v>
      </c>
      <c r="F367" s="62">
        <f>'04_MOTOR_CÁLCULO'!K1036</f>
        <v>0.9</v>
      </c>
      <c r="G367" s="63">
        <f>'04_MOTOR_CÁLCULO'!K1036-1</f>
        <v>-9.9999999999999978E-2</v>
      </c>
      <c r="H367" s="17" t="str">
        <f>'04_MOTOR_CÁLCULO'!M1036</f>
        <v>Baixo</v>
      </c>
    </row>
    <row r="368" spans="1:8" ht="13.5" customHeight="1" x14ac:dyDescent="0.25">
      <c r="A368" s="24" t="str">
        <f>'04_MOTOR_CÁLCULO'!A1037</f>
        <v>6438-7/01</v>
      </c>
      <c r="B368" s="38" t="str">
        <f>'04_MOTOR_CÁLCULO'!B1037</f>
        <v>K</v>
      </c>
      <c r="C368" s="100" t="str">
        <f>'04_MOTOR_CÁLCULO'!C1037</f>
        <v>Bancos de câmbio</v>
      </c>
      <c r="D368" s="25" t="str">
        <f>'04_MOTOR_CÁLCULO'!D1037</f>
        <v>ATIVIDADES DE SE</v>
      </c>
      <c r="E368" s="78" t="str">
        <f>'04_MOTOR_CÁLCULO'!N1037</f>
        <v>CNAE-STG</v>
      </c>
      <c r="F368" s="62">
        <f>'04_MOTOR_CÁLCULO'!K1037</f>
        <v>0.9</v>
      </c>
      <c r="G368" s="63">
        <f>'04_MOTOR_CÁLCULO'!K1037-1</f>
        <v>-9.9999999999999978E-2</v>
      </c>
      <c r="H368" s="17" t="str">
        <f>'04_MOTOR_CÁLCULO'!M1037</f>
        <v>Baixo</v>
      </c>
    </row>
    <row r="369" spans="1:8" ht="13.5" customHeight="1" x14ac:dyDescent="0.25">
      <c r="A369" s="13" t="str">
        <f>'04_MOTOR_CÁLCULO'!A1038</f>
        <v>6438-7/99</v>
      </c>
      <c r="B369" s="49" t="str">
        <f>'04_MOTOR_CÁLCULO'!B1038</f>
        <v>K</v>
      </c>
      <c r="C369" s="101" t="str">
        <f>'04_MOTOR_CÁLCULO'!C1038</f>
        <v>Outras instituições de intermediação não monetária não especificadas anteriormente</v>
      </c>
      <c r="D369" s="14" t="str">
        <f>'04_MOTOR_CÁLCULO'!D1038</f>
        <v>ATIVIDADES DE SE</v>
      </c>
      <c r="E369" s="78" t="str">
        <f>'04_MOTOR_CÁLCULO'!N1038</f>
        <v>CNAE-STG</v>
      </c>
      <c r="F369" s="62">
        <f>'04_MOTOR_CÁLCULO'!K1038</f>
        <v>0.9</v>
      </c>
      <c r="G369" s="63">
        <f>'04_MOTOR_CÁLCULO'!K1038-1</f>
        <v>-9.9999999999999978E-2</v>
      </c>
      <c r="H369" s="17" t="str">
        <f>'04_MOTOR_CÁLCULO'!M1038</f>
        <v>Baixo</v>
      </c>
    </row>
    <row r="370" spans="1:8" ht="13.5" customHeight="1" x14ac:dyDescent="0.25">
      <c r="A370" s="24" t="str">
        <f>'04_MOTOR_CÁLCULO'!A1039</f>
        <v>6440-9/00</v>
      </c>
      <c r="B370" s="38" t="str">
        <f>'04_MOTOR_CÁLCULO'!B1039</f>
        <v>K</v>
      </c>
      <c r="C370" s="100" t="str">
        <f>'04_MOTOR_CÁLCULO'!C1039</f>
        <v>Arrendamento mercantil</v>
      </c>
      <c r="D370" s="25" t="str">
        <f>'04_MOTOR_CÁLCULO'!D1039</f>
        <v>ATIVIDADES DE SE</v>
      </c>
      <c r="E370" s="78" t="str">
        <f>'04_MOTOR_CÁLCULO'!N1039</f>
        <v>CNAE-STG</v>
      </c>
      <c r="F370" s="62">
        <f>'04_MOTOR_CÁLCULO'!K1039</f>
        <v>0.9</v>
      </c>
      <c r="G370" s="63">
        <f>'04_MOTOR_CÁLCULO'!K1039-1</f>
        <v>-9.9999999999999978E-2</v>
      </c>
      <c r="H370" s="17" t="str">
        <f>'04_MOTOR_CÁLCULO'!M1039</f>
        <v>Baixo</v>
      </c>
    </row>
    <row r="371" spans="1:8" ht="13.5" customHeight="1" x14ac:dyDescent="0.25">
      <c r="A371" s="13" t="str">
        <f>'04_MOTOR_CÁLCULO'!A1040</f>
        <v>6450-6/00</v>
      </c>
      <c r="B371" s="49" t="str">
        <f>'04_MOTOR_CÁLCULO'!B1040</f>
        <v>K</v>
      </c>
      <c r="C371" s="101" t="str">
        <f>'04_MOTOR_CÁLCULO'!C1040</f>
        <v>Sociedades de capitalização</v>
      </c>
      <c r="D371" s="14" t="str">
        <f>'04_MOTOR_CÁLCULO'!D1040</f>
        <v>ATIVIDADES DE SE</v>
      </c>
      <c r="E371" s="78" t="str">
        <f>'04_MOTOR_CÁLCULO'!N1040</f>
        <v>CNAE-STG</v>
      </c>
      <c r="F371" s="62">
        <f>'04_MOTOR_CÁLCULO'!K1040</f>
        <v>0.9</v>
      </c>
      <c r="G371" s="63">
        <f>'04_MOTOR_CÁLCULO'!K1040-1</f>
        <v>-9.9999999999999978E-2</v>
      </c>
      <c r="H371" s="17" t="str">
        <f>'04_MOTOR_CÁLCULO'!M1040</f>
        <v>Baixo</v>
      </c>
    </row>
    <row r="372" spans="1:8" ht="13.5" customHeight="1" x14ac:dyDescent="0.25">
      <c r="A372" s="24" t="str">
        <f>'04_MOTOR_CÁLCULO'!A1041</f>
        <v>6461-1/00</v>
      </c>
      <c r="B372" s="38" t="str">
        <f>'04_MOTOR_CÁLCULO'!B1041</f>
        <v>K</v>
      </c>
      <c r="C372" s="100" t="str">
        <f>'04_MOTOR_CÁLCULO'!C1041</f>
        <v>Holdings de instituições financeiras</v>
      </c>
      <c r="D372" s="25" t="str">
        <f>'04_MOTOR_CÁLCULO'!D1041</f>
        <v>ATIVIDADES DE SE</v>
      </c>
      <c r="E372" s="78" t="str">
        <f>'04_MOTOR_CÁLCULO'!N1041</f>
        <v>CNAE-STG</v>
      </c>
      <c r="F372" s="62">
        <f>'04_MOTOR_CÁLCULO'!K1041</f>
        <v>0.9</v>
      </c>
      <c r="G372" s="63">
        <f>'04_MOTOR_CÁLCULO'!K1041-1</f>
        <v>-9.9999999999999978E-2</v>
      </c>
      <c r="H372" s="17" t="str">
        <f>'04_MOTOR_CÁLCULO'!M1041</f>
        <v>Baixo</v>
      </c>
    </row>
    <row r="373" spans="1:8" ht="13.5" customHeight="1" x14ac:dyDescent="0.25">
      <c r="A373" s="13" t="str">
        <f>'04_MOTOR_CÁLCULO'!A1042</f>
        <v>6462-0/00</v>
      </c>
      <c r="B373" s="49" t="str">
        <f>'04_MOTOR_CÁLCULO'!B1042</f>
        <v>K</v>
      </c>
      <c r="C373" s="101" t="str">
        <f>'04_MOTOR_CÁLCULO'!C1042</f>
        <v>Holdings de instituições não financeiras</v>
      </c>
      <c r="D373" s="14" t="str">
        <f>'04_MOTOR_CÁLCULO'!D1042</f>
        <v>ATIVIDADES DE SE</v>
      </c>
      <c r="E373" s="78" t="str">
        <f>'04_MOTOR_CÁLCULO'!N1042</f>
        <v>CNAE-STG</v>
      </c>
      <c r="F373" s="62">
        <f>'04_MOTOR_CÁLCULO'!K1042</f>
        <v>0.9</v>
      </c>
      <c r="G373" s="63">
        <f>'04_MOTOR_CÁLCULO'!K1042-1</f>
        <v>-9.9999999999999978E-2</v>
      </c>
      <c r="H373" s="17" t="str">
        <f>'04_MOTOR_CÁLCULO'!M1042</f>
        <v>Baixo</v>
      </c>
    </row>
    <row r="374" spans="1:8" ht="13.5" customHeight="1" x14ac:dyDescent="0.25">
      <c r="A374" s="24" t="str">
        <f>'04_MOTOR_CÁLCULO'!A1043</f>
        <v>6463-8/00</v>
      </c>
      <c r="B374" s="38" t="str">
        <f>'04_MOTOR_CÁLCULO'!B1043</f>
        <v>K</v>
      </c>
      <c r="C374" s="100" t="str">
        <f>'04_MOTOR_CÁLCULO'!C1043</f>
        <v>Outras sociedades de participação, exceto holdings</v>
      </c>
      <c r="D374" s="25" t="str">
        <f>'04_MOTOR_CÁLCULO'!D1043</f>
        <v>ATIVIDADES DE SE</v>
      </c>
      <c r="E374" s="78" t="str">
        <f>'04_MOTOR_CÁLCULO'!N1043</f>
        <v>CNAE-STG</v>
      </c>
      <c r="F374" s="62">
        <f>'04_MOTOR_CÁLCULO'!K1043</f>
        <v>0.9</v>
      </c>
      <c r="G374" s="63">
        <f>'04_MOTOR_CÁLCULO'!K1043-1</f>
        <v>-9.9999999999999978E-2</v>
      </c>
      <c r="H374" s="17" t="str">
        <f>'04_MOTOR_CÁLCULO'!M1043</f>
        <v>Baixo</v>
      </c>
    </row>
    <row r="375" spans="1:8" ht="13.5" customHeight="1" x14ac:dyDescent="0.25">
      <c r="A375" s="13" t="str">
        <f>'04_MOTOR_CÁLCULO'!A1044</f>
        <v>6470-1/01</v>
      </c>
      <c r="B375" s="49" t="str">
        <f>'04_MOTOR_CÁLCULO'!B1044</f>
        <v>K</v>
      </c>
      <c r="C375" s="101" t="str">
        <f>'04_MOTOR_CÁLCULO'!C1044</f>
        <v>Fundos de investimento, exceto previdenciários e imobiliários</v>
      </c>
      <c r="D375" s="14" t="str">
        <f>'04_MOTOR_CÁLCULO'!D1044</f>
        <v>ATIVIDADES DE SE</v>
      </c>
      <c r="E375" s="78" t="str">
        <f>'04_MOTOR_CÁLCULO'!N1044</f>
        <v>CNAE-STG</v>
      </c>
      <c r="F375" s="62">
        <f>'04_MOTOR_CÁLCULO'!K1044</f>
        <v>0.9</v>
      </c>
      <c r="G375" s="63">
        <f>'04_MOTOR_CÁLCULO'!K1044-1</f>
        <v>-9.9999999999999978E-2</v>
      </c>
      <c r="H375" s="17" t="str">
        <f>'04_MOTOR_CÁLCULO'!M1044</f>
        <v>Baixo</v>
      </c>
    </row>
    <row r="376" spans="1:8" ht="13.5" customHeight="1" x14ac:dyDescent="0.25">
      <c r="A376" s="24" t="str">
        <f>'04_MOTOR_CÁLCULO'!A1045</f>
        <v>6470-1/02</v>
      </c>
      <c r="B376" s="38" t="str">
        <f>'04_MOTOR_CÁLCULO'!B1045</f>
        <v>K</v>
      </c>
      <c r="C376" s="100" t="str">
        <f>'04_MOTOR_CÁLCULO'!C1045</f>
        <v>Fundos de investimento previdenciários</v>
      </c>
      <c r="D376" s="25" t="str">
        <f>'04_MOTOR_CÁLCULO'!D1045</f>
        <v>ATIVIDADES DE SE</v>
      </c>
      <c r="E376" s="78" t="str">
        <f>'04_MOTOR_CÁLCULO'!N1045</f>
        <v>CNAE-STG</v>
      </c>
      <c r="F376" s="62">
        <f>'04_MOTOR_CÁLCULO'!K1045</f>
        <v>0.9</v>
      </c>
      <c r="G376" s="63">
        <f>'04_MOTOR_CÁLCULO'!K1045-1</f>
        <v>-9.9999999999999978E-2</v>
      </c>
      <c r="H376" s="17" t="str">
        <f>'04_MOTOR_CÁLCULO'!M1045</f>
        <v>Baixo</v>
      </c>
    </row>
    <row r="377" spans="1:8" ht="13.5" customHeight="1" x14ac:dyDescent="0.25">
      <c r="A377" s="13" t="str">
        <f>'04_MOTOR_CÁLCULO'!A1046</f>
        <v>6470-1/03</v>
      </c>
      <c r="B377" s="49" t="str">
        <f>'04_MOTOR_CÁLCULO'!B1046</f>
        <v>K</v>
      </c>
      <c r="C377" s="101" t="str">
        <f>'04_MOTOR_CÁLCULO'!C1046</f>
        <v>Fundos de investimento imobiliários</v>
      </c>
      <c r="D377" s="14" t="str">
        <f>'04_MOTOR_CÁLCULO'!D1046</f>
        <v>ATIVIDADES DE SE</v>
      </c>
      <c r="E377" s="78" t="str">
        <f>'04_MOTOR_CÁLCULO'!N1046</f>
        <v>CNAE-STG</v>
      </c>
      <c r="F377" s="62">
        <f>'04_MOTOR_CÁLCULO'!K1046</f>
        <v>0.9</v>
      </c>
      <c r="G377" s="63">
        <f>'04_MOTOR_CÁLCULO'!K1046-1</f>
        <v>-9.9999999999999978E-2</v>
      </c>
      <c r="H377" s="17" t="str">
        <f>'04_MOTOR_CÁLCULO'!M1046</f>
        <v>Baixo</v>
      </c>
    </row>
    <row r="378" spans="1:8" ht="13.5" customHeight="1" x14ac:dyDescent="0.25">
      <c r="A378" s="24" t="str">
        <f>'04_MOTOR_CÁLCULO'!A1047</f>
        <v>6491-3/00</v>
      </c>
      <c r="B378" s="38" t="str">
        <f>'04_MOTOR_CÁLCULO'!B1047</f>
        <v>K</v>
      </c>
      <c r="C378" s="100" t="str">
        <f>'04_MOTOR_CÁLCULO'!C1047</f>
        <v>Sociedades de fomento mercantil - factoring</v>
      </c>
      <c r="D378" s="25" t="str">
        <f>'04_MOTOR_CÁLCULO'!D1047</f>
        <v>ATIVIDADES DE SE</v>
      </c>
      <c r="E378" s="78" t="str">
        <f>'04_MOTOR_CÁLCULO'!N1047</f>
        <v>CNAE-STG</v>
      </c>
      <c r="F378" s="62">
        <f>'04_MOTOR_CÁLCULO'!K1047</f>
        <v>0.9</v>
      </c>
      <c r="G378" s="63">
        <f>'04_MOTOR_CÁLCULO'!K1047-1</f>
        <v>-9.9999999999999978E-2</v>
      </c>
      <c r="H378" s="17" t="str">
        <f>'04_MOTOR_CÁLCULO'!M1047</f>
        <v>Baixo</v>
      </c>
    </row>
    <row r="379" spans="1:8" ht="13.5" customHeight="1" x14ac:dyDescent="0.25">
      <c r="A379" s="13" t="str">
        <f>'04_MOTOR_CÁLCULO'!A1048</f>
        <v>6492-1/00</v>
      </c>
      <c r="B379" s="49" t="str">
        <f>'04_MOTOR_CÁLCULO'!B1048</f>
        <v>K</v>
      </c>
      <c r="C379" s="101" t="str">
        <f>'04_MOTOR_CÁLCULO'!C1048</f>
        <v>Securitização de créditos</v>
      </c>
      <c r="D379" s="14" t="str">
        <f>'04_MOTOR_CÁLCULO'!D1048</f>
        <v>ATIVIDADES DE SE</v>
      </c>
      <c r="E379" s="78" t="str">
        <f>'04_MOTOR_CÁLCULO'!N1048</f>
        <v>CNAE-STG</v>
      </c>
      <c r="F379" s="62">
        <f>'04_MOTOR_CÁLCULO'!K1048</f>
        <v>0.9</v>
      </c>
      <c r="G379" s="63">
        <f>'04_MOTOR_CÁLCULO'!K1048-1</f>
        <v>-9.9999999999999978E-2</v>
      </c>
      <c r="H379" s="17" t="str">
        <f>'04_MOTOR_CÁLCULO'!M1048</f>
        <v>Baixo</v>
      </c>
    </row>
    <row r="380" spans="1:8" ht="13.5" customHeight="1" x14ac:dyDescent="0.25">
      <c r="A380" s="24" t="str">
        <f>'04_MOTOR_CÁLCULO'!A1049</f>
        <v>6493-0/00</v>
      </c>
      <c r="B380" s="38" t="str">
        <f>'04_MOTOR_CÁLCULO'!B1049</f>
        <v>K</v>
      </c>
      <c r="C380" s="100" t="str">
        <f>'04_MOTOR_CÁLCULO'!C1049</f>
        <v>Administração de consórcios para aquisição de bens e direitos</v>
      </c>
      <c r="D380" s="25" t="str">
        <f>'04_MOTOR_CÁLCULO'!D1049</f>
        <v>ATIVIDADES DE SE</v>
      </c>
      <c r="E380" s="78" t="str">
        <f>'04_MOTOR_CÁLCULO'!N1049</f>
        <v>CNAE-STG</v>
      </c>
      <c r="F380" s="62">
        <f>'04_MOTOR_CÁLCULO'!K1049</f>
        <v>0.9</v>
      </c>
      <c r="G380" s="63">
        <f>'04_MOTOR_CÁLCULO'!K1049-1</f>
        <v>-9.9999999999999978E-2</v>
      </c>
      <c r="H380" s="17" t="str">
        <f>'04_MOTOR_CÁLCULO'!M1049</f>
        <v>Baixo</v>
      </c>
    </row>
    <row r="381" spans="1:8" ht="13.5" customHeight="1" x14ac:dyDescent="0.25">
      <c r="A381" s="13" t="str">
        <f>'04_MOTOR_CÁLCULO'!A1050</f>
        <v>6499-9/01</v>
      </c>
      <c r="B381" s="49" t="str">
        <f>'04_MOTOR_CÁLCULO'!B1050</f>
        <v>K</v>
      </c>
      <c r="C381" s="101" t="str">
        <f>'04_MOTOR_CÁLCULO'!C1050</f>
        <v>Clubes de investimento</v>
      </c>
      <c r="D381" s="14" t="str">
        <f>'04_MOTOR_CÁLCULO'!D1050</f>
        <v>ATIVIDADES DE SE</v>
      </c>
      <c r="E381" s="78" t="str">
        <f>'04_MOTOR_CÁLCULO'!N1050</f>
        <v>CNAE-STG</v>
      </c>
      <c r="F381" s="62">
        <f>'04_MOTOR_CÁLCULO'!K1050</f>
        <v>0.9</v>
      </c>
      <c r="G381" s="63">
        <f>'04_MOTOR_CÁLCULO'!K1050-1</f>
        <v>-9.9999999999999978E-2</v>
      </c>
      <c r="H381" s="17" t="str">
        <f>'04_MOTOR_CÁLCULO'!M1050</f>
        <v>Baixo</v>
      </c>
    </row>
    <row r="382" spans="1:8" ht="13.5" customHeight="1" x14ac:dyDescent="0.25">
      <c r="A382" s="24" t="str">
        <f>'04_MOTOR_CÁLCULO'!A1051</f>
        <v>6499-9/02</v>
      </c>
      <c r="B382" s="38" t="str">
        <f>'04_MOTOR_CÁLCULO'!B1051</f>
        <v>K</v>
      </c>
      <c r="C382" s="100" t="str">
        <f>'04_MOTOR_CÁLCULO'!C1051</f>
        <v>Sociedades de investimento</v>
      </c>
      <c r="D382" s="25" t="str">
        <f>'04_MOTOR_CÁLCULO'!D1051</f>
        <v>ATIVIDADES DE SE</v>
      </c>
      <c r="E382" s="78" t="str">
        <f>'04_MOTOR_CÁLCULO'!N1051</f>
        <v>CNAE-STG</v>
      </c>
      <c r="F382" s="62">
        <f>'04_MOTOR_CÁLCULO'!K1051</f>
        <v>0.9</v>
      </c>
      <c r="G382" s="63">
        <f>'04_MOTOR_CÁLCULO'!K1051-1</f>
        <v>-9.9999999999999978E-2</v>
      </c>
      <c r="H382" s="17" t="str">
        <f>'04_MOTOR_CÁLCULO'!M1051</f>
        <v>Baixo</v>
      </c>
    </row>
    <row r="383" spans="1:8" ht="13.5" customHeight="1" x14ac:dyDescent="0.25">
      <c r="A383" s="13" t="str">
        <f>'04_MOTOR_CÁLCULO'!A1052</f>
        <v>6499-9/03</v>
      </c>
      <c r="B383" s="49" t="str">
        <f>'04_MOTOR_CÁLCULO'!B1052</f>
        <v>K</v>
      </c>
      <c r="C383" s="101" t="str">
        <f>'04_MOTOR_CÁLCULO'!C1052</f>
        <v>Fundo garantidor de crédito</v>
      </c>
      <c r="D383" s="14" t="str">
        <f>'04_MOTOR_CÁLCULO'!D1052</f>
        <v>ATIVIDADES DE SE</v>
      </c>
      <c r="E383" s="78" t="str">
        <f>'04_MOTOR_CÁLCULO'!N1052</f>
        <v>CNAE-STG</v>
      </c>
      <c r="F383" s="62">
        <f>'04_MOTOR_CÁLCULO'!K1052</f>
        <v>0.9</v>
      </c>
      <c r="G383" s="63">
        <f>'04_MOTOR_CÁLCULO'!K1052-1</f>
        <v>-9.9999999999999978E-2</v>
      </c>
      <c r="H383" s="17" t="str">
        <f>'04_MOTOR_CÁLCULO'!M1052</f>
        <v>Baixo</v>
      </c>
    </row>
    <row r="384" spans="1:8" ht="13.5" customHeight="1" x14ac:dyDescent="0.25">
      <c r="A384" s="24" t="str">
        <f>'04_MOTOR_CÁLCULO'!A1053</f>
        <v>6499-9/04</v>
      </c>
      <c r="B384" s="38" t="str">
        <f>'04_MOTOR_CÁLCULO'!B1053</f>
        <v>K</v>
      </c>
      <c r="C384" s="100" t="str">
        <f>'04_MOTOR_CÁLCULO'!C1053</f>
        <v>Caixas de financiamento de corporações</v>
      </c>
      <c r="D384" s="25" t="str">
        <f>'04_MOTOR_CÁLCULO'!D1053</f>
        <v>ATIVIDADES DE SE</v>
      </c>
      <c r="E384" s="78" t="str">
        <f>'04_MOTOR_CÁLCULO'!N1053</f>
        <v>CNAE-STG</v>
      </c>
      <c r="F384" s="62">
        <f>'04_MOTOR_CÁLCULO'!K1053</f>
        <v>0.9</v>
      </c>
      <c r="G384" s="63">
        <f>'04_MOTOR_CÁLCULO'!K1053-1</f>
        <v>-9.9999999999999978E-2</v>
      </c>
      <c r="H384" s="17" t="str">
        <f>'04_MOTOR_CÁLCULO'!M1053</f>
        <v>Baixo</v>
      </c>
    </row>
    <row r="385" spans="1:8" ht="13.5" customHeight="1" x14ac:dyDescent="0.25">
      <c r="A385" s="13" t="str">
        <f>'04_MOTOR_CÁLCULO'!A1054</f>
        <v>6499-9/05</v>
      </c>
      <c r="B385" s="49" t="str">
        <f>'04_MOTOR_CÁLCULO'!B1054</f>
        <v>K</v>
      </c>
      <c r="C385" s="101" t="str">
        <f>'04_MOTOR_CÁLCULO'!C1054</f>
        <v>Concessão de crédito pelas OSCIP</v>
      </c>
      <c r="D385" s="14" t="str">
        <f>'04_MOTOR_CÁLCULO'!D1054</f>
        <v>ATIVIDADES DE SE</v>
      </c>
      <c r="E385" s="78" t="str">
        <f>'04_MOTOR_CÁLCULO'!N1054</f>
        <v>CNAE-STG</v>
      </c>
      <c r="F385" s="62">
        <f>'04_MOTOR_CÁLCULO'!K1054</f>
        <v>0.9</v>
      </c>
      <c r="G385" s="63">
        <f>'04_MOTOR_CÁLCULO'!K1054-1</f>
        <v>-9.9999999999999978E-2</v>
      </c>
      <c r="H385" s="17" t="str">
        <f>'04_MOTOR_CÁLCULO'!M1054</f>
        <v>Baixo</v>
      </c>
    </row>
    <row r="386" spans="1:8" ht="13.5" customHeight="1" x14ac:dyDescent="0.25">
      <c r="A386" s="24" t="str">
        <f>'04_MOTOR_CÁLCULO'!A1055</f>
        <v>6499-9/99</v>
      </c>
      <c r="B386" s="38" t="str">
        <f>'04_MOTOR_CÁLCULO'!B1055</f>
        <v>K</v>
      </c>
      <c r="C386" s="100" t="str">
        <f>'04_MOTOR_CÁLCULO'!C1055</f>
        <v>Outras atividades de serviços financeiros não especificadas anteriormente</v>
      </c>
      <c r="D386" s="25" t="str">
        <f>'04_MOTOR_CÁLCULO'!D1055</f>
        <v>ATIVIDADES DE SE</v>
      </c>
      <c r="E386" s="78" t="str">
        <f>'04_MOTOR_CÁLCULO'!N1055</f>
        <v>CNAE-STG</v>
      </c>
      <c r="F386" s="62">
        <f>'04_MOTOR_CÁLCULO'!K1055</f>
        <v>0.9</v>
      </c>
      <c r="G386" s="63">
        <f>'04_MOTOR_CÁLCULO'!K1055-1</f>
        <v>-9.9999999999999978E-2</v>
      </c>
      <c r="H386" s="17" t="str">
        <f>'04_MOTOR_CÁLCULO'!M1055</f>
        <v>Baixo</v>
      </c>
    </row>
    <row r="387" spans="1:8" ht="13.5" customHeight="1" x14ac:dyDescent="0.25">
      <c r="A387" s="13" t="str">
        <f>'04_MOTOR_CÁLCULO'!A1056</f>
        <v>6511-1/01</v>
      </c>
      <c r="B387" s="49" t="str">
        <f>'04_MOTOR_CÁLCULO'!B1056</f>
        <v>K</v>
      </c>
      <c r="C387" s="101" t="str">
        <f>'04_MOTOR_CÁLCULO'!C1056</f>
        <v>Sociedade seguradora de seguros vida</v>
      </c>
      <c r="D387" s="14" t="str">
        <f>'04_MOTOR_CÁLCULO'!D1056</f>
        <v>SEGUROS, RESSEGU</v>
      </c>
      <c r="E387" s="78" t="str">
        <f>'04_MOTOR_CÁLCULO'!N1056</f>
        <v>CNAE-STG</v>
      </c>
      <c r="F387" s="62">
        <f>'04_MOTOR_CÁLCULO'!K1056</f>
        <v>0.9</v>
      </c>
      <c r="G387" s="63">
        <f>'04_MOTOR_CÁLCULO'!K1056-1</f>
        <v>-9.9999999999999978E-2</v>
      </c>
      <c r="H387" s="17" t="str">
        <f>'04_MOTOR_CÁLCULO'!M1056</f>
        <v>Baixo</v>
      </c>
    </row>
    <row r="388" spans="1:8" ht="13.5" customHeight="1" x14ac:dyDescent="0.25">
      <c r="A388" s="24" t="str">
        <f>'04_MOTOR_CÁLCULO'!A1057</f>
        <v>6511-1/02</v>
      </c>
      <c r="B388" s="38" t="str">
        <f>'04_MOTOR_CÁLCULO'!B1057</f>
        <v>K</v>
      </c>
      <c r="C388" s="100" t="str">
        <f>'04_MOTOR_CÁLCULO'!C1057</f>
        <v>Planos de auxílio-funeral</v>
      </c>
      <c r="D388" s="25" t="str">
        <f>'04_MOTOR_CÁLCULO'!D1057</f>
        <v>SEGUROS, RESSEGU</v>
      </c>
      <c r="E388" s="78" t="str">
        <f>'04_MOTOR_CÁLCULO'!N1057</f>
        <v>CNAE-STG</v>
      </c>
      <c r="F388" s="62">
        <f>'04_MOTOR_CÁLCULO'!K1057</f>
        <v>0.9</v>
      </c>
      <c r="G388" s="63">
        <f>'04_MOTOR_CÁLCULO'!K1057-1</f>
        <v>-9.9999999999999978E-2</v>
      </c>
      <c r="H388" s="17" t="str">
        <f>'04_MOTOR_CÁLCULO'!M1057</f>
        <v>Baixo</v>
      </c>
    </row>
    <row r="389" spans="1:8" ht="13.5" customHeight="1" x14ac:dyDescent="0.25">
      <c r="A389" s="13" t="str">
        <f>'04_MOTOR_CÁLCULO'!A1058</f>
        <v>6512-0/00</v>
      </c>
      <c r="B389" s="49" t="str">
        <f>'04_MOTOR_CÁLCULO'!B1058</f>
        <v>K</v>
      </c>
      <c r="C389" s="101" t="str">
        <f>'04_MOTOR_CÁLCULO'!C1058</f>
        <v>Sociedade seguradora de seguros não vida</v>
      </c>
      <c r="D389" s="14" t="str">
        <f>'04_MOTOR_CÁLCULO'!D1058</f>
        <v>SEGUROS, RESSEGU</v>
      </c>
      <c r="E389" s="78" t="str">
        <f>'04_MOTOR_CÁLCULO'!N1058</f>
        <v>CNAE-STG</v>
      </c>
      <c r="F389" s="62">
        <f>'04_MOTOR_CÁLCULO'!K1058</f>
        <v>0.9</v>
      </c>
      <c r="G389" s="63">
        <f>'04_MOTOR_CÁLCULO'!K1058-1</f>
        <v>-9.9999999999999978E-2</v>
      </c>
      <c r="H389" s="17" t="str">
        <f>'04_MOTOR_CÁLCULO'!M1058</f>
        <v>Baixo</v>
      </c>
    </row>
    <row r="390" spans="1:8" ht="13.5" customHeight="1" x14ac:dyDescent="0.25">
      <c r="A390" s="24" t="str">
        <f>'04_MOTOR_CÁLCULO'!A1059</f>
        <v>6520-1/00</v>
      </c>
      <c r="B390" s="38" t="str">
        <f>'04_MOTOR_CÁLCULO'!B1059</f>
        <v>K</v>
      </c>
      <c r="C390" s="100" t="str">
        <f>'04_MOTOR_CÁLCULO'!C1059</f>
        <v>Sociedade seguradora de seguros-saúde</v>
      </c>
      <c r="D390" s="25" t="str">
        <f>'04_MOTOR_CÁLCULO'!D1059</f>
        <v>SEGUROS, RESSEGU</v>
      </c>
      <c r="E390" s="78" t="str">
        <f>'04_MOTOR_CÁLCULO'!N1059</f>
        <v>CNAE-STG</v>
      </c>
      <c r="F390" s="62">
        <f>'04_MOTOR_CÁLCULO'!K1059</f>
        <v>0.9</v>
      </c>
      <c r="G390" s="63">
        <f>'04_MOTOR_CÁLCULO'!K1059-1</f>
        <v>-9.9999999999999978E-2</v>
      </c>
      <c r="H390" s="17" t="str">
        <f>'04_MOTOR_CÁLCULO'!M1059</f>
        <v>Baixo</v>
      </c>
    </row>
    <row r="391" spans="1:8" ht="13.5" customHeight="1" x14ac:dyDescent="0.25">
      <c r="A391" s="13" t="str">
        <f>'04_MOTOR_CÁLCULO'!A1060</f>
        <v>6530-8/00</v>
      </c>
      <c r="B391" s="49" t="str">
        <f>'04_MOTOR_CÁLCULO'!B1060</f>
        <v>K</v>
      </c>
      <c r="C391" s="101" t="str">
        <f>'04_MOTOR_CÁLCULO'!C1060</f>
        <v>Resseguros</v>
      </c>
      <c r="D391" s="14" t="str">
        <f>'04_MOTOR_CÁLCULO'!D1060</f>
        <v>SEGUROS, RESSEGU</v>
      </c>
      <c r="E391" s="78" t="str">
        <f>'04_MOTOR_CÁLCULO'!N1060</f>
        <v>CNAE-STG</v>
      </c>
      <c r="F391" s="62">
        <f>'04_MOTOR_CÁLCULO'!K1060</f>
        <v>0.9</v>
      </c>
      <c r="G391" s="63">
        <f>'04_MOTOR_CÁLCULO'!K1060-1</f>
        <v>-9.9999999999999978E-2</v>
      </c>
      <c r="H391" s="17" t="str">
        <f>'04_MOTOR_CÁLCULO'!M1060</f>
        <v>Baixo</v>
      </c>
    </row>
    <row r="392" spans="1:8" ht="13.5" customHeight="1" x14ac:dyDescent="0.25">
      <c r="A392" s="24" t="str">
        <f>'04_MOTOR_CÁLCULO'!A1061</f>
        <v>6541-3/00</v>
      </c>
      <c r="B392" s="38" t="str">
        <f>'04_MOTOR_CÁLCULO'!B1061</f>
        <v>K</v>
      </c>
      <c r="C392" s="100" t="str">
        <f>'04_MOTOR_CÁLCULO'!C1061</f>
        <v>Previdência complementar fechada</v>
      </c>
      <c r="D392" s="25" t="str">
        <f>'04_MOTOR_CÁLCULO'!D1061</f>
        <v>SEGUROS, RESSEGU</v>
      </c>
      <c r="E392" s="78" t="str">
        <f>'04_MOTOR_CÁLCULO'!N1061</f>
        <v>CNAE-STG</v>
      </c>
      <c r="F392" s="62">
        <f>'04_MOTOR_CÁLCULO'!K1061</f>
        <v>0.9</v>
      </c>
      <c r="G392" s="63">
        <f>'04_MOTOR_CÁLCULO'!K1061-1</f>
        <v>-9.9999999999999978E-2</v>
      </c>
      <c r="H392" s="17" t="str">
        <f>'04_MOTOR_CÁLCULO'!M1061</f>
        <v>Baixo</v>
      </c>
    </row>
    <row r="393" spans="1:8" ht="13.5" customHeight="1" x14ac:dyDescent="0.25">
      <c r="A393" s="13" t="str">
        <f>'04_MOTOR_CÁLCULO'!A1062</f>
        <v>6542-1/00</v>
      </c>
      <c r="B393" s="49" t="str">
        <f>'04_MOTOR_CÁLCULO'!B1062</f>
        <v>K</v>
      </c>
      <c r="C393" s="101" t="str">
        <f>'04_MOTOR_CÁLCULO'!C1062</f>
        <v>Previdência complementar aberta</v>
      </c>
      <c r="D393" s="14" t="str">
        <f>'04_MOTOR_CÁLCULO'!D1062</f>
        <v>SEGUROS, RESSEGU</v>
      </c>
      <c r="E393" s="78" t="str">
        <f>'04_MOTOR_CÁLCULO'!N1062</f>
        <v>CNAE-STG</v>
      </c>
      <c r="F393" s="62">
        <f>'04_MOTOR_CÁLCULO'!K1062</f>
        <v>0.9</v>
      </c>
      <c r="G393" s="63">
        <f>'04_MOTOR_CÁLCULO'!K1062-1</f>
        <v>-9.9999999999999978E-2</v>
      </c>
      <c r="H393" s="17" t="str">
        <f>'04_MOTOR_CÁLCULO'!M1062</f>
        <v>Baixo</v>
      </c>
    </row>
    <row r="394" spans="1:8" ht="13.5" customHeight="1" x14ac:dyDescent="0.25">
      <c r="A394" s="24" t="str">
        <f>'04_MOTOR_CÁLCULO'!A1063</f>
        <v>6550-2/00</v>
      </c>
      <c r="B394" s="38" t="str">
        <f>'04_MOTOR_CÁLCULO'!B1063</f>
        <v>K</v>
      </c>
      <c r="C394" s="100" t="str">
        <f>'04_MOTOR_CÁLCULO'!C1063</f>
        <v>Planos de saúde</v>
      </c>
      <c r="D394" s="25" t="str">
        <f>'04_MOTOR_CÁLCULO'!D1063</f>
        <v>SEGUROS, RESSEGU</v>
      </c>
      <c r="E394" s="78" t="str">
        <f>'04_MOTOR_CÁLCULO'!N1063</f>
        <v>CNAE-STG</v>
      </c>
      <c r="F394" s="62">
        <f>'04_MOTOR_CÁLCULO'!K1063</f>
        <v>0.9</v>
      </c>
      <c r="G394" s="63">
        <f>'04_MOTOR_CÁLCULO'!K1063-1</f>
        <v>-9.9999999999999978E-2</v>
      </c>
      <c r="H394" s="17" t="str">
        <f>'04_MOTOR_CÁLCULO'!M1063</f>
        <v>Baixo</v>
      </c>
    </row>
    <row r="395" spans="1:8" ht="13.5" customHeight="1" x14ac:dyDescent="0.25">
      <c r="A395" s="13" t="str">
        <f>'04_MOTOR_CÁLCULO'!A1064</f>
        <v>6611-8/01</v>
      </c>
      <c r="B395" s="49" t="str">
        <f>'04_MOTOR_CÁLCULO'!B1064</f>
        <v>K</v>
      </c>
      <c r="C395" s="101" t="str">
        <f>'04_MOTOR_CÁLCULO'!C1064</f>
        <v>Bolsa de valores</v>
      </c>
      <c r="D395" s="14" t="str">
        <f>'04_MOTOR_CÁLCULO'!D1064</f>
        <v>ATIVIDADES AUXIL</v>
      </c>
      <c r="E395" s="78" t="str">
        <f>'04_MOTOR_CÁLCULO'!N1064</f>
        <v>CNAE-STG</v>
      </c>
      <c r="F395" s="62">
        <f>'04_MOTOR_CÁLCULO'!K1064</f>
        <v>0.9</v>
      </c>
      <c r="G395" s="63">
        <f>'04_MOTOR_CÁLCULO'!K1064-1</f>
        <v>-9.9999999999999978E-2</v>
      </c>
      <c r="H395" s="17" t="str">
        <f>'04_MOTOR_CÁLCULO'!M1064</f>
        <v>Baixo</v>
      </c>
    </row>
    <row r="396" spans="1:8" ht="13.5" customHeight="1" x14ac:dyDescent="0.25">
      <c r="A396" s="24" t="str">
        <f>'04_MOTOR_CÁLCULO'!A1065</f>
        <v>6611-8/02</v>
      </c>
      <c r="B396" s="38" t="str">
        <f>'04_MOTOR_CÁLCULO'!B1065</f>
        <v>K</v>
      </c>
      <c r="C396" s="100" t="str">
        <f>'04_MOTOR_CÁLCULO'!C1065</f>
        <v>Bolsa de mercadorias</v>
      </c>
      <c r="D396" s="25" t="str">
        <f>'04_MOTOR_CÁLCULO'!D1065</f>
        <v>ATIVIDADES AUXIL</v>
      </c>
      <c r="E396" s="78" t="str">
        <f>'04_MOTOR_CÁLCULO'!N1065</f>
        <v>CNAE-STG</v>
      </c>
      <c r="F396" s="62">
        <f>'04_MOTOR_CÁLCULO'!K1065</f>
        <v>0.9</v>
      </c>
      <c r="G396" s="63">
        <f>'04_MOTOR_CÁLCULO'!K1065-1</f>
        <v>-9.9999999999999978E-2</v>
      </c>
      <c r="H396" s="17" t="str">
        <f>'04_MOTOR_CÁLCULO'!M1065</f>
        <v>Baixo</v>
      </c>
    </row>
    <row r="397" spans="1:8" ht="13.5" customHeight="1" x14ac:dyDescent="0.25">
      <c r="A397" s="13" t="str">
        <f>'04_MOTOR_CÁLCULO'!A1066</f>
        <v>6611-8/03</v>
      </c>
      <c r="B397" s="49" t="str">
        <f>'04_MOTOR_CÁLCULO'!B1066</f>
        <v>K</v>
      </c>
      <c r="C397" s="101" t="str">
        <f>'04_MOTOR_CÁLCULO'!C1066</f>
        <v>Bolsa de mercadorias e futuros</v>
      </c>
      <c r="D397" s="14" t="str">
        <f>'04_MOTOR_CÁLCULO'!D1066</f>
        <v>ATIVIDADES AUXIL</v>
      </c>
      <c r="E397" s="78" t="str">
        <f>'04_MOTOR_CÁLCULO'!N1066</f>
        <v>CNAE-STG</v>
      </c>
      <c r="F397" s="62">
        <f>'04_MOTOR_CÁLCULO'!K1066</f>
        <v>0.9</v>
      </c>
      <c r="G397" s="63">
        <f>'04_MOTOR_CÁLCULO'!K1066-1</f>
        <v>-9.9999999999999978E-2</v>
      </c>
      <c r="H397" s="17" t="str">
        <f>'04_MOTOR_CÁLCULO'!M1066</f>
        <v>Baixo</v>
      </c>
    </row>
    <row r="398" spans="1:8" ht="13.5" customHeight="1" x14ac:dyDescent="0.25">
      <c r="A398" s="24" t="str">
        <f>'04_MOTOR_CÁLCULO'!A1067</f>
        <v>6611-8/04</v>
      </c>
      <c r="B398" s="38" t="str">
        <f>'04_MOTOR_CÁLCULO'!B1067</f>
        <v>K</v>
      </c>
      <c r="C398" s="100" t="str">
        <f>'04_MOTOR_CÁLCULO'!C1067</f>
        <v>Administração de mercados de balcão organizados</v>
      </c>
      <c r="D398" s="25" t="str">
        <f>'04_MOTOR_CÁLCULO'!D1067</f>
        <v>ATIVIDADES AUXIL</v>
      </c>
      <c r="E398" s="78" t="str">
        <f>'04_MOTOR_CÁLCULO'!N1067</f>
        <v>CNAE-STG</v>
      </c>
      <c r="F398" s="62">
        <f>'04_MOTOR_CÁLCULO'!K1067</f>
        <v>0.9</v>
      </c>
      <c r="G398" s="63">
        <f>'04_MOTOR_CÁLCULO'!K1067-1</f>
        <v>-9.9999999999999978E-2</v>
      </c>
      <c r="H398" s="17" t="str">
        <f>'04_MOTOR_CÁLCULO'!M1067</f>
        <v>Baixo</v>
      </c>
    </row>
    <row r="399" spans="1:8" ht="13.5" customHeight="1" x14ac:dyDescent="0.25">
      <c r="A399" s="13" t="str">
        <f>'04_MOTOR_CÁLCULO'!A1068</f>
        <v>6612-6/01</v>
      </c>
      <c r="B399" s="49" t="str">
        <f>'04_MOTOR_CÁLCULO'!B1068</f>
        <v>K</v>
      </c>
      <c r="C399" s="101" t="str">
        <f>'04_MOTOR_CÁLCULO'!C1068</f>
        <v>Corretoras de títulos e valores mobiliários</v>
      </c>
      <c r="D399" s="14" t="str">
        <f>'04_MOTOR_CÁLCULO'!D1068</f>
        <v>ATIVIDADES AUXIL</v>
      </c>
      <c r="E399" s="78" t="str">
        <f>'04_MOTOR_CÁLCULO'!N1068</f>
        <v>CNAE-STG</v>
      </c>
      <c r="F399" s="62">
        <f>'04_MOTOR_CÁLCULO'!K1068</f>
        <v>0.9</v>
      </c>
      <c r="G399" s="63">
        <f>'04_MOTOR_CÁLCULO'!K1068-1</f>
        <v>-9.9999999999999978E-2</v>
      </c>
      <c r="H399" s="17" t="str">
        <f>'04_MOTOR_CÁLCULO'!M1068</f>
        <v>Baixo</v>
      </c>
    </row>
    <row r="400" spans="1:8" ht="13.5" customHeight="1" x14ac:dyDescent="0.25">
      <c r="A400" s="24" t="str">
        <f>'04_MOTOR_CÁLCULO'!A1069</f>
        <v>6612-6/02</v>
      </c>
      <c r="B400" s="38" t="str">
        <f>'04_MOTOR_CÁLCULO'!B1069</f>
        <v>K</v>
      </c>
      <c r="C400" s="100" t="str">
        <f>'04_MOTOR_CÁLCULO'!C1069</f>
        <v>Distribuidoras de títulos e valores mobiliários</v>
      </c>
      <c r="D400" s="25" t="str">
        <f>'04_MOTOR_CÁLCULO'!D1069</f>
        <v>ATIVIDADES AUXIL</v>
      </c>
      <c r="E400" s="78" t="str">
        <f>'04_MOTOR_CÁLCULO'!N1069</f>
        <v>CNAE-STG</v>
      </c>
      <c r="F400" s="62">
        <f>'04_MOTOR_CÁLCULO'!K1069</f>
        <v>0.9</v>
      </c>
      <c r="G400" s="63">
        <f>'04_MOTOR_CÁLCULO'!K1069-1</f>
        <v>-9.9999999999999978E-2</v>
      </c>
      <c r="H400" s="17" t="str">
        <f>'04_MOTOR_CÁLCULO'!M1069</f>
        <v>Baixo</v>
      </c>
    </row>
    <row r="401" spans="1:8" ht="13.5" customHeight="1" x14ac:dyDescent="0.25">
      <c r="A401" s="13" t="str">
        <f>'04_MOTOR_CÁLCULO'!A1070</f>
        <v>6612-6/03</v>
      </c>
      <c r="B401" s="49" t="str">
        <f>'04_MOTOR_CÁLCULO'!B1070</f>
        <v>K</v>
      </c>
      <c r="C401" s="101" t="str">
        <f>'04_MOTOR_CÁLCULO'!C1070</f>
        <v>Corretoras de câmbio</v>
      </c>
      <c r="D401" s="14" t="str">
        <f>'04_MOTOR_CÁLCULO'!D1070</f>
        <v>ATIVIDADES AUXIL</v>
      </c>
      <c r="E401" s="78" t="str">
        <f>'04_MOTOR_CÁLCULO'!N1070</f>
        <v>CNAE-STG</v>
      </c>
      <c r="F401" s="62">
        <f>'04_MOTOR_CÁLCULO'!K1070</f>
        <v>0.9</v>
      </c>
      <c r="G401" s="63">
        <f>'04_MOTOR_CÁLCULO'!K1070-1</f>
        <v>-9.9999999999999978E-2</v>
      </c>
      <c r="H401" s="17" t="str">
        <f>'04_MOTOR_CÁLCULO'!M1070</f>
        <v>Baixo</v>
      </c>
    </row>
    <row r="402" spans="1:8" ht="13.5" customHeight="1" x14ac:dyDescent="0.25">
      <c r="A402" s="24" t="str">
        <f>'04_MOTOR_CÁLCULO'!A1071</f>
        <v>6612-6/04</v>
      </c>
      <c r="B402" s="38" t="str">
        <f>'04_MOTOR_CÁLCULO'!B1071</f>
        <v>K</v>
      </c>
      <c r="C402" s="100" t="str">
        <f>'04_MOTOR_CÁLCULO'!C1071</f>
        <v>Corretoras de contratos de mercadorias</v>
      </c>
      <c r="D402" s="25" t="str">
        <f>'04_MOTOR_CÁLCULO'!D1071</f>
        <v>ATIVIDADES AUXIL</v>
      </c>
      <c r="E402" s="78" t="str">
        <f>'04_MOTOR_CÁLCULO'!N1071</f>
        <v>CNAE-STG</v>
      </c>
      <c r="F402" s="62">
        <f>'04_MOTOR_CÁLCULO'!K1071</f>
        <v>0.9</v>
      </c>
      <c r="G402" s="63">
        <f>'04_MOTOR_CÁLCULO'!K1071-1</f>
        <v>-9.9999999999999978E-2</v>
      </c>
      <c r="H402" s="17" t="str">
        <f>'04_MOTOR_CÁLCULO'!M1071</f>
        <v>Baixo</v>
      </c>
    </row>
    <row r="403" spans="1:8" ht="13.5" customHeight="1" x14ac:dyDescent="0.25">
      <c r="A403" s="13" t="str">
        <f>'04_MOTOR_CÁLCULO'!A1072</f>
        <v>6612-6/05</v>
      </c>
      <c r="B403" s="49" t="str">
        <f>'04_MOTOR_CÁLCULO'!B1072</f>
        <v>K</v>
      </c>
      <c r="C403" s="101" t="str">
        <f>'04_MOTOR_CÁLCULO'!C1072</f>
        <v>Agentes de investimentos em aplicações financeiras</v>
      </c>
      <c r="D403" s="14" t="str">
        <f>'04_MOTOR_CÁLCULO'!D1072</f>
        <v>ATIVIDADES AUXIL</v>
      </c>
      <c r="E403" s="78" t="str">
        <f>'04_MOTOR_CÁLCULO'!N1072</f>
        <v>CNAE-STG</v>
      </c>
      <c r="F403" s="62">
        <f>'04_MOTOR_CÁLCULO'!K1072</f>
        <v>0.9</v>
      </c>
      <c r="G403" s="63">
        <f>'04_MOTOR_CÁLCULO'!K1072-1</f>
        <v>-9.9999999999999978E-2</v>
      </c>
      <c r="H403" s="17" t="str">
        <f>'04_MOTOR_CÁLCULO'!M1072</f>
        <v>Baixo</v>
      </c>
    </row>
    <row r="404" spans="1:8" ht="13.5" customHeight="1" x14ac:dyDescent="0.25">
      <c r="A404" s="24" t="str">
        <f>'04_MOTOR_CÁLCULO'!A1073</f>
        <v>6613-4/00</v>
      </c>
      <c r="B404" s="38" t="str">
        <f>'04_MOTOR_CÁLCULO'!B1073</f>
        <v>K</v>
      </c>
      <c r="C404" s="100" t="str">
        <f>'04_MOTOR_CÁLCULO'!C1073</f>
        <v>Administração de cartões de crédito</v>
      </c>
      <c r="D404" s="25" t="str">
        <f>'04_MOTOR_CÁLCULO'!D1073</f>
        <v>ATIVIDADES AUXIL</v>
      </c>
      <c r="E404" s="78" t="str">
        <f>'04_MOTOR_CÁLCULO'!N1073</f>
        <v>CNAE-STG</v>
      </c>
      <c r="F404" s="62">
        <f>'04_MOTOR_CÁLCULO'!K1073</f>
        <v>0.9</v>
      </c>
      <c r="G404" s="63">
        <f>'04_MOTOR_CÁLCULO'!K1073-1</f>
        <v>-9.9999999999999978E-2</v>
      </c>
      <c r="H404" s="17" t="str">
        <f>'04_MOTOR_CÁLCULO'!M1073</f>
        <v>Baixo</v>
      </c>
    </row>
    <row r="405" spans="1:8" ht="13.5" customHeight="1" x14ac:dyDescent="0.25">
      <c r="A405" s="13" t="str">
        <f>'04_MOTOR_CÁLCULO'!A1074</f>
        <v>6619-3/01</v>
      </c>
      <c r="B405" s="49" t="str">
        <f>'04_MOTOR_CÁLCULO'!B1074</f>
        <v>K</v>
      </c>
      <c r="C405" s="101" t="str">
        <f>'04_MOTOR_CÁLCULO'!C1074</f>
        <v>Serviços de liquidação e custódia</v>
      </c>
      <c r="D405" s="14" t="str">
        <f>'04_MOTOR_CÁLCULO'!D1074</f>
        <v>ATIVIDADES AUXIL</v>
      </c>
      <c r="E405" s="78" t="str">
        <f>'04_MOTOR_CÁLCULO'!N1074</f>
        <v>CNAE-STG</v>
      </c>
      <c r="F405" s="62">
        <f>'04_MOTOR_CÁLCULO'!K1074</f>
        <v>0.9</v>
      </c>
      <c r="G405" s="63">
        <f>'04_MOTOR_CÁLCULO'!K1074-1</f>
        <v>-9.9999999999999978E-2</v>
      </c>
      <c r="H405" s="17" t="str">
        <f>'04_MOTOR_CÁLCULO'!M1074</f>
        <v>Baixo</v>
      </c>
    </row>
    <row r="406" spans="1:8" ht="13.5" customHeight="1" x14ac:dyDescent="0.25">
      <c r="A406" s="24" t="str">
        <f>'04_MOTOR_CÁLCULO'!A1075</f>
        <v>6619-3/02</v>
      </c>
      <c r="B406" s="38" t="str">
        <f>'04_MOTOR_CÁLCULO'!B1075</f>
        <v>K</v>
      </c>
      <c r="C406" s="100" t="str">
        <f>'04_MOTOR_CÁLCULO'!C1075</f>
        <v>Correspondentes de instituições financeiras</v>
      </c>
      <c r="D406" s="25" t="str">
        <f>'04_MOTOR_CÁLCULO'!D1075</f>
        <v>ATIVIDADES AUXIL</v>
      </c>
      <c r="E406" s="78" t="str">
        <f>'04_MOTOR_CÁLCULO'!N1075</f>
        <v>CNAE-STG</v>
      </c>
      <c r="F406" s="62">
        <f>'04_MOTOR_CÁLCULO'!K1075</f>
        <v>0.9</v>
      </c>
      <c r="G406" s="63">
        <f>'04_MOTOR_CÁLCULO'!K1075-1</f>
        <v>-9.9999999999999978E-2</v>
      </c>
      <c r="H406" s="17" t="str">
        <f>'04_MOTOR_CÁLCULO'!M1075</f>
        <v>Baixo</v>
      </c>
    </row>
    <row r="407" spans="1:8" ht="13.5" customHeight="1" x14ac:dyDescent="0.25">
      <c r="A407" s="13" t="str">
        <f>'04_MOTOR_CÁLCULO'!A1076</f>
        <v>6619-3/03</v>
      </c>
      <c r="B407" s="49" t="str">
        <f>'04_MOTOR_CÁLCULO'!B1076</f>
        <v>K</v>
      </c>
      <c r="C407" s="101" t="str">
        <f>'04_MOTOR_CÁLCULO'!C1076</f>
        <v>Representações de bancos estrangeiros</v>
      </c>
      <c r="D407" s="14" t="str">
        <f>'04_MOTOR_CÁLCULO'!D1076</f>
        <v>ATIVIDADES AUXIL</v>
      </c>
      <c r="E407" s="78" t="str">
        <f>'04_MOTOR_CÁLCULO'!N1076</f>
        <v>CNAE-STG</v>
      </c>
      <c r="F407" s="62">
        <f>'04_MOTOR_CÁLCULO'!K1076</f>
        <v>0.9</v>
      </c>
      <c r="G407" s="63">
        <f>'04_MOTOR_CÁLCULO'!K1076-1</f>
        <v>-9.9999999999999978E-2</v>
      </c>
      <c r="H407" s="17" t="str">
        <f>'04_MOTOR_CÁLCULO'!M1076</f>
        <v>Baixo</v>
      </c>
    </row>
    <row r="408" spans="1:8" ht="13.5" customHeight="1" x14ac:dyDescent="0.25">
      <c r="A408" s="24" t="str">
        <f>'04_MOTOR_CÁLCULO'!A1077</f>
        <v>6619-3/04</v>
      </c>
      <c r="B408" s="38" t="str">
        <f>'04_MOTOR_CÁLCULO'!B1077</f>
        <v>K</v>
      </c>
      <c r="C408" s="100" t="str">
        <f>'04_MOTOR_CÁLCULO'!C1077</f>
        <v>Caixas eletrônicos</v>
      </c>
      <c r="D408" s="25" t="str">
        <f>'04_MOTOR_CÁLCULO'!D1077</f>
        <v>ATIVIDADES AUXIL</v>
      </c>
      <c r="E408" s="78" t="str">
        <f>'04_MOTOR_CÁLCULO'!N1077</f>
        <v>CNAE-STG</v>
      </c>
      <c r="F408" s="62">
        <f>'04_MOTOR_CÁLCULO'!K1077</f>
        <v>0.9</v>
      </c>
      <c r="G408" s="63">
        <f>'04_MOTOR_CÁLCULO'!K1077-1</f>
        <v>-9.9999999999999978E-2</v>
      </c>
      <c r="H408" s="17" t="str">
        <f>'04_MOTOR_CÁLCULO'!M1077</f>
        <v>Baixo</v>
      </c>
    </row>
    <row r="409" spans="1:8" ht="13.5" customHeight="1" x14ac:dyDescent="0.25">
      <c r="A409" s="13" t="str">
        <f>'04_MOTOR_CÁLCULO'!A1078</f>
        <v>6619-3/05</v>
      </c>
      <c r="B409" s="49" t="str">
        <f>'04_MOTOR_CÁLCULO'!B1078</f>
        <v>K</v>
      </c>
      <c r="C409" s="101" t="str">
        <f>'04_MOTOR_CÁLCULO'!C1078</f>
        <v>Operadoras de cartões de débito</v>
      </c>
      <c r="D409" s="14" t="str">
        <f>'04_MOTOR_CÁLCULO'!D1078</f>
        <v>ATIVIDADES AUXIL</v>
      </c>
      <c r="E409" s="78" t="str">
        <f>'04_MOTOR_CÁLCULO'!N1078</f>
        <v>CNAE-STG</v>
      </c>
      <c r="F409" s="62">
        <f>'04_MOTOR_CÁLCULO'!K1078</f>
        <v>0.9</v>
      </c>
      <c r="G409" s="63">
        <f>'04_MOTOR_CÁLCULO'!K1078-1</f>
        <v>-9.9999999999999978E-2</v>
      </c>
      <c r="H409" s="17" t="str">
        <f>'04_MOTOR_CÁLCULO'!M1078</f>
        <v>Baixo</v>
      </c>
    </row>
    <row r="410" spans="1:8" ht="13.5" customHeight="1" x14ac:dyDescent="0.25">
      <c r="A410" s="24" t="str">
        <f>'04_MOTOR_CÁLCULO'!A1079</f>
        <v>6619-3/99</v>
      </c>
      <c r="B410" s="38" t="str">
        <f>'04_MOTOR_CÁLCULO'!B1079</f>
        <v>K</v>
      </c>
      <c r="C410" s="100" t="str">
        <f>'04_MOTOR_CÁLCULO'!C1079</f>
        <v>Outras atividades auxiliares dos serviços financeiros não especificadas anteriormente</v>
      </c>
      <c r="D410" s="25" t="str">
        <f>'04_MOTOR_CÁLCULO'!D1079</f>
        <v>ATIVIDADES AUXIL</v>
      </c>
      <c r="E410" s="78" t="str">
        <f>'04_MOTOR_CÁLCULO'!N1079</f>
        <v>CNAE-STG</v>
      </c>
      <c r="F410" s="62">
        <f>'04_MOTOR_CÁLCULO'!K1079</f>
        <v>0.9</v>
      </c>
      <c r="G410" s="63">
        <f>'04_MOTOR_CÁLCULO'!K1079-1</f>
        <v>-9.9999999999999978E-2</v>
      </c>
      <c r="H410" s="17" t="str">
        <f>'04_MOTOR_CÁLCULO'!M1079</f>
        <v>Baixo</v>
      </c>
    </row>
    <row r="411" spans="1:8" ht="13.5" customHeight="1" x14ac:dyDescent="0.25">
      <c r="A411" s="13" t="str">
        <f>'04_MOTOR_CÁLCULO'!A1080</f>
        <v>6621-5/01</v>
      </c>
      <c r="B411" s="49" t="str">
        <f>'04_MOTOR_CÁLCULO'!B1080</f>
        <v>K</v>
      </c>
      <c r="C411" s="101" t="str">
        <f>'04_MOTOR_CÁLCULO'!C1080</f>
        <v>Peritos e avaliadores de seguros</v>
      </c>
      <c r="D411" s="14" t="str">
        <f>'04_MOTOR_CÁLCULO'!D1080</f>
        <v>ATIVIDADES AUXIL</v>
      </c>
      <c r="E411" s="78" t="str">
        <f>'04_MOTOR_CÁLCULO'!N1080</f>
        <v>CNAE-STG</v>
      </c>
      <c r="F411" s="62">
        <f>'04_MOTOR_CÁLCULO'!K1080</f>
        <v>0.9</v>
      </c>
      <c r="G411" s="63">
        <f>'04_MOTOR_CÁLCULO'!K1080-1</f>
        <v>-9.9999999999999978E-2</v>
      </c>
      <c r="H411" s="17" t="str">
        <f>'04_MOTOR_CÁLCULO'!M1080</f>
        <v>Baixo</v>
      </c>
    </row>
    <row r="412" spans="1:8" ht="13.5" customHeight="1" x14ac:dyDescent="0.25">
      <c r="A412" s="24" t="str">
        <f>'04_MOTOR_CÁLCULO'!A1081</f>
        <v>6621-5/02</v>
      </c>
      <c r="B412" s="38" t="str">
        <f>'04_MOTOR_CÁLCULO'!B1081</f>
        <v>K</v>
      </c>
      <c r="C412" s="100" t="str">
        <f>'04_MOTOR_CÁLCULO'!C1081</f>
        <v>Auditoria e consultoria atuarial</v>
      </c>
      <c r="D412" s="25" t="str">
        <f>'04_MOTOR_CÁLCULO'!D1081</f>
        <v>ATIVIDADES AUXIL</v>
      </c>
      <c r="E412" s="78" t="str">
        <f>'04_MOTOR_CÁLCULO'!N1081</f>
        <v>CNAE-STG</v>
      </c>
      <c r="F412" s="62">
        <f>'04_MOTOR_CÁLCULO'!K1081</f>
        <v>0.9</v>
      </c>
      <c r="G412" s="63">
        <f>'04_MOTOR_CÁLCULO'!K1081-1</f>
        <v>-9.9999999999999978E-2</v>
      </c>
      <c r="H412" s="17" t="str">
        <f>'04_MOTOR_CÁLCULO'!M1081</f>
        <v>Baixo</v>
      </c>
    </row>
    <row r="413" spans="1:8" ht="13.5" customHeight="1" x14ac:dyDescent="0.25">
      <c r="A413" s="13" t="str">
        <f>'04_MOTOR_CÁLCULO'!A1082</f>
        <v>6622-3/00</v>
      </c>
      <c r="B413" s="49" t="str">
        <f>'04_MOTOR_CÁLCULO'!B1082</f>
        <v>K</v>
      </c>
      <c r="C413" s="101" t="str">
        <f>'04_MOTOR_CÁLCULO'!C1082</f>
        <v>Corretores e agentes de seguros, de planos de previdência complementar e de saúde</v>
      </c>
      <c r="D413" s="14" t="str">
        <f>'04_MOTOR_CÁLCULO'!D1082</f>
        <v>ATIVIDADES AUXIL</v>
      </c>
      <c r="E413" s="78" t="str">
        <f>'04_MOTOR_CÁLCULO'!N1082</f>
        <v>CNAE-STG</v>
      </c>
      <c r="F413" s="62">
        <f>'04_MOTOR_CÁLCULO'!K1082</f>
        <v>0.9</v>
      </c>
      <c r="G413" s="63">
        <f>'04_MOTOR_CÁLCULO'!K1082-1</f>
        <v>-9.9999999999999978E-2</v>
      </c>
      <c r="H413" s="17" t="str">
        <f>'04_MOTOR_CÁLCULO'!M1082</f>
        <v>Baixo</v>
      </c>
    </row>
    <row r="414" spans="1:8" ht="13.5" customHeight="1" x14ac:dyDescent="0.25">
      <c r="A414" s="24" t="str">
        <f>'04_MOTOR_CÁLCULO'!A1083</f>
        <v>6629-1/00</v>
      </c>
      <c r="B414" s="38" t="str">
        <f>'04_MOTOR_CÁLCULO'!B1083</f>
        <v>K</v>
      </c>
      <c r="C414" s="100" t="str">
        <f>'04_MOTOR_CÁLCULO'!C1083</f>
        <v>Atividades auxiliares dos seguros, da previdência complementar e dos planos de saúde não especificadas anteriormente</v>
      </c>
      <c r="D414" s="25" t="str">
        <f>'04_MOTOR_CÁLCULO'!D1083</f>
        <v>ATIVIDADES AUXIL</v>
      </c>
      <c r="E414" s="78" t="str">
        <f>'04_MOTOR_CÁLCULO'!N1083</f>
        <v>CNAE-STG</v>
      </c>
      <c r="F414" s="62">
        <f>'04_MOTOR_CÁLCULO'!K1083</f>
        <v>0.9</v>
      </c>
      <c r="G414" s="63">
        <f>'04_MOTOR_CÁLCULO'!K1083-1</f>
        <v>-9.9999999999999978E-2</v>
      </c>
      <c r="H414" s="17" t="str">
        <f>'04_MOTOR_CÁLCULO'!M1083</f>
        <v>Baixo</v>
      </c>
    </row>
    <row r="415" spans="1:8" ht="13.5" customHeight="1" x14ac:dyDescent="0.25">
      <c r="A415" s="13" t="str">
        <f>'04_MOTOR_CÁLCULO'!A1084</f>
        <v>6630-4/00</v>
      </c>
      <c r="B415" s="49" t="str">
        <f>'04_MOTOR_CÁLCULO'!B1084</f>
        <v>K</v>
      </c>
      <c r="C415" s="101" t="str">
        <f>'04_MOTOR_CÁLCULO'!C1084</f>
        <v>Atividades de administração de fundos por contrato ou comissão</v>
      </c>
      <c r="D415" s="14" t="str">
        <f>'04_MOTOR_CÁLCULO'!D1084</f>
        <v>ATIVIDADES AUXIL</v>
      </c>
      <c r="E415" s="78" t="str">
        <f>'04_MOTOR_CÁLCULO'!N1084</f>
        <v>CNAE-STG</v>
      </c>
      <c r="F415" s="62">
        <f>'04_MOTOR_CÁLCULO'!K1084</f>
        <v>0.9</v>
      </c>
      <c r="G415" s="63">
        <f>'04_MOTOR_CÁLCULO'!K1084-1</f>
        <v>-9.9999999999999978E-2</v>
      </c>
      <c r="H415" s="17" t="str">
        <f>'04_MOTOR_CÁLCULO'!M1084</f>
        <v>Baixo</v>
      </c>
    </row>
    <row r="416" spans="1:8" ht="13.5" customHeight="1" x14ac:dyDescent="0.25">
      <c r="A416" s="24" t="str">
        <f>'04_MOTOR_CÁLCULO'!A1085</f>
        <v>6810-2/01</v>
      </c>
      <c r="B416" s="38" t="str">
        <f>'04_MOTOR_CÁLCULO'!B1085</f>
        <v>L</v>
      </c>
      <c r="C416" s="100" t="str">
        <f>'04_MOTOR_CÁLCULO'!C1085</f>
        <v>Compra e venda de imóveis próprios</v>
      </c>
      <c r="D416" s="25" t="str">
        <f>'04_MOTOR_CÁLCULO'!D1085</f>
        <v>ATIVIDADES IMOBI</v>
      </c>
      <c r="E416" s="78" t="str">
        <f>'04_MOTOR_CÁLCULO'!N1085</f>
        <v>CNAE-STG</v>
      </c>
      <c r="F416" s="62">
        <f>'04_MOTOR_CÁLCULO'!K1085</f>
        <v>0.9</v>
      </c>
      <c r="G416" s="63">
        <f>'04_MOTOR_CÁLCULO'!K1085-1</f>
        <v>-9.9999999999999978E-2</v>
      </c>
      <c r="H416" s="17" t="str">
        <f>'04_MOTOR_CÁLCULO'!M1085</f>
        <v>Baixo</v>
      </c>
    </row>
    <row r="417" spans="1:8" ht="13.5" customHeight="1" x14ac:dyDescent="0.25">
      <c r="A417" s="13" t="str">
        <f>'04_MOTOR_CÁLCULO'!A1086</f>
        <v>6810-2/02</v>
      </c>
      <c r="B417" s="49" t="str">
        <f>'04_MOTOR_CÁLCULO'!B1086</f>
        <v>L</v>
      </c>
      <c r="C417" s="101" t="str">
        <f>'04_MOTOR_CÁLCULO'!C1086</f>
        <v>Aluguel de imóveis próprios</v>
      </c>
      <c r="D417" s="14" t="str">
        <f>'04_MOTOR_CÁLCULO'!D1086</f>
        <v>ATIVIDADES IMOBI</v>
      </c>
      <c r="E417" s="78" t="str">
        <f>'04_MOTOR_CÁLCULO'!N1086</f>
        <v>CNAE-STG</v>
      </c>
      <c r="F417" s="62">
        <f>'04_MOTOR_CÁLCULO'!K1086</f>
        <v>0.9</v>
      </c>
      <c r="G417" s="63">
        <f>'04_MOTOR_CÁLCULO'!K1086-1</f>
        <v>-9.9999999999999978E-2</v>
      </c>
      <c r="H417" s="17" t="str">
        <f>'04_MOTOR_CÁLCULO'!M1086</f>
        <v>Baixo</v>
      </c>
    </row>
    <row r="418" spans="1:8" ht="13.5" customHeight="1" x14ac:dyDescent="0.25">
      <c r="A418" s="24" t="str">
        <f>'04_MOTOR_CÁLCULO'!A1087</f>
        <v>6810-2/03</v>
      </c>
      <c r="B418" s="38" t="str">
        <f>'04_MOTOR_CÁLCULO'!B1087</f>
        <v>L</v>
      </c>
      <c r="C418" s="100" t="str">
        <f>'04_MOTOR_CÁLCULO'!C1087</f>
        <v>Loteamento de imóveis próprios</v>
      </c>
      <c r="D418" s="25" t="str">
        <f>'04_MOTOR_CÁLCULO'!D1087</f>
        <v>ATIVIDADES IMOBI</v>
      </c>
      <c r="E418" s="78" t="str">
        <f>'04_MOTOR_CÁLCULO'!N1087</f>
        <v>CNAE-STG</v>
      </c>
      <c r="F418" s="62">
        <f>'04_MOTOR_CÁLCULO'!K1087</f>
        <v>0.9</v>
      </c>
      <c r="G418" s="63">
        <f>'04_MOTOR_CÁLCULO'!K1087-1</f>
        <v>-9.9999999999999978E-2</v>
      </c>
      <c r="H418" s="17" t="str">
        <f>'04_MOTOR_CÁLCULO'!M1087</f>
        <v>Baixo</v>
      </c>
    </row>
    <row r="419" spans="1:8" ht="13.5" customHeight="1" x14ac:dyDescent="0.25">
      <c r="A419" s="13" t="str">
        <f>'04_MOTOR_CÁLCULO'!A1088</f>
        <v>6821-8/01</v>
      </c>
      <c r="B419" s="49" t="str">
        <f>'04_MOTOR_CÁLCULO'!B1088</f>
        <v>L</v>
      </c>
      <c r="C419" s="101" t="str">
        <f>'04_MOTOR_CÁLCULO'!C1088</f>
        <v>Corretagem na compra e venda e avaliação de imóveis</v>
      </c>
      <c r="D419" s="14" t="str">
        <f>'04_MOTOR_CÁLCULO'!D1088</f>
        <v>ATIVIDADES IMOBI</v>
      </c>
      <c r="E419" s="78" t="str">
        <f>'04_MOTOR_CÁLCULO'!N1088</f>
        <v>CNAE-STG</v>
      </c>
      <c r="F419" s="62">
        <f>'04_MOTOR_CÁLCULO'!K1088</f>
        <v>0.9</v>
      </c>
      <c r="G419" s="63">
        <f>'04_MOTOR_CÁLCULO'!K1088-1</f>
        <v>-9.9999999999999978E-2</v>
      </c>
      <c r="H419" s="17" t="str">
        <f>'04_MOTOR_CÁLCULO'!M1088</f>
        <v>Baixo</v>
      </c>
    </row>
    <row r="420" spans="1:8" ht="13.5" customHeight="1" x14ac:dyDescent="0.25">
      <c r="A420" s="24" t="str">
        <f>'04_MOTOR_CÁLCULO'!A1089</f>
        <v>6821-8/02</v>
      </c>
      <c r="B420" s="38" t="str">
        <f>'04_MOTOR_CÁLCULO'!B1089</f>
        <v>L</v>
      </c>
      <c r="C420" s="100" t="str">
        <f>'04_MOTOR_CÁLCULO'!C1089</f>
        <v>Corretagem no aluguel de imóveis</v>
      </c>
      <c r="D420" s="25" t="str">
        <f>'04_MOTOR_CÁLCULO'!D1089</f>
        <v>ATIVIDADES IMOBI</v>
      </c>
      <c r="E420" s="78" t="str">
        <f>'04_MOTOR_CÁLCULO'!N1089</f>
        <v>CNAE-STG</v>
      </c>
      <c r="F420" s="62">
        <f>'04_MOTOR_CÁLCULO'!K1089</f>
        <v>0.9</v>
      </c>
      <c r="G420" s="63">
        <f>'04_MOTOR_CÁLCULO'!K1089-1</f>
        <v>-9.9999999999999978E-2</v>
      </c>
      <c r="H420" s="17" t="str">
        <f>'04_MOTOR_CÁLCULO'!M1089</f>
        <v>Baixo</v>
      </c>
    </row>
    <row r="421" spans="1:8" ht="13.5" customHeight="1" x14ac:dyDescent="0.25">
      <c r="A421" s="13" t="str">
        <f>'04_MOTOR_CÁLCULO'!A1090</f>
        <v>6822-6/00</v>
      </c>
      <c r="B421" s="49" t="str">
        <f>'04_MOTOR_CÁLCULO'!B1090</f>
        <v>L</v>
      </c>
      <c r="C421" s="101" t="str">
        <f>'04_MOTOR_CÁLCULO'!C1090</f>
        <v>Gestão e administração da propriedade imobiliária</v>
      </c>
      <c r="D421" s="14" t="str">
        <f>'04_MOTOR_CÁLCULO'!D1090</f>
        <v>ATIVIDADES IMOBI</v>
      </c>
      <c r="E421" s="78" t="str">
        <f>'04_MOTOR_CÁLCULO'!N1090</f>
        <v>CNAE-STG</v>
      </c>
      <c r="F421" s="62">
        <f>'04_MOTOR_CÁLCULO'!K1090</f>
        <v>0.9</v>
      </c>
      <c r="G421" s="63">
        <f>'04_MOTOR_CÁLCULO'!K1090-1</f>
        <v>-9.9999999999999978E-2</v>
      </c>
      <c r="H421" s="17" t="str">
        <f>'04_MOTOR_CÁLCULO'!M1090</f>
        <v>Baixo</v>
      </c>
    </row>
    <row r="422" spans="1:8" ht="13.5" customHeight="1" x14ac:dyDescent="0.25">
      <c r="A422" s="24" t="str">
        <f>'04_MOTOR_CÁLCULO'!A1091</f>
        <v>6911-7/01</v>
      </c>
      <c r="B422" s="38" t="str">
        <f>'04_MOTOR_CÁLCULO'!B1091</f>
        <v>M</v>
      </c>
      <c r="C422" s="100" t="str">
        <f>'04_MOTOR_CÁLCULO'!C1091</f>
        <v>Serviços advocatícios</v>
      </c>
      <c r="D422" s="25" t="str">
        <f>'04_MOTOR_CÁLCULO'!D1091</f>
        <v>ATIVIDADES JURÍD</v>
      </c>
      <c r="E422" s="78" t="str">
        <f>'04_MOTOR_CÁLCULO'!N1091</f>
        <v>CNAE-STG</v>
      </c>
      <c r="F422" s="62">
        <f>'04_MOTOR_CÁLCULO'!K1091</f>
        <v>0.9</v>
      </c>
      <c r="G422" s="63">
        <f>'04_MOTOR_CÁLCULO'!K1091-1</f>
        <v>-9.9999999999999978E-2</v>
      </c>
      <c r="H422" s="17" t="str">
        <f>'04_MOTOR_CÁLCULO'!M1091</f>
        <v>Baixo</v>
      </c>
    </row>
    <row r="423" spans="1:8" ht="13.5" customHeight="1" x14ac:dyDescent="0.25">
      <c r="A423" s="13" t="str">
        <f>'04_MOTOR_CÁLCULO'!A1092</f>
        <v>6911-7/02</v>
      </c>
      <c r="B423" s="49" t="str">
        <f>'04_MOTOR_CÁLCULO'!B1092</f>
        <v>M</v>
      </c>
      <c r="C423" s="101" t="str">
        <f>'04_MOTOR_CÁLCULO'!C1092</f>
        <v>Atividades auxiliares da justiça</v>
      </c>
      <c r="D423" s="14" t="str">
        <f>'04_MOTOR_CÁLCULO'!D1092</f>
        <v>ATIVIDADES JURÍD</v>
      </c>
      <c r="E423" s="78" t="str">
        <f>'04_MOTOR_CÁLCULO'!N1092</f>
        <v>CNAE-STG</v>
      </c>
      <c r="F423" s="62">
        <f>'04_MOTOR_CÁLCULO'!K1092</f>
        <v>0.9</v>
      </c>
      <c r="G423" s="63">
        <f>'04_MOTOR_CÁLCULO'!K1092-1</f>
        <v>-9.9999999999999978E-2</v>
      </c>
      <c r="H423" s="17" t="str">
        <f>'04_MOTOR_CÁLCULO'!M1092</f>
        <v>Baixo</v>
      </c>
    </row>
    <row r="424" spans="1:8" ht="13.5" customHeight="1" x14ac:dyDescent="0.25">
      <c r="A424" s="24" t="str">
        <f>'04_MOTOR_CÁLCULO'!A1093</f>
        <v>6911-7/03</v>
      </c>
      <c r="B424" s="38" t="str">
        <f>'04_MOTOR_CÁLCULO'!B1093</f>
        <v>M</v>
      </c>
      <c r="C424" s="100" t="str">
        <f>'04_MOTOR_CÁLCULO'!C1093</f>
        <v>Agente de propriedade industrial</v>
      </c>
      <c r="D424" s="25" t="str">
        <f>'04_MOTOR_CÁLCULO'!D1093</f>
        <v>ATIVIDADES JURÍD</v>
      </c>
      <c r="E424" s="78" t="str">
        <f>'04_MOTOR_CÁLCULO'!N1093</f>
        <v>CNAE-STG</v>
      </c>
      <c r="F424" s="62">
        <f>'04_MOTOR_CÁLCULO'!K1093</f>
        <v>0.9</v>
      </c>
      <c r="G424" s="63">
        <f>'04_MOTOR_CÁLCULO'!K1093-1</f>
        <v>-9.9999999999999978E-2</v>
      </c>
      <c r="H424" s="17" t="str">
        <f>'04_MOTOR_CÁLCULO'!M1093</f>
        <v>Baixo</v>
      </c>
    </row>
    <row r="425" spans="1:8" ht="13.5" customHeight="1" x14ac:dyDescent="0.25">
      <c r="A425" s="13" t="str">
        <f>'04_MOTOR_CÁLCULO'!A1094</f>
        <v>6912-5/00</v>
      </c>
      <c r="B425" s="49" t="str">
        <f>'04_MOTOR_CÁLCULO'!B1094</f>
        <v>M</v>
      </c>
      <c r="C425" s="101" t="str">
        <f>'04_MOTOR_CÁLCULO'!C1094</f>
        <v>Cartórios</v>
      </c>
      <c r="D425" s="14" t="str">
        <f>'04_MOTOR_CÁLCULO'!D1094</f>
        <v>ATIVIDADES JURÍD</v>
      </c>
      <c r="E425" s="78" t="str">
        <f>'04_MOTOR_CÁLCULO'!N1094</f>
        <v>CNAE-STG</v>
      </c>
      <c r="F425" s="62">
        <f>'04_MOTOR_CÁLCULO'!K1094</f>
        <v>0.9</v>
      </c>
      <c r="G425" s="63">
        <f>'04_MOTOR_CÁLCULO'!K1094-1</f>
        <v>-9.9999999999999978E-2</v>
      </c>
      <c r="H425" s="17" t="str">
        <f>'04_MOTOR_CÁLCULO'!M1094</f>
        <v>Baixo</v>
      </c>
    </row>
    <row r="426" spans="1:8" ht="13.5" customHeight="1" x14ac:dyDescent="0.25">
      <c r="A426" s="24" t="str">
        <f>'04_MOTOR_CÁLCULO'!A1095</f>
        <v>6920-6/01</v>
      </c>
      <c r="B426" s="38" t="str">
        <f>'04_MOTOR_CÁLCULO'!B1095</f>
        <v>M</v>
      </c>
      <c r="C426" s="100" t="str">
        <f>'04_MOTOR_CÁLCULO'!C1095</f>
        <v>Atividades de contabilidade</v>
      </c>
      <c r="D426" s="25" t="str">
        <f>'04_MOTOR_CÁLCULO'!D1095</f>
        <v>ATIVIDADES JURÍD</v>
      </c>
      <c r="E426" s="78" t="str">
        <f>'04_MOTOR_CÁLCULO'!N1095</f>
        <v>CNAE-STG</v>
      </c>
      <c r="F426" s="62">
        <f>'04_MOTOR_CÁLCULO'!K1095</f>
        <v>0.9</v>
      </c>
      <c r="G426" s="63">
        <f>'04_MOTOR_CÁLCULO'!K1095-1</f>
        <v>-9.9999999999999978E-2</v>
      </c>
      <c r="H426" s="17" t="str">
        <f>'04_MOTOR_CÁLCULO'!M1095</f>
        <v>Baixo</v>
      </c>
    </row>
    <row r="427" spans="1:8" ht="13.5" customHeight="1" x14ac:dyDescent="0.25">
      <c r="A427" s="13" t="str">
        <f>'04_MOTOR_CÁLCULO'!A1096</f>
        <v>6920-6/02</v>
      </c>
      <c r="B427" s="49" t="str">
        <f>'04_MOTOR_CÁLCULO'!B1096</f>
        <v>M</v>
      </c>
      <c r="C427" s="101" t="str">
        <f>'04_MOTOR_CÁLCULO'!C1096</f>
        <v>Atividades de consultoria e auditoria contábil e tributária</v>
      </c>
      <c r="D427" s="14" t="str">
        <f>'04_MOTOR_CÁLCULO'!D1096</f>
        <v>ATIVIDADES JURÍD</v>
      </c>
      <c r="E427" s="78" t="str">
        <f>'04_MOTOR_CÁLCULO'!N1096</f>
        <v>CNAE-STG</v>
      </c>
      <c r="F427" s="62">
        <f>'04_MOTOR_CÁLCULO'!K1096</f>
        <v>0.9</v>
      </c>
      <c r="G427" s="63">
        <f>'04_MOTOR_CÁLCULO'!K1096-1</f>
        <v>-9.9999999999999978E-2</v>
      </c>
      <c r="H427" s="17" t="str">
        <f>'04_MOTOR_CÁLCULO'!M1096</f>
        <v>Baixo</v>
      </c>
    </row>
    <row r="428" spans="1:8" ht="13.5" customHeight="1" x14ac:dyDescent="0.25">
      <c r="A428" s="24" t="str">
        <f>'04_MOTOR_CÁLCULO'!A1097</f>
        <v>7020-4/00</v>
      </c>
      <c r="B428" s="38" t="str">
        <f>'04_MOTOR_CÁLCULO'!B1097</f>
        <v>M</v>
      </c>
      <c r="C428" s="100" t="str">
        <f>'04_MOTOR_CÁLCULO'!C1097</f>
        <v>Atividades de consultoria em gestão empresarial, exceto consultoria técnica específica</v>
      </c>
      <c r="D428" s="25" t="str">
        <f>'04_MOTOR_CÁLCULO'!D1097</f>
        <v>ATIVIDADES DE SE</v>
      </c>
      <c r="E428" s="78" t="str">
        <f>'04_MOTOR_CÁLCULO'!N1097</f>
        <v>CNAE-STG</v>
      </c>
      <c r="F428" s="62">
        <f>'04_MOTOR_CÁLCULO'!K1097</f>
        <v>0.9</v>
      </c>
      <c r="G428" s="63">
        <f>'04_MOTOR_CÁLCULO'!K1097-1</f>
        <v>-9.9999999999999978E-2</v>
      </c>
      <c r="H428" s="17" t="str">
        <f>'04_MOTOR_CÁLCULO'!M1097</f>
        <v>Baixo</v>
      </c>
    </row>
    <row r="429" spans="1:8" ht="13.5" customHeight="1" x14ac:dyDescent="0.25">
      <c r="A429" s="13" t="str">
        <f>'04_MOTOR_CÁLCULO'!A1108</f>
        <v>7311-4/00</v>
      </c>
      <c r="B429" s="49" t="str">
        <f>'04_MOTOR_CÁLCULO'!B1108</f>
        <v>M</v>
      </c>
      <c r="C429" s="101" t="str">
        <f>'04_MOTOR_CÁLCULO'!C1108</f>
        <v>Agências de publicidade</v>
      </c>
      <c r="D429" s="14" t="str">
        <f>'04_MOTOR_CÁLCULO'!D1108</f>
        <v>PUBLICIDADE E PE</v>
      </c>
      <c r="E429" s="78" t="str">
        <f>'04_MOTOR_CÁLCULO'!N1108</f>
        <v>CNAE-STG</v>
      </c>
      <c r="F429" s="62">
        <f>'04_MOTOR_CÁLCULO'!K1108</f>
        <v>0.9</v>
      </c>
      <c r="G429" s="63">
        <f>'04_MOTOR_CÁLCULO'!K1108-1</f>
        <v>-9.9999999999999978E-2</v>
      </c>
      <c r="H429" s="17" t="str">
        <f>'04_MOTOR_CÁLCULO'!M1108</f>
        <v>Baixo</v>
      </c>
    </row>
    <row r="430" spans="1:8" ht="13.5" customHeight="1" x14ac:dyDescent="0.25">
      <c r="A430" s="24" t="str">
        <f>'04_MOTOR_CÁLCULO'!A1109</f>
        <v>7312-2/00</v>
      </c>
      <c r="B430" s="38" t="str">
        <f>'04_MOTOR_CÁLCULO'!B1109</f>
        <v>M</v>
      </c>
      <c r="C430" s="100" t="str">
        <f>'04_MOTOR_CÁLCULO'!C1109</f>
        <v>Agenciamento de espaços para publicidade, exceto em veículos de comunicação</v>
      </c>
      <c r="D430" s="25" t="str">
        <f>'04_MOTOR_CÁLCULO'!D1109</f>
        <v>PUBLICIDADE E PE</v>
      </c>
      <c r="E430" s="78" t="str">
        <f>'04_MOTOR_CÁLCULO'!N1109</f>
        <v>CNAE-STG</v>
      </c>
      <c r="F430" s="62">
        <f>'04_MOTOR_CÁLCULO'!K1109</f>
        <v>0.9</v>
      </c>
      <c r="G430" s="63">
        <f>'04_MOTOR_CÁLCULO'!K1109-1</f>
        <v>-9.9999999999999978E-2</v>
      </c>
      <c r="H430" s="17" t="str">
        <f>'04_MOTOR_CÁLCULO'!M1109</f>
        <v>Baixo</v>
      </c>
    </row>
    <row r="431" spans="1:8" ht="13.5" customHeight="1" x14ac:dyDescent="0.25">
      <c r="A431" s="13" t="str">
        <f>'04_MOTOR_CÁLCULO'!A1110</f>
        <v>7319-0/01</v>
      </c>
      <c r="B431" s="49" t="str">
        <f>'04_MOTOR_CÁLCULO'!B1110</f>
        <v>M</v>
      </c>
      <c r="C431" s="101" t="str">
        <f>'04_MOTOR_CÁLCULO'!C1110</f>
        <v>Criação de estandes para feiras e exposições</v>
      </c>
      <c r="D431" s="14" t="str">
        <f>'04_MOTOR_CÁLCULO'!D1110</f>
        <v>PUBLICIDADE E PE</v>
      </c>
      <c r="E431" s="78" t="str">
        <f>'04_MOTOR_CÁLCULO'!N1110</f>
        <v>CNAE-STG</v>
      </c>
      <c r="F431" s="62">
        <f>'04_MOTOR_CÁLCULO'!K1110</f>
        <v>0.9</v>
      </c>
      <c r="G431" s="63">
        <f>'04_MOTOR_CÁLCULO'!K1110-1</f>
        <v>-9.9999999999999978E-2</v>
      </c>
      <c r="H431" s="17" t="str">
        <f>'04_MOTOR_CÁLCULO'!M1110</f>
        <v>Baixo</v>
      </c>
    </row>
    <row r="432" spans="1:8" ht="13.5" customHeight="1" x14ac:dyDescent="0.25">
      <c r="A432" s="24" t="str">
        <f>'04_MOTOR_CÁLCULO'!A1111</f>
        <v>7319-0/02</v>
      </c>
      <c r="B432" s="38" t="str">
        <f>'04_MOTOR_CÁLCULO'!B1111</f>
        <v>M</v>
      </c>
      <c r="C432" s="100" t="str">
        <f>'04_MOTOR_CÁLCULO'!C1111</f>
        <v>Promoção de vendas</v>
      </c>
      <c r="D432" s="25" t="str">
        <f>'04_MOTOR_CÁLCULO'!D1111</f>
        <v>PUBLICIDADE E PE</v>
      </c>
      <c r="E432" s="78" t="str">
        <f>'04_MOTOR_CÁLCULO'!N1111</f>
        <v>CNAE-STG</v>
      </c>
      <c r="F432" s="62">
        <f>'04_MOTOR_CÁLCULO'!K1111</f>
        <v>0.9</v>
      </c>
      <c r="G432" s="63">
        <f>'04_MOTOR_CÁLCULO'!K1111-1</f>
        <v>-9.9999999999999978E-2</v>
      </c>
      <c r="H432" s="17" t="str">
        <f>'04_MOTOR_CÁLCULO'!M1111</f>
        <v>Baixo</v>
      </c>
    </row>
    <row r="433" spans="1:8" ht="13.5" customHeight="1" x14ac:dyDescent="0.25">
      <c r="A433" s="13" t="str">
        <f>'04_MOTOR_CÁLCULO'!A1112</f>
        <v>7319-0/03</v>
      </c>
      <c r="B433" s="49" t="str">
        <f>'04_MOTOR_CÁLCULO'!B1112</f>
        <v>M</v>
      </c>
      <c r="C433" s="101" t="str">
        <f>'04_MOTOR_CÁLCULO'!C1112</f>
        <v>Marketing direto</v>
      </c>
      <c r="D433" s="14" t="str">
        <f>'04_MOTOR_CÁLCULO'!D1112</f>
        <v>PUBLICIDADE E PE</v>
      </c>
      <c r="E433" s="78" t="str">
        <f>'04_MOTOR_CÁLCULO'!N1112</f>
        <v>CNAE-STG</v>
      </c>
      <c r="F433" s="62">
        <f>'04_MOTOR_CÁLCULO'!K1112</f>
        <v>0.9</v>
      </c>
      <c r="G433" s="63">
        <f>'04_MOTOR_CÁLCULO'!K1112-1</f>
        <v>-9.9999999999999978E-2</v>
      </c>
      <c r="H433" s="17" t="str">
        <f>'04_MOTOR_CÁLCULO'!M1112</f>
        <v>Baixo</v>
      </c>
    </row>
    <row r="434" spans="1:8" ht="13.5" customHeight="1" x14ac:dyDescent="0.25">
      <c r="A434" s="24" t="str">
        <f>'04_MOTOR_CÁLCULO'!A1113</f>
        <v>7319-0/04</v>
      </c>
      <c r="B434" s="38" t="str">
        <f>'04_MOTOR_CÁLCULO'!B1113</f>
        <v>M</v>
      </c>
      <c r="C434" s="100" t="str">
        <f>'04_MOTOR_CÁLCULO'!C1113</f>
        <v>Consultoria em publicidade</v>
      </c>
      <c r="D434" s="25" t="str">
        <f>'04_MOTOR_CÁLCULO'!D1113</f>
        <v>PUBLICIDADE E PE</v>
      </c>
      <c r="E434" s="78" t="str">
        <f>'04_MOTOR_CÁLCULO'!N1113</f>
        <v>CNAE-STG</v>
      </c>
      <c r="F434" s="62">
        <f>'04_MOTOR_CÁLCULO'!K1113</f>
        <v>0.9</v>
      </c>
      <c r="G434" s="63">
        <f>'04_MOTOR_CÁLCULO'!K1113-1</f>
        <v>-9.9999999999999978E-2</v>
      </c>
      <c r="H434" s="17" t="str">
        <f>'04_MOTOR_CÁLCULO'!M1113</f>
        <v>Baixo</v>
      </c>
    </row>
    <row r="435" spans="1:8" ht="13.5" customHeight="1" x14ac:dyDescent="0.25">
      <c r="A435" s="13" t="str">
        <f>'04_MOTOR_CÁLCULO'!A1114</f>
        <v>7319-0/99</v>
      </c>
      <c r="B435" s="49" t="str">
        <f>'04_MOTOR_CÁLCULO'!B1114</f>
        <v>M</v>
      </c>
      <c r="C435" s="101" t="str">
        <f>'04_MOTOR_CÁLCULO'!C1114</f>
        <v>Outras atividades de publicidade não especificadas anteriormente</v>
      </c>
      <c r="D435" s="14" t="str">
        <f>'04_MOTOR_CÁLCULO'!D1114</f>
        <v>PUBLICIDADE E PE</v>
      </c>
      <c r="E435" s="78" t="str">
        <f>'04_MOTOR_CÁLCULO'!N1114</f>
        <v>CNAE-STG</v>
      </c>
      <c r="F435" s="62">
        <f>'04_MOTOR_CÁLCULO'!K1114</f>
        <v>0.9</v>
      </c>
      <c r="G435" s="63">
        <f>'04_MOTOR_CÁLCULO'!K1114-1</f>
        <v>-9.9999999999999978E-2</v>
      </c>
      <c r="H435" s="17" t="str">
        <f>'04_MOTOR_CÁLCULO'!M1114</f>
        <v>Baixo</v>
      </c>
    </row>
    <row r="436" spans="1:8" ht="13.5" customHeight="1" x14ac:dyDescent="0.25">
      <c r="A436" s="24" t="str">
        <f>'04_MOTOR_CÁLCULO'!A1115</f>
        <v>7320-3/00</v>
      </c>
      <c r="B436" s="38" t="str">
        <f>'04_MOTOR_CÁLCULO'!B1115</f>
        <v>M</v>
      </c>
      <c r="C436" s="100" t="str">
        <f>'04_MOTOR_CÁLCULO'!C1115</f>
        <v>Pesquisas de mercado e de opinião pública</v>
      </c>
      <c r="D436" s="25" t="str">
        <f>'04_MOTOR_CÁLCULO'!D1115</f>
        <v>PUBLICIDADE E PE</v>
      </c>
      <c r="E436" s="78" t="str">
        <f>'04_MOTOR_CÁLCULO'!N1115</f>
        <v>CNAE-STG</v>
      </c>
      <c r="F436" s="62">
        <f>'04_MOTOR_CÁLCULO'!K1115</f>
        <v>0.9</v>
      </c>
      <c r="G436" s="63">
        <f>'04_MOTOR_CÁLCULO'!K1115-1</f>
        <v>-9.9999999999999978E-2</v>
      </c>
      <c r="H436" s="17" t="str">
        <f>'04_MOTOR_CÁLCULO'!M1115</f>
        <v>Baixo</v>
      </c>
    </row>
    <row r="437" spans="1:8" ht="13.5" customHeight="1" x14ac:dyDescent="0.25">
      <c r="A437" s="13" t="str">
        <f>'04_MOTOR_CÁLCULO'!A1116</f>
        <v>7410-2/02</v>
      </c>
      <c r="B437" s="49" t="str">
        <f>'04_MOTOR_CÁLCULO'!B1116</f>
        <v>M</v>
      </c>
      <c r="C437" s="101" t="str">
        <f>'04_MOTOR_CÁLCULO'!C1116</f>
        <v>Design de interiores</v>
      </c>
      <c r="D437" s="14" t="str">
        <f>'04_MOTOR_CÁLCULO'!D1116</f>
        <v>OUTRAS ATIVIDADE</v>
      </c>
      <c r="E437" s="78" t="str">
        <f>'04_MOTOR_CÁLCULO'!N1116</f>
        <v>CNAE-STG</v>
      </c>
      <c r="F437" s="62">
        <f>'04_MOTOR_CÁLCULO'!K1116</f>
        <v>0.9</v>
      </c>
      <c r="G437" s="63">
        <f>'04_MOTOR_CÁLCULO'!K1116-1</f>
        <v>-9.9999999999999978E-2</v>
      </c>
      <c r="H437" s="17" t="str">
        <f>'04_MOTOR_CÁLCULO'!M1116</f>
        <v>Baixo</v>
      </c>
    </row>
    <row r="438" spans="1:8" ht="13.5" customHeight="1" x14ac:dyDescent="0.25">
      <c r="A438" s="24" t="str">
        <f>'04_MOTOR_CÁLCULO'!A1117</f>
        <v>7410-2/03</v>
      </c>
      <c r="B438" s="38" t="str">
        <f>'04_MOTOR_CÁLCULO'!B1117</f>
        <v>M</v>
      </c>
      <c r="C438" s="100" t="str">
        <f>'04_MOTOR_CÁLCULO'!C1117</f>
        <v>Desing de produto</v>
      </c>
      <c r="D438" s="25" t="str">
        <f>'04_MOTOR_CÁLCULO'!D1117</f>
        <v>OUTRAS ATIVIDADE</v>
      </c>
      <c r="E438" s="78" t="str">
        <f>'04_MOTOR_CÁLCULO'!N1117</f>
        <v>CNAE-STG</v>
      </c>
      <c r="F438" s="62">
        <f>'04_MOTOR_CÁLCULO'!K1117</f>
        <v>0.9</v>
      </c>
      <c r="G438" s="63">
        <f>'04_MOTOR_CÁLCULO'!K1117-1</f>
        <v>-9.9999999999999978E-2</v>
      </c>
      <c r="H438" s="17" t="str">
        <f>'04_MOTOR_CÁLCULO'!M1117</f>
        <v>Baixo</v>
      </c>
    </row>
    <row r="439" spans="1:8" ht="13.5" customHeight="1" x14ac:dyDescent="0.25">
      <c r="A439" s="13" t="str">
        <f>'04_MOTOR_CÁLCULO'!A1118</f>
        <v>7410-2/99</v>
      </c>
      <c r="B439" s="49" t="str">
        <f>'04_MOTOR_CÁLCULO'!B1118</f>
        <v>M</v>
      </c>
      <c r="C439" s="101" t="str">
        <f>'04_MOTOR_CÁLCULO'!C1118</f>
        <v>Atividades de desing não especificadas anteriormente</v>
      </c>
      <c r="D439" s="14" t="str">
        <f>'04_MOTOR_CÁLCULO'!D1118</f>
        <v>OUTRAS ATIVIDADE</v>
      </c>
      <c r="E439" s="78" t="str">
        <f>'04_MOTOR_CÁLCULO'!N1118</f>
        <v>CNAE-STG</v>
      </c>
      <c r="F439" s="62">
        <f>'04_MOTOR_CÁLCULO'!K1118</f>
        <v>0.9</v>
      </c>
      <c r="G439" s="63">
        <f>'04_MOTOR_CÁLCULO'!K1118-1</f>
        <v>-9.9999999999999978E-2</v>
      </c>
      <c r="H439" s="17" t="str">
        <f>'04_MOTOR_CÁLCULO'!M1118</f>
        <v>Baixo</v>
      </c>
    </row>
    <row r="440" spans="1:8" ht="13.5" customHeight="1" x14ac:dyDescent="0.25">
      <c r="A440" s="24" t="str">
        <f>'04_MOTOR_CÁLCULO'!A1119</f>
        <v>7420-0/01</v>
      </c>
      <c r="B440" s="38" t="str">
        <f>'04_MOTOR_CÁLCULO'!B1119</f>
        <v>M</v>
      </c>
      <c r="C440" s="100" t="str">
        <f>'04_MOTOR_CÁLCULO'!C1119</f>
        <v>Atividades de produção de fotografias, exceto aérea e submarina</v>
      </c>
      <c r="D440" s="25" t="str">
        <f>'04_MOTOR_CÁLCULO'!D1119</f>
        <v>OUTRAS ATIVIDADE</v>
      </c>
      <c r="E440" s="78" t="str">
        <f>'04_MOTOR_CÁLCULO'!N1119</f>
        <v>CNAE-STG</v>
      </c>
      <c r="F440" s="62">
        <f>'04_MOTOR_CÁLCULO'!K1119</f>
        <v>0.9</v>
      </c>
      <c r="G440" s="63">
        <f>'04_MOTOR_CÁLCULO'!K1119-1</f>
        <v>-9.9999999999999978E-2</v>
      </c>
      <c r="H440" s="17" t="str">
        <f>'04_MOTOR_CÁLCULO'!M1119</f>
        <v>Baixo</v>
      </c>
    </row>
    <row r="441" spans="1:8" ht="13.5" customHeight="1" x14ac:dyDescent="0.25">
      <c r="A441" s="13" t="str">
        <f>'04_MOTOR_CÁLCULO'!A1120</f>
        <v>7420-0/02</v>
      </c>
      <c r="B441" s="49" t="str">
        <f>'04_MOTOR_CÁLCULO'!B1120</f>
        <v>M</v>
      </c>
      <c r="C441" s="101" t="str">
        <f>'04_MOTOR_CÁLCULO'!C1120</f>
        <v>Atividades de produção de fotografias aéreas e submarinas</v>
      </c>
      <c r="D441" s="14" t="str">
        <f>'04_MOTOR_CÁLCULO'!D1120</f>
        <v>OUTRAS ATIVIDADE</v>
      </c>
      <c r="E441" s="78" t="str">
        <f>'04_MOTOR_CÁLCULO'!N1120</f>
        <v>CNAE-STG</v>
      </c>
      <c r="F441" s="62">
        <f>'04_MOTOR_CÁLCULO'!K1120</f>
        <v>0.9</v>
      </c>
      <c r="G441" s="63">
        <f>'04_MOTOR_CÁLCULO'!K1120-1</f>
        <v>-9.9999999999999978E-2</v>
      </c>
      <c r="H441" s="17" t="str">
        <f>'04_MOTOR_CÁLCULO'!M1120</f>
        <v>Baixo</v>
      </c>
    </row>
    <row r="442" spans="1:8" ht="13.5" customHeight="1" x14ac:dyDescent="0.25">
      <c r="A442" s="24" t="str">
        <f>'04_MOTOR_CÁLCULO'!A1121</f>
        <v>7420-0/03</v>
      </c>
      <c r="B442" s="38" t="str">
        <f>'04_MOTOR_CÁLCULO'!B1121</f>
        <v>M</v>
      </c>
      <c r="C442" s="100" t="str">
        <f>'04_MOTOR_CÁLCULO'!C1121</f>
        <v>Laboratórios fotográficos</v>
      </c>
      <c r="D442" s="25" t="str">
        <f>'04_MOTOR_CÁLCULO'!D1121</f>
        <v>OUTRAS ATIVIDADE</v>
      </c>
      <c r="E442" s="78" t="str">
        <f>'04_MOTOR_CÁLCULO'!N1121</f>
        <v>CNAE-STG</v>
      </c>
      <c r="F442" s="62">
        <f>'04_MOTOR_CÁLCULO'!K1121</f>
        <v>0.9</v>
      </c>
      <c r="G442" s="63">
        <f>'04_MOTOR_CÁLCULO'!K1121-1</f>
        <v>-9.9999999999999978E-2</v>
      </c>
      <c r="H442" s="17" t="str">
        <f>'04_MOTOR_CÁLCULO'!M1121</f>
        <v>Baixo</v>
      </c>
    </row>
    <row r="443" spans="1:8" ht="13.5" customHeight="1" x14ac:dyDescent="0.25">
      <c r="A443" s="13" t="str">
        <f>'04_MOTOR_CÁLCULO'!A1122</f>
        <v>7420-0/04</v>
      </c>
      <c r="B443" s="49" t="str">
        <f>'04_MOTOR_CÁLCULO'!B1122</f>
        <v>M</v>
      </c>
      <c r="C443" s="101" t="str">
        <f>'04_MOTOR_CÁLCULO'!C1122</f>
        <v>Filmagem de festas e eventos</v>
      </c>
      <c r="D443" s="14" t="str">
        <f>'04_MOTOR_CÁLCULO'!D1122</f>
        <v>OUTRAS ATIVIDADE</v>
      </c>
      <c r="E443" s="78" t="str">
        <f>'04_MOTOR_CÁLCULO'!N1122</f>
        <v>CNAE-STG</v>
      </c>
      <c r="F443" s="62">
        <f>'04_MOTOR_CÁLCULO'!K1122</f>
        <v>0.9</v>
      </c>
      <c r="G443" s="63">
        <f>'04_MOTOR_CÁLCULO'!K1122-1</f>
        <v>-9.9999999999999978E-2</v>
      </c>
      <c r="H443" s="17" t="str">
        <f>'04_MOTOR_CÁLCULO'!M1122</f>
        <v>Baixo</v>
      </c>
    </row>
    <row r="444" spans="1:8" ht="13.5" customHeight="1" x14ac:dyDescent="0.25">
      <c r="A444" s="24" t="str">
        <f>'04_MOTOR_CÁLCULO'!A1123</f>
        <v>7420-0/05</v>
      </c>
      <c r="B444" s="38" t="str">
        <f>'04_MOTOR_CÁLCULO'!B1123</f>
        <v>M</v>
      </c>
      <c r="C444" s="100" t="str">
        <f>'04_MOTOR_CÁLCULO'!C1123</f>
        <v>Serviços de microfilmagem</v>
      </c>
      <c r="D444" s="25" t="str">
        <f>'04_MOTOR_CÁLCULO'!D1123</f>
        <v>OUTRAS ATIVIDADE</v>
      </c>
      <c r="E444" s="78" t="str">
        <f>'04_MOTOR_CÁLCULO'!N1123</f>
        <v>CNAE-STG</v>
      </c>
      <c r="F444" s="62">
        <f>'04_MOTOR_CÁLCULO'!K1123</f>
        <v>0.9</v>
      </c>
      <c r="G444" s="63">
        <f>'04_MOTOR_CÁLCULO'!K1123-1</f>
        <v>-9.9999999999999978E-2</v>
      </c>
      <c r="H444" s="17" t="str">
        <f>'04_MOTOR_CÁLCULO'!M1123</f>
        <v>Baixo</v>
      </c>
    </row>
    <row r="445" spans="1:8" ht="13.5" customHeight="1" x14ac:dyDescent="0.25">
      <c r="A445" s="13" t="str">
        <f>'04_MOTOR_CÁLCULO'!A1124</f>
        <v>7490-1/01</v>
      </c>
      <c r="B445" s="49" t="str">
        <f>'04_MOTOR_CÁLCULO'!B1124</f>
        <v>M</v>
      </c>
      <c r="C445" s="101" t="str">
        <f>'04_MOTOR_CÁLCULO'!C1124</f>
        <v>Serviços de tradução, interpretação e similares</v>
      </c>
      <c r="D445" s="14" t="str">
        <f>'04_MOTOR_CÁLCULO'!D1124</f>
        <v>OUTRAS ATIVIDADE</v>
      </c>
      <c r="E445" s="78" t="str">
        <f>'04_MOTOR_CÁLCULO'!N1124</f>
        <v>CNAE-STG</v>
      </c>
      <c r="F445" s="62">
        <f>'04_MOTOR_CÁLCULO'!K1124</f>
        <v>0.9</v>
      </c>
      <c r="G445" s="63">
        <f>'04_MOTOR_CÁLCULO'!K1124-1</f>
        <v>-9.9999999999999978E-2</v>
      </c>
      <c r="H445" s="17" t="str">
        <f>'04_MOTOR_CÁLCULO'!M1124</f>
        <v>Baixo</v>
      </c>
    </row>
    <row r="446" spans="1:8" ht="13.5" customHeight="1" x14ac:dyDescent="0.25">
      <c r="A446" s="24" t="str">
        <f>'04_MOTOR_CÁLCULO'!A1125</f>
        <v>7490-1/02</v>
      </c>
      <c r="B446" s="38" t="str">
        <f>'04_MOTOR_CÁLCULO'!B1125</f>
        <v>M</v>
      </c>
      <c r="C446" s="100" t="str">
        <f>'04_MOTOR_CÁLCULO'!C1125</f>
        <v>Escafandria e mergulho</v>
      </c>
      <c r="D446" s="25" t="str">
        <f>'04_MOTOR_CÁLCULO'!D1125</f>
        <v>OUTRAS ATIVIDADE</v>
      </c>
      <c r="E446" s="78" t="str">
        <f>'04_MOTOR_CÁLCULO'!N1125</f>
        <v>CNAE-STG</v>
      </c>
      <c r="F446" s="62">
        <f>'04_MOTOR_CÁLCULO'!K1125</f>
        <v>0.9</v>
      </c>
      <c r="G446" s="63">
        <f>'04_MOTOR_CÁLCULO'!K1125-1</f>
        <v>-9.9999999999999978E-2</v>
      </c>
      <c r="H446" s="17" t="str">
        <f>'04_MOTOR_CÁLCULO'!M1125</f>
        <v>Baixo</v>
      </c>
    </row>
    <row r="447" spans="1:8" ht="13.5" customHeight="1" x14ac:dyDescent="0.25">
      <c r="A447" s="13" t="str">
        <f>'04_MOTOR_CÁLCULO'!A1126</f>
        <v>7490-1/03</v>
      </c>
      <c r="B447" s="49" t="str">
        <f>'04_MOTOR_CÁLCULO'!B1126</f>
        <v>M</v>
      </c>
      <c r="C447" s="101" t="str">
        <f>'04_MOTOR_CÁLCULO'!C1126</f>
        <v>Serviços de agronomia e de consultoria às atividades agrícolas e pecuárias</v>
      </c>
      <c r="D447" s="14" t="str">
        <f>'04_MOTOR_CÁLCULO'!D1126</f>
        <v>OUTRAS ATIVIDADE</v>
      </c>
      <c r="E447" s="78" t="str">
        <f>'04_MOTOR_CÁLCULO'!N1126</f>
        <v>CNAE-STG</v>
      </c>
      <c r="F447" s="62">
        <f>'04_MOTOR_CÁLCULO'!K1126</f>
        <v>0.9</v>
      </c>
      <c r="G447" s="63">
        <f>'04_MOTOR_CÁLCULO'!K1126-1</f>
        <v>-9.9999999999999978E-2</v>
      </c>
      <c r="H447" s="17" t="str">
        <f>'04_MOTOR_CÁLCULO'!M1126</f>
        <v>Baixo</v>
      </c>
    </row>
    <row r="448" spans="1:8" ht="13.5" customHeight="1" x14ac:dyDescent="0.25">
      <c r="A448" s="24" t="str">
        <f>'04_MOTOR_CÁLCULO'!A1127</f>
        <v>7490-1/04</v>
      </c>
      <c r="B448" s="38" t="str">
        <f>'04_MOTOR_CÁLCULO'!B1127</f>
        <v>M</v>
      </c>
      <c r="C448" s="100" t="str">
        <f>'04_MOTOR_CÁLCULO'!C1127</f>
        <v>Atividades de intermediação e agenciamento de serviços e negócios em geral, exceto imobiliários</v>
      </c>
      <c r="D448" s="25" t="str">
        <f>'04_MOTOR_CÁLCULO'!D1127</f>
        <v>OUTRAS ATIVIDADE</v>
      </c>
      <c r="E448" s="78" t="str">
        <f>'04_MOTOR_CÁLCULO'!N1127</f>
        <v>CNAE-STG</v>
      </c>
      <c r="F448" s="62">
        <f>'04_MOTOR_CÁLCULO'!K1127</f>
        <v>0.9</v>
      </c>
      <c r="G448" s="63">
        <f>'04_MOTOR_CÁLCULO'!K1127-1</f>
        <v>-9.9999999999999978E-2</v>
      </c>
      <c r="H448" s="17" t="str">
        <f>'04_MOTOR_CÁLCULO'!M1127</f>
        <v>Baixo</v>
      </c>
    </row>
    <row r="449" spans="1:8" ht="13.5" customHeight="1" x14ac:dyDescent="0.25">
      <c r="A449" s="13" t="str">
        <f>'04_MOTOR_CÁLCULO'!A1128</f>
        <v>7490-1/05</v>
      </c>
      <c r="B449" s="49" t="str">
        <f>'04_MOTOR_CÁLCULO'!B1128</f>
        <v>M</v>
      </c>
      <c r="C449" s="101" t="str">
        <f>'04_MOTOR_CÁLCULO'!C1128</f>
        <v>Agenciamento de profissionais para atividades esportivas, culturais e artísticas</v>
      </c>
      <c r="D449" s="14" t="str">
        <f>'04_MOTOR_CÁLCULO'!D1128</f>
        <v>OUTRAS ATIVIDADE</v>
      </c>
      <c r="E449" s="78" t="str">
        <f>'04_MOTOR_CÁLCULO'!N1128</f>
        <v>CNAE-STG</v>
      </c>
      <c r="F449" s="62">
        <f>'04_MOTOR_CÁLCULO'!K1128</f>
        <v>0.9</v>
      </c>
      <c r="G449" s="63">
        <f>'04_MOTOR_CÁLCULO'!K1128-1</f>
        <v>-9.9999999999999978E-2</v>
      </c>
      <c r="H449" s="17" t="str">
        <f>'04_MOTOR_CÁLCULO'!M1128</f>
        <v>Baixo</v>
      </c>
    </row>
    <row r="450" spans="1:8" ht="13.5" customHeight="1" x14ac:dyDescent="0.25">
      <c r="A450" s="24" t="str">
        <f>'04_MOTOR_CÁLCULO'!A1129</f>
        <v>7490-1/99</v>
      </c>
      <c r="B450" s="38" t="str">
        <f>'04_MOTOR_CÁLCULO'!B1129</f>
        <v>M</v>
      </c>
      <c r="C450" s="100" t="str">
        <f>'04_MOTOR_CÁLCULO'!C1129</f>
        <v>Outras atividades profissionais, científicas e técnicas não especificadas anteriormente</v>
      </c>
      <c r="D450" s="25" t="str">
        <f>'04_MOTOR_CÁLCULO'!D1129</f>
        <v>OUTRAS ATIVIDADE</v>
      </c>
      <c r="E450" s="78" t="str">
        <f>'04_MOTOR_CÁLCULO'!N1129</f>
        <v>CNAE-STG</v>
      </c>
      <c r="F450" s="62">
        <f>'04_MOTOR_CÁLCULO'!K1129</f>
        <v>0.9</v>
      </c>
      <c r="G450" s="63">
        <f>'04_MOTOR_CÁLCULO'!K1129-1</f>
        <v>-9.9999999999999978E-2</v>
      </c>
      <c r="H450" s="17" t="str">
        <f>'04_MOTOR_CÁLCULO'!M1129</f>
        <v>Baixo</v>
      </c>
    </row>
    <row r="451" spans="1:8" ht="13.5" customHeight="1" x14ac:dyDescent="0.25">
      <c r="A451" s="13" t="str">
        <f>'04_MOTOR_CÁLCULO'!A1131</f>
        <v>7711-0/00</v>
      </c>
      <c r="B451" s="49" t="str">
        <f>'04_MOTOR_CÁLCULO'!B1131</f>
        <v>N</v>
      </c>
      <c r="C451" s="101" t="str">
        <f>'04_MOTOR_CÁLCULO'!C1131</f>
        <v>Locação de automóveis sem condutor</v>
      </c>
      <c r="D451" s="14" t="str">
        <f>'04_MOTOR_CÁLCULO'!D1131</f>
        <v>ALUGUÉIS NÃO IMO</v>
      </c>
      <c r="E451" s="78" t="str">
        <f>'04_MOTOR_CÁLCULO'!N1131</f>
        <v>CNAE-STG</v>
      </c>
      <c r="F451" s="62">
        <f>'04_MOTOR_CÁLCULO'!K1131</f>
        <v>0.9</v>
      </c>
      <c r="G451" s="63">
        <f>'04_MOTOR_CÁLCULO'!K1131-1</f>
        <v>-9.9999999999999978E-2</v>
      </c>
      <c r="H451" s="17" t="str">
        <f>'04_MOTOR_CÁLCULO'!M1131</f>
        <v>Baixo</v>
      </c>
    </row>
    <row r="452" spans="1:8" ht="13.5" customHeight="1" x14ac:dyDescent="0.25">
      <c r="A452" s="24" t="str">
        <f>'04_MOTOR_CÁLCULO'!A1132</f>
        <v>7719-5/01</v>
      </c>
      <c r="B452" s="38" t="str">
        <f>'04_MOTOR_CÁLCULO'!B1132</f>
        <v>N</v>
      </c>
      <c r="C452" s="100" t="str">
        <f>'04_MOTOR_CÁLCULO'!C1132</f>
        <v>Locação de embarcações sem tripulação, exceto para fins
recreativos</v>
      </c>
      <c r="D452" s="25" t="str">
        <f>'04_MOTOR_CÁLCULO'!D1132</f>
        <v>ALUGUÉIS NÃO IMO</v>
      </c>
      <c r="E452" s="78" t="str">
        <f>'04_MOTOR_CÁLCULO'!N1132</f>
        <v>CNAE-STG</v>
      </c>
      <c r="F452" s="62">
        <f>'04_MOTOR_CÁLCULO'!K1132</f>
        <v>0.9</v>
      </c>
      <c r="G452" s="63">
        <f>'04_MOTOR_CÁLCULO'!K1132-1</f>
        <v>-9.9999999999999978E-2</v>
      </c>
      <c r="H452" s="17" t="str">
        <f>'04_MOTOR_CÁLCULO'!M1132</f>
        <v>Baixo</v>
      </c>
    </row>
    <row r="453" spans="1:8" ht="13.5" customHeight="1" x14ac:dyDescent="0.25">
      <c r="A453" s="13" t="str">
        <f>'04_MOTOR_CÁLCULO'!A1133</f>
        <v>7719-5/02</v>
      </c>
      <c r="B453" s="49" t="str">
        <f>'04_MOTOR_CÁLCULO'!B1133</f>
        <v>N</v>
      </c>
      <c r="C453" s="101" t="str">
        <f>'04_MOTOR_CÁLCULO'!C1133</f>
        <v>Locação de aeronaves sem tripulação</v>
      </c>
      <c r="D453" s="14" t="str">
        <f>'04_MOTOR_CÁLCULO'!D1133</f>
        <v>ALUGUÉIS NÃO IMO</v>
      </c>
      <c r="E453" s="78" t="str">
        <f>'04_MOTOR_CÁLCULO'!N1133</f>
        <v>CNAE-STG</v>
      </c>
      <c r="F453" s="62">
        <f>'04_MOTOR_CÁLCULO'!K1133</f>
        <v>0.9</v>
      </c>
      <c r="G453" s="63">
        <f>'04_MOTOR_CÁLCULO'!K1133-1</f>
        <v>-9.9999999999999978E-2</v>
      </c>
      <c r="H453" s="17" t="str">
        <f>'04_MOTOR_CÁLCULO'!M1133</f>
        <v>Baixo</v>
      </c>
    </row>
    <row r="454" spans="1:8" ht="13.5" customHeight="1" x14ac:dyDescent="0.25">
      <c r="A454" s="24" t="str">
        <f>'04_MOTOR_CÁLCULO'!A1134</f>
        <v>7719-5/99</v>
      </c>
      <c r="B454" s="38" t="str">
        <f>'04_MOTOR_CÁLCULO'!B1134</f>
        <v>N</v>
      </c>
      <c r="C454" s="100" t="str">
        <f>'04_MOTOR_CÁLCULO'!C1134</f>
        <v>Locação de outros meios de transporte não especificados anteriormente, sem condutor</v>
      </c>
      <c r="D454" s="25" t="str">
        <f>'04_MOTOR_CÁLCULO'!D1134</f>
        <v>ALUGUÉIS NÃO IMO</v>
      </c>
      <c r="E454" s="78" t="str">
        <f>'04_MOTOR_CÁLCULO'!N1134</f>
        <v>CNAE-STG</v>
      </c>
      <c r="F454" s="62">
        <f>'04_MOTOR_CÁLCULO'!K1134</f>
        <v>0.9</v>
      </c>
      <c r="G454" s="63">
        <f>'04_MOTOR_CÁLCULO'!K1134-1</f>
        <v>-9.9999999999999978E-2</v>
      </c>
      <c r="H454" s="17" t="str">
        <f>'04_MOTOR_CÁLCULO'!M1134</f>
        <v>Baixo</v>
      </c>
    </row>
    <row r="455" spans="1:8" ht="13.5" customHeight="1" x14ac:dyDescent="0.25">
      <c r="A455" s="13" t="str">
        <f>'04_MOTOR_CÁLCULO'!A1135</f>
        <v>7721-7/00</v>
      </c>
      <c r="B455" s="49" t="str">
        <f>'04_MOTOR_CÁLCULO'!B1135</f>
        <v>N</v>
      </c>
      <c r="C455" s="101" t="str">
        <f>'04_MOTOR_CÁLCULO'!C1135</f>
        <v>Aluguel de equipamentos recreativos e esportivos</v>
      </c>
      <c r="D455" s="14" t="str">
        <f>'04_MOTOR_CÁLCULO'!D1135</f>
        <v>ALUGUÉIS NÃO IMO</v>
      </c>
      <c r="E455" s="78" t="str">
        <f>'04_MOTOR_CÁLCULO'!N1135</f>
        <v>CNAE-STG</v>
      </c>
      <c r="F455" s="62">
        <f>'04_MOTOR_CÁLCULO'!K1135</f>
        <v>0.9</v>
      </c>
      <c r="G455" s="63">
        <f>'04_MOTOR_CÁLCULO'!K1135-1</f>
        <v>-9.9999999999999978E-2</v>
      </c>
      <c r="H455" s="17" t="str">
        <f>'04_MOTOR_CÁLCULO'!M1135</f>
        <v>Baixo</v>
      </c>
    </row>
    <row r="456" spans="1:8" ht="13.5" customHeight="1" x14ac:dyDescent="0.25">
      <c r="A456" s="24" t="str">
        <f>'04_MOTOR_CÁLCULO'!A1136</f>
        <v>7722-5/00</v>
      </c>
      <c r="B456" s="38" t="str">
        <f>'04_MOTOR_CÁLCULO'!B1136</f>
        <v>N</v>
      </c>
      <c r="C456" s="100" t="str">
        <f>'04_MOTOR_CÁLCULO'!C1136</f>
        <v>Aluguel de fitas de vídeo, DVDs e similares</v>
      </c>
      <c r="D456" s="25" t="str">
        <f>'04_MOTOR_CÁLCULO'!D1136</f>
        <v>ALUGUÉIS NÃO IMO</v>
      </c>
      <c r="E456" s="78" t="str">
        <f>'04_MOTOR_CÁLCULO'!N1136</f>
        <v>CNAE-STG</v>
      </c>
      <c r="F456" s="62">
        <f>'04_MOTOR_CÁLCULO'!K1136</f>
        <v>0.9</v>
      </c>
      <c r="G456" s="63">
        <f>'04_MOTOR_CÁLCULO'!K1136-1</f>
        <v>-9.9999999999999978E-2</v>
      </c>
      <c r="H456" s="17" t="str">
        <f>'04_MOTOR_CÁLCULO'!M1136</f>
        <v>Baixo</v>
      </c>
    </row>
    <row r="457" spans="1:8" ht="13.5" customHeight="1" x14ac:dyDescent="0.25">
      <c r="A457" s="13" t="str">
        <f>'04_MOTOR_CÁLCULO'!A1137</f>
        <v>7723-3/00</v>
      </c>
      <c r="B457" s="49" t="str">
        <f>'04_MOTOR_CÁLCULO'!B1137</f>
        <v>N</v>
      </c>
      <c r="C457" s="101" t="str">
        <f>'04_MOTOR_CÁLCULO'!C1137</f>
        <v>Aluguel de objetos do vestuário, jóias e acessórios</v>
      </c>
      <c r="D457" s="14" t="str">
        <f>'04_MOTOR_CÁLCULO'!D1137</f>
        <v>ALUGUÉIS NÃO IMO</v>
      </c>
      <c r="E457" s="78" t="str">
        <f>'04_MOTOR_CÁLCULO'!N1137</f>
        <v>CNAE-STG</v>
      </c>
      <c r="F457" s="62">
        <f>'04_MOTOR_CÁLCULO'!K1137</f>
        <v>0.9</v>
      </c>
      <c r="G457" s="63">
        <f>'04_MOTOR_CÁLCULO'!K1137-1</f>
        <v>-9.9999999999999978E-2</v>
      </c>
      <c r="H457" s="17" t="str">
        <f>'04_MOTOR_CÁLCULO'!M1137</f>
        <v>Baixo</v>
      </c>
    </row>
    <row r="458" spans="1:8" ht="13.5" customHeight="1" x14ac:dyDescent="0.25">
      <c r="A458" s="24" t="str">
        <f>'04_MOTOR_CÁLCULO'!A1138</f>
        <v>7729-2/01</v>
      </c>
      <c r="B458" s="38" t="str">
        <f>'04_MOTOR_CÁLCULO'!B1138</f>
        <v>N</v>
      </c>
      <c r="C458" s="100" t="str">
        <f>'04_MOTOR_CÁLCULO'!C1138</f>
        <v>Aluguel de aparelhos de jogos eletrônicos</v>
      </c>
      <c r="D458" s="25" t="str">
        <f>'04_MOTOR_CÁLCULO'!D1138</f>
        <v>ALUGUÉIS NÃO IMO</v>
      </c>
      <c r="E458" s="78" t="str">
        <f>'04_MOTOR_CÁLCULO'!N1138</f>
        <v>CNAE-STG</v>
      </c>
      <c r="F458" s="62">
        <f>'04_MOTOR_CÁLCULO'!K1138</f>
        <v>0.9</v>
      </c>
      <c r="G458" s="63">
        <f>'04_MOTOR_CÁLCULO'!K1138-1</f>
        <v>-9.9999999999999978E-2</v>
      </c>
      <c r="H458" s="17" t="str">
        <f>'04_MOTOR_CÁLCULO'!M1138</f>
        <v>Baixo</v>
      </c>
    </row>
    <row r="459" spans="1:8" ht="13.5" customHeight="1" x14ac:dyDescent="0.25">
      <c r="A459" s="13" t="str">
        <f>'04_MOTOR_CÁLCULO'!A1139</f>
        <v>7729-2/02</v>
      </c>
      <c r="B459" s="49" t="str">
        <f>'04_MOTOR_CÁLCULO'!B1139</f>
        <v>N</v>
      </c>
      <c r="C459" s="101" t="str">
        <f>'04_MOTOR_CÁLCULO'!C1139</f>
        <v>Aluguel de móveis, utensílios e aparelhos de uso doméstico e pessoal; instrumentos musicais</v>
      </c>
      <c r="D459" s="14" t="str">
        <f>'04_MOTOR_CÁLCULO'!D1139</f>
        <v>ALUGUÉIS NÃO IMO</v>
      </c>
      <c r="E459" s="78" t="str">
        <f>'04_MOTOR_CÁLCULO'!N1139</f>
        <v>CNAE-STG</v>
      </c>
      <c r="F459" s="62">
        <f>'04_MOTOR_CÁLCULO'!K1139</f>
        <v>0.9</v>
      </c>
      <c r="G459" s="63">
        <f>'04_MOTOR_CÁLCULO'!K1139-1</f>
        <v>-9.9999999999999978E-2</v>
      </c>
      <c r="H459" s="17" t="str">
        <f>'04_MOTOR_CÁLCULO'!M1139</f>
        <v>Baixo</v>
      </c>
    </row>
    <row r="460" spans="1:8" ht="13.5" customHeight="1" x14ac:dyDescent="0.25">
      <c r="A460" s="24" t="str">
        <f>'04_MOTOR_CÁLCULO'!A1140</f>
        <v>7729-2/03</v>
      </c>
      <c r="B460" s="38" t="str">
        <f>'04_MOTOR_CÁLCULO'!B1140</f>
        <v>N</v>
      </c>
      <c r="C460" s="100" t="str">
        <f>'04_MOTOR_CÁLCULO'!C1140</f>
        <v>Aluguel de material médico</v>
      </c>
      <c r="D460" s="25" t="str">
        <f>'04_MOTOR_CÁLCULO'!D1140</f>
        <v>ALUGUÉIS NÃO IMO</v>
      </c>
      <c r="E460" s="78" t="str">
        <f>'04_MOTOR_CÁLCULO'!N1140</f>
        <v>CNAE-STG</v>
      </c>
      <c r="F460" s="62">
        <f>'04_MOTOR_CÁLCULO'!K1140</f>
        <v>0.9</v>
      </c>
      <c r="G460" s="63">
        <f>'04_MOTOR_CÁLCULO'!K1140-1</f>
        <v>-9.9999999999999978E-2</v>
      </c>
      <c r="H460" s="17" t="str">
        <f>'04_MOTOR_CÁLCULO'!M1140</f>
        <v>Baixo</v>
      </c>
    </row>
    <row r="461" spans="1:8" ht="13.5" customHeight="1" x14ac:dyDescent="0.25">
      <c r="A461" s="13" t="str">
        <f>'04_MOTOR_CÁLCULO'!A1141</f>
        <v>7729-2/99</v>
      </c>
      <c r="B461" s="49" t="str">
        <f>'04_MOTOR_CÁLCULO'!B1141</f>
        <v>N</v>
      </c>
      <c r="C461" s="101" t="str">
        <f>'04_MOTOR_CÁLCULO'!C1141</f>
        <v>Aluguel de outros objetos pessoais e domésticos não especificados anteriormente</v>
      </c>
      <c r="D461" s="14" t="str">
        <f>'04_MOTOR_CÁLCULO'!D1141</f>
        <v>ALUGUÉIS NÃO IMO</v>
      </c>
      <c r="E461" s="78" t="str">
        <f>'04_MOTOR_CÁLCULO'!N1141</f>
        <v>CNAE-STG</v>
      </c>
      <c r="F461" s="62">
        <f>'04_MOTOR_CÁLCULO'!K1141</f>
        <v>0.9</v>
      </c>
      <c r="G461" s="63">
        <f>'04_MOTOR_CÁLCULO'!K1141-1</f>
        <v>-9.9999999999999978E-2</v>
      </c>
      <c r="H461" s="17" t="str">
        <f>'04_MOTOR_CÁLCULO'!M1141</f>
        <v>Baixo</v>
      </c>
    </row>
    <row r="462" spans="1:8" ht="13.5" customHeight="1" x14ac:dyDescent="0.25">
      <c r="A462" s="24" t="str">
        <f>'04_MOTOR_CÁLCULO'!A1142</f>
        <v>7731-4/00</v>
      </c>
      <c r="B462" s="38" t="str">
        <f>'04_MOTOR_CÁLCULO'!B1142</f>
        <v>N</v>
      </c>
      <c r="C462" s="100" t="str">
        <f>'04_MOTOR_CÁLCULO'!C1142</f>
        <v>Aluguel de máquinas e equipamentos agrícolas sem operador</v>
      </c>
      <c r="D462" s="25" t="str">
        <f>'04_MOTOR_CÁLCULO'!D1142</f>
        <v>ALUGUÉIS NÃO IMO</v>
      </c>
      <c r="E462" s="78" t="str">
        <f>'04_MOTOR_CÁLCULO'!N1142</f>
        <v>CNAE-STG</v>
      </c>
      <c r="F462" s="62">
        <f>'04_MOTOR_CÁLCULO'!K1142</f>
        <v>0.9</v>
      </c>
      <c r="G462" s="63">
        <f>'04_MOTOR_CÁLCULO'!K1142-1</f>
        <v>-9.9999999999999978E-2</v>
      </c>
      <c r="H462" s="17" t="str">
        <f>'04_MOTOR_CÁLCULO'!M1142</f>
        <v>Baixo</v>
      </c>
    </row>
    <row r="463" spans="1:8" ht="13.5" customHeight="1" x14ac:dyDescent="0.25">
      <c r="A463" s="13" t="str">
        <f>'04_MOTOR_CÁLCULO'!A1143</f>
        <v>7732-2/01</v>
      </c>
      <c r="B463" s="49" t="str">
        <f>'04_MOTOR_CÁLCULO'!B1143</f>
        <v>N</v>
      </c>
      <c r="C463" s="101" t="str">
        <f>'04_MOTOR_CÁLCULO'!C1143</f>
        <v>Aluguel de máquinas e equipamentos para construção sem operador, exceto andaimes</v>
      </c>
      <c r="D463" s="14" t="str">
        <f>'04_MOTOR_CÁLCULO'!D1143</f>
        <v>ALUGUÉIS NÃO IMO</v>
      </c>
      <c r="E463" s="78" t="str">
        <f>'04_MOTOR_CÁLCULO'!N1143</f>
        <v>CNAE-STG</v>
      </c>
      <c r="F463" s="62">
        <f>'04_MOTOR_CÁLCULO'!K1143</f>
        <v>0.9</v>
      </c>
      <c r="G463" s="63">
        <f>'04_MOTOR_CÁLCULO'!K1143-1</f>
        <v>-9.9999999999999978E-2</v>
      </c>
      <c r="H463" s="17" t="str">
        <f>'04_MOTOR_CÁLCULO'!M1143</f>
        <v>Baixo</v>
      </c>
    </row>
    <row r="464" spans="1:8" ht="13.5" customHeight="1" x14ac:dyDescent="0.25">
      <c r="A464" s="24" t="str">
        <f>'04_MOTOR_CÁLCULO'!A1144</f>
        <v>7732-2/02</v>
      </c>
      <c r="B464" s="38" t="str">
        <f>'04_MOTOR_CÁLCULO'!B1144</f>
        <v>N</v>
      </c>
      <c r="C464" s="100" t="str">
        <f>'04_MOTOR_CÁLCULO'!C1144</f>
        <v>Aluguel de andaimes</v>
      </c>
      <c r="D464" s="25" t="str">
        <f>'04_MOTOR_CÁLCULO'!D1144</f>
        <v>ALUGUÉIS NÃO IMO</v>
      </c>
      <c r="E464" s="78" t="str">
        <f>'04_MOTOR_CÁLCULO'!N1144</f>
        <v>CNAE-STG</v>
      </c>
      <c r="F464" s="62">
        <f>'04_MOTOR_CÁLCULO'!K1144</f>
        <v>0.9</v>
      </c>
      <c r="G464" s="63">
        <f>'04_MOTOR_CÁLCULO'!K1144-1</f>
        <v>-9.9999999999999978E-2</v>
      </c>
      <c r="H464" s="17" t="str">
        <f>'04_MOTOR_CÁLCULO'!M1144</f>
        <v>Baixo</v>
      </c>
    </row>
    <row r="465" spans="1:8" ht="13.5" customHeight="1" x14ac:dyDescent="0.25">
      <c r="A465" s="13" t="str">
        <f>'04_MOTOR_CÁLCULO'!A1145</f>
        <v>7733-1/00</v>
      </c>
      <c r="B465" s="49" t="str">
        <f>'04_MOTOR_CÁLCULO'!B1145</f>
        <v>N</v>
      </c>
      <c r="C465" s="101" t="str">
        <f>'04_MOTOR_CÁLCULO'!C1145</f>
        <v>Aluguel de máquinas e equipamentos para escritório</v>
      </c>
      <c r="D465" s="14" t="str">
        <f>'04_MOTOR_CÁLCULO'!D1145</f>
        <v>ALUGUÉIS NÃO IMO</v>
      </c>
      <c r="E465" s="78" t="str">
        <f>'04_MOTOR_CÁLCULO'!N1145</f>
        <v>CNAE-STG</v>
      </c>
      <c r="F465" s="62">
        <f>'04_MOTOR_CÁLCULO'!K1145</f>
        <v>0.9</v>
      </c>
      <c r="G465" s="63">
        <f>'04_MOTOR_CÁLCULO'!K1145-1</f>
        <v>-9.9999999999999978E-2</v>
      </c>
      <c r="H465" s="17" t="str">
        <f>'04_MOTOR_CÁLCULO'!M1145</f>
        <v>Baixo</v>
      </c>
    </row>
    <row r="466" spans="1:8" ht="13.5" customHeight="1" x14ac:dyDescent="0.25">
      <c r="A466" s="24" t="str">
        <f>'04_MOTOR_CÁLCULO'!A1146</f>
        <v>7739-0/01</v>
      </c>
      <c r="B466" s="38" t="str">
        <f>'04_MOTOR_CÁLCULO'!B1146</f>
        <v>N</v>
      </c>
      <c r="C466" s="100" t="str">
        <f>'04_MOTOR_CÁLCULO'!C1146</f>
        <v>Aluguel de máquinas e equipamentos para extração de minérios e petróleo, sem operador</v>
      </c>
      <c r="D466" s="25" t="str">
        <f>'04_MOTOR_CÁLCULO'!D1146</f>
        <v>ALUGUÉIS NÃO IMO</v>
      </c>
      <c r="E466" s="78" t="str">
        <f>'04_MOTOR_CÁLCULO'!N1146</f>
        <v>CNAE-STG</v>
      </c>
      <c r="F466" s="62">
        <f>'04_MOTOR_CÁLCULO'!K1146</f>
        <v>0.9</v>
      </c>
      <c r="G466" s="63">
        <f>'04_MOTOR_CÁLCULO'!K1146-1</f>
        <v>-9.9999999999999978E-2</v>
      </c>
      <c r="H466" s="17" t="str">
        <f>'04_MOTOR_CÁLCULO'!M1146</f>
        <v>Baixo</v>
      </c>
    </row>
    <row r="467" spans="1:8" ht="13.5" customHeight="1" x14ac:dyDescent="0.25">
      <c r="A467" s="13" t="str">
        <f>'04_MOTOR_CÁLCULO'!A1147</f>
        <v>7739-0/02</v>
      </c>
      <c r="B467" s="49" t="str">
        <f>'04_MOTOR_CÁLCULO'!B1147</f>
        <v>N</v>
      </c>
      <c r="C467" s="101" t="str">
        <f>'04_MOTOR_CÁLCULO'!C1147</f>
        <v>Aluguel de equipamentos científicos, médicos e hospitalares, sem operador</v>
      </c>
      <c r="D467" s="14" t="str">
        <f>'04_MOTOR_CÁLCULO'!D1147</f>
        <v>ALUGUÉIS NÃO IMO</v>
      </c>
      <c r="E467" s="78" t="str">
        <f>'04_MOTOR_CÁLCULO'!N1147</f>
        <v>CNAE-STG</v>
      </c>
      <c r="F467" s="62">
        <f>'04_MOTOR_CÁLCULO'!K1147</f>
        <v>0.9</v>
      </c>
      <c r="G467" s="63">
        <f>'04_MOTOR_CÁLCULO'!K1147-1</f>
        <v>-9.9999999999999978E-2</v>
      </c>
      <c r="H467" s="17" t="str">
        <f>'04_MOTOR_CÁLCULO'!M1147</f>
        <v>Baixo</v>
      </c>
    </row>
    <row r="468" spans="1:8" ht="13.5" customHeight="1" x14ac:dyDescent="0.25">
      <c r="A468" s="24" t="str">
        <f>'04_MOTOR_CÁLCULO'!A1148</f>
        <v>7739-0/03</v>
      </c>
      <c r="B468" s="38" t="str">
        <f>'04_MOTOR_CÁLCULO'!B1148</f>
        <v>N</v>
      </c>
      <c r="C468" s="100" t="str">
        <f>'04_MOTOR_CÁLCULO'!C1148</f>
        <v>Aluguel de palcos, coberturas e outras estruturas de uso temporário, exceto andaimes</v>
      </c>
      <c r="D468" s="25" t="str">
        <f>'04_MOTOR_CÁLCULO'!D1148</f>
        <v>ALUGUÉIS NÃO IMO</v>
      </c>
      <c r="E468" s="78" t="str">
        <f>'04_MOTOR_CÁLCULO'!N1148</f>
        <v>CNAE-STG</v>
      </c>
      <c r="F468" s="62">
        <f>'04_MOTOR_CÁLCULO'!K1148</f>
        <v>0.9</v>
      </c>
      <c r="G468" s="63">
        <f>'04_MOTOR_CÁLCULO'!K1148-1</f>
        <v>-9.9999999999999978E-2</v>
      </c>
      <c r="H468" s="17" t="str">
        <f>'04_MOTOR_CÁLCULO'!M1148</f>
        <v>Baixo</v>
      </c>
    </row>
    <row r="469" spans="1:8" ht="13.5" customHeight="1" x14ac:dyDescent="0.25">
      <c r="A469" s="13" t="str">
        <f>'04_MOTOR_CÁLCULO'!A1149</f>
        <v>7739-0/99</v>
      </c>
      <c r="B469" s="49" t="str">
        <f>'04_MOTOR_CÁLCULO'!B1149</f>
        <v>N</v>
      </c>
      <c r="C469" s="101" t="str">
        <f>'04_MOTOR_CÁLCULO'!C1149</f>
        <v>Aluguel de outras máquinas e equipamentos comerciais e industriais não especificados anteriormente, sem operador</v>
      </c>
      <c r="D469" s="14" t="str">
        <f>'04_MOTOR_CÁLCULO'!D1149</f>
        <v>ALUGUÉIS NÃO IMO</v>
      </c>
      <c r="E469" s="78" t="str">
        <f>'04_MOTOR_CÁLCULO'!N1149</f>
        <v>CNAE-STG</v>
      </c>
      <c r="F469" s="62">
        <f>'04_MOTOR_CÁLCULO'!K1149</f>
        <v>0.9</v>
      </c>
      <c r="G469" s="63">
        <f>'04_MOTOR_CÁLCULO'!K1149-1</f>
        <v>-9.9999999999999978E-2</v>
      </c>
      <c r="H469" s="17" t="str">
        <f>'04_MOTOR_CÁLCULO'!M1149</f>
        <v>Baixo</v>
      </c>
    </row>
    <row r="470" spans="1:8" ht="13.5" customHeight="1" x14ac:dyDescent="0.25">
      <c r="A470" s="24" t="str">
        <f>'04_MOTOR_CÁLCULO'!A1150</f>
        <v>7740-3/00</v>
      </c>
      <c r="B470" s="38" t="str">
        <f>'04_MOTOR_CÁLCULO'!B1150</f>
        <v>N</v>
      </c>
      <c r="C470" s="100" t="str">
        <f>'04_MOTOR_CÁLCULO'!C1150</f>
        <v>Gestão de ativos intangíveis não financeiros</v>
      </c>
      <c r="D470" s="25" t="str">
        <f>'04_MOTOR_CÁLCULO'!D1150</f>
        <v>ALUGUÉIS NÃO IMO</v>
      </c>
      <c r="E470" s="78" t="str">
        <f>'04_MOTOR_CÁLCULO'!N1150</f>
        <v>CNAE-STG</v>
      </c>
      <c r="F470" s="62">
        <f>'04_MOTOR_CÁLCULO'!K1150</f>
        <v>0.9</v>
      </c>
      <c r="G470" s="63">
        <f>'04_MOTOR_CÁLCULO'!K1150-1</f>
        <v>-9.9999999999999978E-2</v>
      </c>
      <c r="H470" s="17" t="str">
        <f>'04_MOTOR_CÁLCULO'!M1150</f>
        <v>Baixo</v>
      </c>
    </row>
    <row r="471" spans="1:8" ht="13.5" customHeight="1" x14ac:dyDescent="0.25">
      <c r="A471" s="13" t="str">
        <f>'04_MOTOR_CÁLCULO'!A1151</f>
        <v>7810-8/00</v>
      </c>
      <c r="B471" s="49" t="str">
        <f>'04_MOTOR_CÁLCULO'!B1151</f>
        <v>N</v>
      </c>
      <c r="C471" s="101" t="str">
        <f>'04_MOTOR_CÁLCULO'!C1151</f>
        <v>Seleção e agenciamento de mão de obra</v>
      </c>
      <c r="D471" s="14" t="str">
        <f>'04_MOTOR_CÁLCULO'!D1151</f>
        <v>SELEÇÃO, AGENCIA</v>
      </c>
      <c r="E471" s="78" t="str">
        <f>'04_MOTOR_CÁLCULO'!N1151</f>
        <v>CNAE-STG</v>
      </c>
      <c r="F471" s="62">
        <f>'04_MOTOR_CÁLCULO'!K1151</f>
        <v>0.9</v>
      </c>
      <c r="G471" s="63">
        <f>'04_MOTOR_CÁLCULO'!K1151-1</f>
        <v>-9.9999999999999978E-2</v>
      </c>
      <c r="H471" s="17" t="str">
        <f>'04_MOTOR_CÁLCULO'!M1151</f>
        <v>Baixo</v>
      </c>
    </row>
    <row r="472" spans="1:8" ht="13.5" customHeight="1" x14ac:dyDescent="0.25">
      <c r="A472" s="24" t="str">
        <f>'04_MOTOR_CÁLCULO'!A1152</f>
        <v>7820-5/00</v>
      </c>
      <c r="B472" s="38" t="str">
        <f>'04_MOTOR_CÁLCULO'!B1152</f>
        <v>N</v>
      </c>
      <c r="C472" s="100" t="str">
        <f>'04_MOTOR_CÁLCULO'!C1152</f>
        <v>Locação de mão de obra temporária</v>
      </c>
      <c r="D472" s="25" t="str">
        <f>'04_MOTOR_CÁLCULO'!D1152</f>
        <v>SELEÇÃO, AGENCIA</v>
      </c>
      <c r="E472" s="78" t="str">
        <f>'04_MOTOR_CÁLCULO'!N1152</f>
        <v>CNAE-STG</v>
      </c>
      <c r="F472" s="62">
        <f>'04_MOTOR_CÁLCULO'!K1152</f>
        <v>0.9</v>
      </c>
      <c r="G472" s="63">
        <f>'04_MOTOR_CÁLCULO'!K1152-1</f>
        <v>-9.9999999999999978E-2</v>
      </c>
      <c r="H472" s="17" t="str">
        <f>'04_MOTOR_CÁLCULO'!M1152</f>
        <v>Baixo</v>
      </c>
    </row>
    <row r="473" spans="1:8" ht="13.5" customHeight="1" x14ac:dyDescent="0.25">
      <c r="A473" s="13" t="str">
        <f>'04_MOTOR_CÁLCULO'!A1153</f>
        <v>7830-2/00</v>
      </c>
      <c r="B473" s="49" t="str">
        <f>'04_MOTOR_CÁLCULO'!B1153</f>
        <v>N</v>
      </c>
      <c r="C473" s="101" t="str">
        <f>'04_MOTOR_CÁLCULO'!C1153</f>
        <v>Fornecimento e gestão de recursos humanos para terceiros</v>
      </c>
      <c r="D473" s="14" t="str">
        <f>'04_MOTOR_CÁLCULO'!D1153</f>
        <v>SELEÇÃO, AGENCIA</v>
      </c>
      <c r="E473" s="78" t="str">
        <f>'04_MOTOR_CÁLCULO'!N1153</f>
        <v>CNAE-STG</v>
      </c>
      <c r="F473" s="62">
        <f>'04_MOTOR_CÁLCULO'!K1153</f>
        <v>0.9</v>
      </c>
      <c r="G473" s="63">
        <f>'04_MOTOR_CÁLCULO'!K1153-1</f>
        <v>-9.9999999999999978E-2</v>
      </c>
      <c r="H473" s="17" t="str">
        <f>'04_MOTOR_CÁLCULO'!M1153</f>
        <v>Baixo</v>
      </c>
    </row>
    <row r="474" spans="1:8" ht="13.5" customHeight="1" x14ac:dyDescent="0.25">
      <c r="A474" s="24" t="str">
        <f>'04_MOTOR_CÁLCULO'!A1154</f>
        <v>7911-2/00</v>
      </c>
      <c r="B474" s="38" t="str">
        <f>'04_MOTOR_CÁLCULO'!B1154</f>
        <v>N</v>
      </c>
      <c r="C474" s="100" t="str">
        <f>'04_MOTOR_CÁLCULO'!C1154</f>
        <v>Agências de viagens</v>
      </c>
      <c r="D474" s="25" t="str">
        <f>'04_MOTOR_CÁLCULO'!D1154</f>
        <v>AGÊNCIAS DE VIAG</v>
      </c>
      <c r="E474" s="78" t="str">
        <f>'04_MOTOR_CÁLCULO'!N1154</f>
        <v>CNAE-STG</v>
      </c>
      <c r="F474" s="62">
        <f>'04_MOTOR_CÁLCULO'!K1154</f>
        <v>0.9</v>
      </c>
      <c r="G474" s="63">
        <f>'04_MOTOR_CÁLCULO'!K1154-1</f>
        <v>-9.9999999999999978E-2</v>
      </c>
      <c r="H474" s="17" t="str">
        <f>'04_MOTOR_CÁLCULO'!M1154</f>
        <v>Baixo</v>
      </c>
    </row>
    <row r="475" spans="1:8" ht="13.5" customHeight="1" x14ac:dyDescent="0.25">
      <c r="A475" s="13" t="str">
        <f>'04_MOTOR_CÁLCULO'!A1155</f>
        <v>7912-1/00</v>
      </c>
      <c r="B475" s="49" t="str">
        <f>'04_MOTOR_CÁLCULO'!B1155</f>
        <v>N</v>
      </c>
      <c r="C475" s="101" t="str">
        <f>'04_MOTOR_CÁLCULO'!C1155</f>
        <v>Operadores turísticos</v>
      </c>
      <c r="D475" s="14" t="str">
        <f>'04_MOTOR_CÁLCULO'!D1155</f>
        <v>AGÊNCIAS DE VIAG</v>
      </c>
      <c r="E475" s="78" t="str">
        <f>'04_MOTOR_CÁLCULO'!N1155</f>
        <v>CNAE-STG</v>
      </c>
      <c r="F475" s="62">
        <f>'04_MOTOR_CÁLCULO'!K1155</f>
        <v>0.9</v>
      </c>
      <c r="G475" s="63">
        <f>'04_MOTOR_CÁLCULO'!K1155-1</f>
        <v>-9.9999999999999978E-2</v>
      </c>
      <c r="H475" s="17" t="str">
        <f>'04_MOTOR_CÁLCULO'!M1155</f>
        <v>Baixo</v>
      </c>
    </row>
    <row r="476" spans="1:8" ht="13.5" customHeight="1" x14ac:dyDescent="0.25">
      <c r="A476" s="24" t="str">
        <f>'04_MOTOR_CÁLCULO'!A1156</f>
        <v>7990-2/00</v>
      </c>
      <c r="B476" s="38" t="str">
        <f>'04_MOTOR_CÁLCULO'!B1156</f>
        <v>N</v>
      </c>
      <c r="C476" s="100" t="str">
        <f>'04_MOTOR_CÁLCULO'!C1156</f>
        <v>Serviços de reservas e outros serviços de turismo não especificados anteriormente</v>
      </c>
      <c r="D476" s="25" t="str">
        <f>'04_MOTOR_CÁLCULO'!D1156</f>
        <v>AGÊNCIAS DE VIAG</v>
      </c>
      <c r="E476" s="78" t="str">
        <f>'04_MOTOR_CÁLCULO'!N1156</f>
        <v>CNAE-STG</v>
      </c>
      <c r="F476" s="62">
        <f>'04_MOTOR_CÁLCULO'!K1156</f>
        <v>0.9</v>
      </c>
      <c r="G476" s="63">
        <f>'04_MOTOR_CÁLCULO'!K1156-1</f>
        <v>-9.9999999999999978E-2</v>
      </c>
      <c r="H476" s="17" t="str">
        <f>'04_MOTOR_CÁLCULO'!M1156</f>
        <v>Baixo</v>
      </c>
    </row>
    <row r="477" spans="1:8" ht="13.5" customHeight="1" x14ac:dyDescent="0.25">
      <c r="A477" s="13" t="str">
        <f>'04_MOTOR_CÁLCULO'!A1169</f>
        <v>8211-3/00</v>
      </c>
      <c r="B477" s="49" t="str">
        <f>'04_MOTOR_CÁLCULO'!B1169</f>
        <v>N</v>
      </c>
      <c r="C477" s="101" t="str">
        <f>'04_MOTOR_CÁLCULO'!C1169</f>
        <v>Serviços combinados de escritório e apoio administrativo</v>
      </c>
      <c r="D477" s="14" t="str">
        <f>'04_MOTOR_CÁLCULO'!D1169</f>
        <v>SERVIÇOS DE ESCR</v>
      </c>
      <c r="E477" s="78" t="str">
        <f>'04_MOTOR_CÁLCULO'!N1169</f>
        <v>CNAE-STG</v>
      </c>
      <c r="F477" s="62">
        <f>'04_MOTOR_CÁLCULO'!K1169</f>
        <v>0.9</v>
      </c>
      <c r="G477" s="63">
        <f>'04_MOTOR_CÁLCULO'!K1169-1</f>
        <v>-9.9999999999999978E-2</v>
      </c>
      <c r="H477" s="17" t="str">
        <f>'04_MOTOR_CÁLCULO'!M1169</f>
        <v>Baixo</v>
      </c>
    </row>
    <row r="478" spans="1:8" ht="13.5" customHeight="1" x14ac:dyDescent="0.25">
      <c r="A478" s="24" t="str">
        <f>'04_MOTOR_CÁLCULO'!A1170</f>
        <v>8219-9/01</v>
      </c>
      <c r="B478" s="38" t="str">
        <f>'04_MOTOR_CÁLCULO'!B1170</f>
        <v>N</v>
      </c>
      <c r="C478" s="100" t="str">
        <f>'04_MOTOR_CÁLCULO'!C1170</f>
        <v>Fotocópias</v>
      </c>
      <c r="D478" s="25" t="str">
        <f>'04_MOTOR_CÁLCULO'!D1170</f>
        <v>SERVIÇOS DE ESCR</v>
      </c>
      <c r="E478" s="78" t="str">
        <f>'04_MOTOR_CÁLCULO'!N1170</f>
        <v>CNAE-STG</v>
      </c>
      <c r="F478" s="62">
        <f>'04_MOTOR_CÁLCULO'!K1170</f>
        <v>0.9</v>
      </c>
      <c r="G478" s="63">
        <f>'04_MOTOR_CÁLCULO'!K1170-1</f>
        <v>-9.9999999999999978E-2</v>
      </c>
      <c r="H478" s="17" t="str">
        <f>'04_MOTOR_CÁLCULO'!M1170</f>
        <v>Baixo</v>
      </c>
    </row>
    <row r="479" spans="1:8" ht="13.5" customHeight="1" x14ac:dyDescent="0.25">
      <c r="A479" s="13" t="str">
        <f>'04_MOTOR_CÁLCULO'!A1171</f>
        <v>8219-9/99</v>
      </c>
      <c r="B479" s="49" t="str">
        <f>'04_MOTOR_CÁLCULO'!B1171</f>
        <v>N</v>
      </c>
      <c r="C479" s="101" t="str">
        <f>'04_MOTOR_CÁLCULO'!C1171</f>
        <v>Preparação de documentos e serviços especializados de apoio administrativo não especificados anteriormente</v>
      </c>
      <c r="D479" s="14" t="str">
        <f>'04_MOTOR_CÁLCULO'!D1171</f>
        <v>SERVIÇOS DE ESCR</v>
      </c>
      <c r="E479" s="78" t="str">
        <f>'04_MOTOR_CÁLCULO'!N1171</f>
        <v>CNAE-STG</v>
      </c>
      <c r="F479" s="62">
        <f>'04_MOTOR_CÁLCULO'!K1171</f>
        <v>0.9</v>
      </c>
      <c r="G479" s="63">
        <f>'04_MOTOR_CÁLCULO'!K1171-1</f>
        <v>-9.9999999999999978E-2</v>
      </c>
      <c r="H479" s="17" t="str">
        <f>'04_MOTOR_CÁLCULO'!M1171</f>
        <v>Baixo</v>
      </c>
    </row>
    <row r="480" spans="1:8" ht="13.5" customHeight="1" x14ac:dyDescent="0.25">
      <c r="A480" s="24" t="str">
        <f>'04_MOTOR_CÁLCULO'!A1172</f>
        <v>8220-2/00</v>
      </c>
      <c r="B480" s="38" t="str">
        <f>'04_MOTOR_CÁLCULO'!B1172</f>
        <v>N</v>
      </c>
      <c r="C480" s="100" t="str">
        <f>'04_MOTOR_CÁLCULO'!C1172</f>
        <v>Atividades de teleatendimento</v>
      </c>
      <c r="D480" s="25" t="str">
        <f>'04_MOTOR_CÁLCULO'!D1172</f>
        <v>SERVIÇOS DE ESCR</v>
      </c>
      <c r="E480" s="78" t="str">
        <f>'04_MOTOR_CÁLCULO'!N1172</f>
        <v>CNAE-STG</v>
      </c>
      <c r="F480" s="62">
        <f>'04_MOTOR_CÁLCULO'!K1172</f>
        <v>0.9</v>
      </c>
      <c r="G480" s="63">
        <f>'04_MOTOR_CÁLCULO'!K1172-1</f>
        <v>-9.9999999999999978E-2</v>
      </c>
      <c r="H480" s="17" t="str">
        <f>'04_MOTOR_CÁLCULO'!M1172</f>
        <v>Baixo</v>
      </c>
    </row>
    <row r="481" spans="1:8" ht="13.5" customHeight="1" x14ac:dyDescent="0.25">
      <c r="A481" s="13" t="str">
        <f>'04_MOTOR_CÁLCULO'!A1173</f>
        <v>8230-0/01</v>
      </c>
      <c r="B481" s="49" t="str">
        <f>'04_MOTOR_CÁLCULO'!B1173</f>
        <v>N</v>
      </c>
      <c r="C481" s="101" t="str">
        <f>'04_MOTOR_CÁLCULO'!C1173</f>
        <v>Serviços de organização de feiras, congressos, exposições e festas</v>
      </c>
      <c r="D481" s="14" t="str">
        <f>'04_MOTOR_CÁLCULO'!D1173</f>
        <v>SERVIÇOS DE ESCR</v>
      </c>
      <c r="E481" s="78" t="str">
        <f>'04_MOTOR_CÁLCULO'!N1173</f>
        <v>CNAE-STG</v>
      </c>
      <c r="F481" s="62">
        <f>'04_MOTOR_CÁLCULO'!K1173</f>
        <v>0.9</v>
      </c>
      <c r="G481" s="63">
        <f>'04_MOTOR_CÁLCULO'!K1173-1</f>
        <v>-9.9999999999999978E-2</v>
      </c>
      <c r="H481" s="17" t="str">
        <f>'04_MOTOR_CÁLCULO'!M1173</f>
        <v>Baixo</v>
      </c>
    </row>
    <row r="482" spans="1:8" ht="13.5" customHeight="1" x14ac:dyDescent="0.25">
      <c r="A482" s="24" t="str">
        <f>'04_MOTOR_CÁLCULO'!A1174</f>
        <v>8230-0/02</v>
      </c>
      <c r="B482" s="38" t="str">
        <f>'04_MOTOR_CÁLCULO'!B1174</f>
        <v>N</v>
      </c>
      <c r="C482" s="100" t="str">
        <f>'04_MOTOR_CÁLCULO'!C1174</f>
        <v>Casas de festas e eventos</v>
      </c>
      <c r="D482" s="25" t="str">
        <f>'04_MOTOR_CÁLCULO'!D1174</f>
        <v>SERVIÇOS DE ESCR</v>
      </c>
      <c r="E482" s="78" t="str">
        <f>'04_MOTOR_CÁLCULO'!N1174</f>
        <v>CNAE-STG</v>
      </c>
      <c r="F482" s="62">
        <f>'04_MOTOR_CÁLCULO'!K1174</f>
        <v>0.9</v>
      </c>
      <c r="G482" s="63">
        <f>'04_MOTOR_CÁLCULO'!K1174-1</f>
        <v>-9.9999999999999978E-2</v>
      </c>
      <c r="H482" s="17" t="str">
        <f>'04_MOTOR_CÁLCULO'!M1174</f>
        <v>Baixo</v>
      </c>
    </row>
    <row r="483" spans="1:8" ht="13.5" customHeight="1" x14ac:dyDescent="0.25">
      <c r="A483" s="13" t="str">
        <f>'04_MOTOR_CÁLCULO'!A1175</f>
        <v>8291-1/00</v>
      </c>
      <c r="B483" s="49" t="str">
        <f>'04_MOTOR_CÁLCULO'!B1175</f>
        <v>N</v>
      </c>
      <c r="C483" s="101" t="str">
        <f>'04_MOTOR_CÁLCULO'!C1175</f>
        <v>Atividades de cobrança e informações cadastrais</v>
      </c>
      <c r="D483" s="14" t="str">
        <f>'04_MOTOR_CÁLCULO'!D1175</f>
        <v>SERVIÇOS DE ESCR</v>
      </c>
      <c r="E483" s="78" t="str">
        <f>'04_MOTOR_CÁLCULO'!N1175</f>
        <v>CNAE-STG</v>
      </c>
      <c r="F483" s="62">
        <f>'04_MOTOR_CÁLCULO'!K1175</f>
        <v>0.9</v>
      </c>
      <c r="G483" s="63">
        <f>'04_MOTOR_CÁLCULO'!K1175-1</f>
        <v>-9.9999999999999978E-2</v>
      </c>
      <c r="H483" s="17" t="str">
        <f>'04_MOTOR_CÁLCULO'!M1175</f>
        <v>Baixo</v>
      </c>
    </row>
    <row r="484" spans="1:8" ht="13.5" customHeight="1" x14ac:dyDescent="0.25">
      <c r="A484" s="24" t="str">
        <f>'04_MOTOR_CÁLCULO'!A1176</f>
        <v>8292-0/00</v>
      </c>
      <c r="B484" s="38" t="str">
        <f>'04_MOTOR_CÁLCULO'!B1176</f>
        <v>N</v>
      </c>
      <c r="C484" s="100" t="str">
        <f>'04_MOTOR_CÁLCULO'!C1176</f>
        <v>Envasamento e empacotamento sob contrato</v>
      </c>
      <c r="D484" s="25" t="str">
        <f>'04_MOTOR_CÁLCULO'!D1176</f>
        <v>SERVIÇOS DE ESCR</v>
      </c>
      <c r="E484" s="78" t="str">
        <f>'04_MOTOR_CÁLCULO'!N1176</f>
        <v>CNAE-STG</v>
      </c>
      <c r="F484" s="62">
        <f>'04_MOTOR_CÁLCULO'!K1176</f>
        <v>0.9</v>
      </c>
      <c r="G484" s="63">
        <f>'04_MOTOR_CÁLCULO'!K1176-1</f>
        <v>-9.9999999999999978E-2</v>
      </c>
      <c r="H484" s="17" t="str">
        <f>'04_MOTOR_CÁLCULO'!M1176</f>
        <v>Baixo</v>
      </c>
    </row>
    <row r="485" spans="1:8" ht="13.5" customHeight="1" x14ac:dyDescent="0.25">
      <c r="A485" s="13" t="str">
        <f>'04_MOTOR_CÁLCULO'!A1177</f>
        <v>8299-7/01</v>
      </c>
      <c r="B485" s="49" t="str">
        <f>'04_MOTOR_CÁLCULO'!B1177</f>
        <v>N</v>
      </c>
      <c r="C485" s="101" t="str">
        <f>'04_MOTOR_CÁLCULO'!C1177</f>
        <v>Medição de consumo de energia elétrica, gás e água</v>
      </c>
      <c r="D485" s="14" t="str">
        <f>'04_MOTOR_CÁLCULO'!D1177</f>
        <v>SERVIÇOS DE ESCR</v>
      </c>
      <c r="E485" s="78" t="str">
        <f>'04_MOTOR_CÁLCULO'!N1177</f>
        <v>CNAE-STG</v>
      </c>
      <c r="F485" s="62">
        <f>'04_MOTOR_CÁLCULO'!K1177</f>
        <v>0.9</v>
      </c>
      <c r="G485" s="63">
        <f>'04_MOTOR_CÁLCULO'!K1177-1</f>
        <v>-9.9999999999999978E-2</v>
      </c>
      <c r="H485" s="17" t="str">
        <f>'04_MOTOR_CÁLCULO'!M1177</f>
        <v>Baixo</v>
      </c>
    </row>
    <row r="486" spans="1:8" ht="13.5" customHeight="1" x14ac:dyDescent="0.25">
      <c r="A486" s="24" t="str">
        <f>'04_MOTOR_CÁLCULO'!A1178</f>
        <v>8299-7/02</v>
      </c>
      <c r="B486" s="38" t="str">
        <f>'04_MOTOR_CÁLCULO'!B1178</f>
        <v>N</v>
      </c>
      <c r="C486" s="100" t="str">
        <f>'04_MOTOR_CÁLCULO'!C1178</f>
        <v>Emissão de vales-alimentação, vales-transporte e similares</v>
      </c>
      <c r="D486" s="25" t="str">
        <f>'04_MOTOR_CÁLCULO'!D1178</f>
        <v>SERVIÇOS DE ESCR</v>
      </c>
      <c r="E486" s="78" t="str">
        <f>'04_MOTOR_CÁLCULO'!N1178</f>
        <v>CNAE-STG</v>
      </c>
      <c r="F486" s="62">
        <f>'04_MOTOR_CÁLCULO'!K1178</f>
        <v>0.9</v>
      </c>
      <c r="G486" s="63">
        <f>'04_MOTOR_CÁLCULO'!K1178-1</f>
        <v>-9.9999999999999978E-2</v>
      </c>
      <c r="H486" s="17" t="str">
        <f>'04_MOTOR_CÁLCULO'!M1178</f>
        <v>Baixo</v>
      </c>
    </row>
    <row r="487" spans="1:8" ht="13.5" customHeight="1" x14ac:dyDescent="0.25">
      <c r="A487" s="13" t="str">
        <f>'04_MOTOR_CÁLCULO'!A1179</f>
        <v>8299-7/03</v>
      </c>
      <c r="B487" s="49" t="str">
        <f>'04_MOTOR_CÁLCULO'!B1179</f>
        <v>N</v>
      </c>
      <c r="C487" s="101" t="str">
        <f>'04_MOTOR_CÁLCULO'!C1179</f>
        <v>Serviços de gravação de carimbos, exceto confecção</v>
      </c>
      <c r="D487" s="14" t="str">
        <f>'04_MOTOR_CÁLCULO'!D1179</f>
        <v>SERVIÇOS DE ESCR</v>
      </c>
      <c r="E487" s="78" t="str">
        <f>'04_MOTOR_CÁLCULO'!N1179</f>
        <v>CNAE-STG</v>
      </c>
      <c r="F487" s="62">
        <f>'04_MOTOR_CÁLCULO'!K1179</f>
        <v>0.9</v>
      </c>
      <c r="G487" s="63">
        <f>'04_MOTOR_CÁLCULO'!K1179-1</f>
        <v>-9.9999999999999978E-2</v>
      </c>
      <c r="H487" s="17" t="str">
        <f>'04_MOTOR_CÁLCULO'!M1179</f>
        <v>Baixo</v>
      </c>
    </row>
    <row r="488" spans="1:8" ht="13.5" customHeight="1" x14ac:dyDescent="0.25">
      <c r="A488" s="24" t="str">
        <f>'04_MOTOR_CÁLCULO'!A1180</f>
        <v>8299-7/04</v>
      </c>
      <c r="B488" s="38" t="str">
        <f>'04_MOTOR_CÁLCULO'!B1180</f>
        <v>N</v>
      </c>
      <c r="C488" s="100" t="str">
        <f>'04_MOTOR_CÁLCULO'!C1180</f>
        <v>Leiloeiros independentes</v>
      </c>
      <c r="D488" s="25" t="str">
        <f>'04_MOTOR_CÁLCULO'!D1180</f>
        <v>SERVIÇOS DE ESCR</v>
      </c>
      <c r="E488" s="78" t="str">
        <f>'04_MOTOR_CÁLCULO'!N1180</f>
        <v>CNAE-STG</v>
      </c>
      <c r="F488" s="62">
        <f>'04_MOTOR_CÁLCULO'!K1180</f>
        <v>0.9</v>
      </c>
      <c r="G488" s="63">
        <f>'04_MOTOR_CÁLCULO'!K1180-1</f>
        <v>-9.9999999999999978E-2</v>
      </c>
      <c r="H488" s="17" t="str">
        <f>'04_MOTOR_CÁLCULO'!M1180</f>
        <v>Baixo</v>
      </c>
    </row>
    <row r="489" spans="1:8" ht="13.5" customHeight="1" x14ac:dyDescent="0.25">
      <c r="A489" s="13" t="str">
        <f>'04_MOTOR_CÁLCULO'!A1181</f>
        <v>8299-7/05</v>
      </c>
      <c r="B489" s="49" t="str">
        <f>'04_MOTOR_CÁLCULO'!B1181</f>
        <v>N</v>
      </c>
      <c r="C489" s="101" t="str">
        <f>'04_MOTOR_CÁLCULO'!C1181</f>
        <v>Serviços de levantamento de fundos sob contrato</v>
      </c>
      <c r="D489" s="14" t="str">
        <f>'04_MOTOR_CÁLCULO'!D1181</f>
        <v>SERVIÇOS DE ESCR</v>
      </c>
      <c r="E489" s="78" t="str">
        <f>'04_MOTOR_CÁLCULO'!N1181</f>
        <v>CNAE-STG</v>
      </c>
      <c r="F489" s="62">
        <f>'04_MOTOR_CÁLCULO'!K1181</f>
        <v>0.9</v>
      </c>
      <c r="G489" s="63">
        <f>'04_MOTOR_CÁLCULO'!K1181-1</f>
        <v>-9.9999999999999978E-2</v>
      </c>
      <c r="H489" s="17" t="str">
        <f>'04_MOTOR_CÁLCULO'!M1181</f>
        <v>Baixo</v>
      </c>
    </row>
    <row r="490" spans="1:8" ht="13.5" customHeight="1" x14ac:dyDescent="0.25">
      <c r="A490" s="24" t="str">
        <f>'04_MOTOR_CÁLCULO'!A1182</f>
        <v>8299-7/06</v>
      </c>
      <c r="B490" s="38" t="str">
        <f>'04_MOTOR_CÁLCULO'!B1182</f>
        <v>N</v>
      </c>
      <c r="C490" s="100" t="str">
        <f>'04_MOTOR_CÁLCULO'!C1182</f>
        <v>Casas lotéricas</v>
      </c>
      <c r="D490" s="25" t="str">
        <f>'04_MOTOR_CÁLCULO'!D1182</f>
        <v>SERVIÇOS DE ESCR</v>
      </c>
      <c r="E490" s="78" t="str">
        <f>'04_MOTOR_CÁLCULO'!N1182</f>
        <v>CNAE-STG</v>
      </c>
      <c r="F490" s="62">
        <f>'04_MOTOR_CÁLCULO'!K1182</f>
        <v>0.9</v>
      </c>
      <c r="G490" s="63">
        <f>'04_MOTOR_CÁLCULO'!K1182-1</f>
        <v>-9.9999999999999978E-2</v>
      </c>
      <c r="H490" s="17" t="str">
        <f>'04_MOTOR_CÁLCULO'!M1182</f>
        <v>Baixo</v>
      </c>
    </row>
    <row r="491" spans="1:8" ht="13.5" customHeight="1" x14ac:dyDescent="0.25">
      <c r="A491" s="13" t="str">
        <f>'04_MOTOR_CÁLCULO'!A1183</f>
        <v>8299-7/07</v>
      </c>
      <c r="B491" s="49" t="str">
        <f>'04_MOTOR_CÁLCULO'!B1183</f>
        <v>N</v>
      </c>
      <c r="C491" s="101" t="str">
        <f>'04_MOTOR_CÁLCULO'!C1183</f>
        <v>Salas de acesso à Internet</v>
      </c>
      <c r="D491" s="14" t="str">
        <f>'04_MOTOR_CÁLCULO'!D1183</f>
        <v>SERVIÇOS DE ESCR</v>
      </c>
      <c r="E491" s="78" t="str">
        <f>'04_MOTOR_CÁLCULO'!N1183</f>
        <v>CNAE-STG</v>
      </c>
      <c r="F491" s="62">
        <f>'04_MOTOR_CÁLCULO'!K1183</f>
        <v>0.9</v>
      </c>
      <c r="G491" s="63">
        <f>'04_MOTOR_CÁLCULO'!K1183-1</f>
        <v>-9.9999999999999978E-2</v>
      </c>
      <c r="H491" s="17" t="str">
        <f>'04_MOTOR_CÁLCULO'!M1183</f>
        <v>Baixo</v>
      </c>
    </row>
    <row r="492" spans="1:8" ht="13.5" customHeight="1" x14ac:dyDescent="0.25">
      <c r="A492" s="24" t="str">
        <f>'04_MOTOR_CÁLCULO'!A1184</f>
        <v>8299-7/99</v>
      </c>
      <c r="B492" s="38" t="str">
        <f>'04_MOTOR_CÁLCULO'!B1184</f>
        <v>N</v>
      </c>
      <c r="C492" s="100" t="str">
        <f>'04_MOTOR_CÁLCULO'!C1184</f>
        <v>Outras atividades de serviços prestados principalmente às empresas não especificadas anteriormente</v>
      </c>
      <c r="D492" s="25" t="str">
        <f>'04_MOTOR_CÁLCULO'!D1184</f>
        <v>SERVIÇOS DE ESCR</v>
      </c>
      <c r="E492" s="78" t="str">
        <f>'04_MOTOR_CÁLCULO'!N1184</f>
        <v>CNAE-STG</v>
      </c>
      <c r="F492" s="62">
        <f>'04_MOTOR_CÁLCULO'!K1184</f>
        <v>0.9</v>
      </c>
      <c r="G492" s="63">
        <f>'04_MOTOR_CÁLCULO'!K1184-1</f>
        <v>-9.9999999999999978E-2</v>
      </c>
      <c r="H492" s="17" t="str">
        <f>'04_MOTOR_CÁLCULO'!M1184</f>
        <v>Baixo</v>
      </c>
    </row>
    <row r="493" spans="1:8" ht="13.5" customHeight="1" x14ac:dyDescent="0.25">
      <c r="A493" s="13" t="str">
        <f>'04_MOTOR_CÁLCULO'!A1185</f>
        <v>8411-6/00</v>
      </c>
      <c r="B493" s="49" t="str">
        <f>'04_MOTOR_CÁLCULO'!B1185</f>
        <v>O</v>
      </c>
      <c r="C493" s="101" t="str">
        <f>'04_MOTOR_CÁLCULO'!C1185</f>
        <v>Administração pública em geral</v>
      </c>
      <c r="D493" s="14" t="str">
        <f>'04_MOTOR_CÁLCULO'!D1185</f>
        <v>ADMINISTRAÇÃO PÚ</v>
      </c>
      <c r="E493" s="78" t="str">
        <f>'04_MOTOR_CÁLCULO'!N1185</f>
        <v>CNAE-STG</v>
      </c>
      <c r="F493" s="62">
        <f>'04_MOTOR_CÁLCULO'!K1185</f>
        <v>0.9</v>
      </c>
      <c r="G493" s="63">
        <f>'04_MOTOR_CÁLCULO'!K1185-1</f>
        <v>-9.9999999999999978E-2</v>
      </c>
      <c r="H493" s="17" t="str">
        <f>'04_MOTOR_CÁLCULO'!M1185</f>
        <v>Baixo</v>
      </c>
    </row>
    <row r="494" spans="1:8" ht="13.5" customHeight="1" x14ac:dyDescent="0.25">
      <c r="A494" s="24" t="str">
        <f>'04_MOTOR_CÁLCULO'!A1186</f>
        <v>8412-4/00</v>
      </c>
      <c r="B494" s="38" t="str">
        <f>'04_MOTOR_CÁLCULO'!B1186</f>
        <v>O</v>
      </c>
      <c r="C494" s="100" t="str">
        <f>'04_MOTOR_CÁLCULO'!C1186</f>
        <v>Regulação das atividades de saúde, educação, serviços culturais e outros serviços sociais</v>
      </c>
      <c r="D494" s="25" t="str">
        <f>'04_MOTOR_CÁLCULO'!D1186</f>
        <v>ADMINISTRAÇÃO PÚ</v>
      </c>
      <c r="E494" s="78" t="str">
        <f>'04_MOTOR_CÁLCULO'!N1186</f>
        <v>CNAE-STG</v>
      </c>
      <c r="F494" s="62">
        <f>'04_MOTOR_CÁLCULO'!K1186</f>
        <v>0.9</v>
      </c>
      <c r="G494" s="63">
        <f>'04_MOTOR_CÁLCULO'!K1186-1</f>
        <v>-9.9999999999999978E-2</v>
      </c>
      <c r="H494" s="17" t="str">
        <f>'04_MOTOR_CÁLCULO'!M1186</f>
        <v>Baixo</v>
      </c>
    </row>
    <row r="495" spans="1:8" ht="13.5" customHeight="1" x14ac:dyDescent="0.25">
      <c r="A495" s="13" t="str">
        <f>'04_MOTOR_CÁLCULO'!A1187</f>
        <v>8413-2/00</v>
      </c>
      <c r="B495" s="49" t="str">
        <f>'04_MOTOR_CÁLCULO'!B1187</f>
        <v>O</v>
      </c>
      <c r="C495" s="101" t="str">
        <f>'04_MOTOR_CÁLCULO'!C1187</f>
        <v>Regulação das atividades econômicas</v>
      </c>
      <c r="D495" s="14" t="str">
        <f>'04_MOTOR_CÁLCULO'!D1187</f>
        <v>ADMINISTRAÇÃO PÚ</v>
      </c>
      <c r="E495" s="78" t="str">
        <f>'04_MOTOR_CÁLCULO'!N1187</f>
        <v>CNAE-STG</v>
      </c>
      <c r="F495" s="62">
        <f>'04_MOTOR_CÁLCULO'!K1187</f>
        <v>0.9</v>
      </c>
      <c r="G495" s="63">
        <f>'04_MOTOR_CÁLCULO'!K1187-1</f>
        <v>-9.9999999999999978E-2</v>
      </c>
      <c r="H495" s="17" t="str">
        <f>'04_MOTOR_CÁLCULO'!M1187</f>
        <v>Baixo</v>
      </c>
    </row>
    <row r="496" spans="1:8" ht="13.5" customHeight="1" x14ac:dyDescent="0.25">
      <c r="A496" s="24" t="str">
        <f>'04_MOTOR_CÁLCULO'!A1188</f>
        <v>8421-3/00</v>
      </c>
      <c r="B496" s="38" t="str">
        <f>'04_MOTOR_CÁLCULO'!B1188</f>
        <v>O</v>
      </c>
      <c r="C496" s="100" t="str">
        <f>'04_MOTOR_CÁLCULO'!C1188</f>
        <v>Relações exteriores</v>
      </c>
      <c r="D496" s="25" t="str">
        <f>'04_MOTOR_CÁLCULO'!D1188</f>
        <v>ADMINISTRAÇÃO PÚ</v>
      </c>
      <c r="E496" s="78" t="str">
        <f>'04_MOTOR_CÁLCULO'!N1188</f>
        <v>CNAE-STG</v>
      </c>
      <c r="F496" s="62">
        <f>'04_MOTOR_CÁLCULO'!K1188</f>
        <v>0.9</v>
      </c>
      <c r="G496" s="63">
        <f>'04_MOTOR_CÁLCULO'!K1188-1</f>
        <v>-9.9999999999999978E-2</v>
      </c>
      <c r="H496" s="17" t="str">
        <f>'04_MOTOR_CÁLCULO'!M1188</f>
        <v>Baixo</v>
      </c>
    </row>
    <row r="497" spans="1:8" ht="13.5" customHeight="1" x14ac:dyDescent="0.25">
      <c r="A497" s="13" t="str">
        <f>'04_MOTOR_CÁLCULO'!A1189</f>
        <v>8422-1/00</v>
      </c>
      <c r="B497" s="49" t="str">
        <f>'04_MOTOR_CÁLCULO'!B1189</f>
        <v>O</v>
      </c>
      <c r="C497" s="101" t="str">
        <f>'04_MOTOR_CÁLCULO'!C1189</f>
        <v>Defesa</v>
      </c>
      <c r="D497" s="14" t="str">
        <f>'04_MOTOR_CÁLCULO'!D1189</f>
        <v>ADMINISTRAÇÃO PÚ</v>
      </c>
      <c r="E497" s="78" t="str">
        <f>'04_MOTOR_CÁLCULO'!N1189</f>
        <v>CNAE-STG</v>
      </c>
      <c r="F497" s="62">
        <f>'04_MOTOR_CÁLCULO'!K1189</f>
        <v>0.9</v>
      </c>
      <c r="G497" s="63">
        <f>'04_MOTOR_CÁLCULO'!K1189-1</f>
        <v>-9.9999999999999978E-2</v>
      </c>
      <c r="H497" s="17" t="str">
        <f>'04_MOTOR_CÁLCULO'!M1189</f>
        <v>Baixo</v>
      </c>
    </row>
    <row r="498" spans="1:8" ht="13.5" customHeight="1" x14ac:dyDescent="0.25">
      <c r="A498" s="24" t="str">
        <f>'04_MOTOR_CÁLCULO'!A1190</f>
        <v>8423-0/00</v>
      </c>
      <c r="B498" s="38" t="str">
        <f>'04_MOTOR_CÁLCULO'!B1190</f>
        <v>O</v>
      </c>
      <c r="C498" s="100" t="str">
        <f>'04_MOTOR_CÁLCULO'!C1190</f>
        <v>Justiça</v>
      </c>
      <c r="D498" s="25" t="str">
        <f>'04_MOTOR_CÁLCULO'!D1190</f>
        <v>ADMINISTRAÇÃO PÚ</v>
      </c>
      <c r="E498" s="78" t="str">
        <f>'04_MOTOR_CÁLCULO'!N1190</f>
        <v>CNAE-STG</v>
      </c>
      <c r="F498" s="62">
        <f>'04_MOTOR_CÁLCULO'!K1190</f>
        <v>0.9</v>
      </c>
      <c r="G498" s="63">
        <f>'04_MOTOR_CÁLCULO'!K1190-1</f>
        <v>-9.9999999999999978E-2</v>
      </c>
      <c r="H498" s="17" t="str">
        <f>'04_MOTOR_CÁLCULO'!M1190</f>
        <v>Baixo</v>
      </c>
    </row>
    <row r="499" spans="1:8" ht="13.5" customHeight="1" x14ac:dyDescent="0.25">
      <c r="A499" s="13" t="str">
        <f>'04_MOTOR_CÁLCULO'!A1191</f>
        <v>8424-8/00</v>
      </c>
      <c r="B499" s="49" t="str">
        <f>'04_MOTOR_CÁLCULO'!B1191</f>
        <v>O</v>
      </c>
      <c r="C499" s="101" t="str">
        <f>'04_MOTOR_CÁLCULO'!C1191</f>
        <v>Segurança e ordem pública</v>
      </c>
      <c r="D499" s="14" t="str">
        <f>'04_MOTOR_CÁLCULO'!D1191</f>
        <v>ADMINISTRAÇÃO PÚ</v>
      </c>
      <c r="E499" s="78" t="str">
        <f>'04_MOTOR_CÁLCULO'!N1191</f>
        <v>CNAE-STG</v>
      </c>
      <c r="F499" s="62">
        <f>'04_MOTOR_CÁLCULO'!K1191</f>
        <v>0.9</v>
      </c>
      <c r="G499" s="63">
        <f>'04_MOTOR_CÁLCULO'!K1191-1</f>
        <v>-9.9999999999999978E-2</v>
      </c>
      <c r="H499" s="17" t="str">
        <f>'04_MOTOR_CÁLCULO'!M1191</f>
        <v>Baixo</v>
      </c>
    </row>
    <row r="500" spans="1:8" ht="13.5" customHeight="1" x14ac:dyDescent="0.25">
      <c r="A500" s="24" t="str">
        <f>'04_MOTOR_CÁLCULO'!A1192</f>
        <v>8425-6/00</v>
      </c>
      <c r="B500" s="38" t="str">
        <f>'04_MOTOR_CÁLCULO'!B1192</f>
        <v>O</v>
      </c>
      <c r="C500" s="100" t="str">
        <f>'04_MOTOR_CÁLCULO'!C1192</f>
        <v>Defesa Civil</v>
      </c>
      <c r="D500" s="25" t="str">
        <f>'04_MOTOR_CÁLCULO'!D1192</f>
        <v>ADMINISTRAÇÃO PÚ</v>
      </c>
      <c r="E500" s="78" t="str">
        <f>'04_MOTOR_CÁLCULO'!N1192</f>
        <v>CNAE-STG</v>
      </c>
      <c r="F500" s="62">
        <f>'04_MOTOR_CÁLCULO'!K1192</f>
        <v>0.9</v>
      </c>
      <c r="G500" s="63">
        <f>'04_MOTOR_CÁLCULO'!K1192-1</f>
        <v>-9.9999999999999978E-2</v>
      </c>
      <c r="H500" s="17" t="str">
        <f>'04_MOTOR_CÁLCULO'!M1192</f>
        <v>Baixo</v>
      </c>
    </row>
    <row r="501" spans="1:8" ht="13.5" customHeight="1" x14ac:dyDescent="0.25">
      <c r="A501" s="13" t="str">
        <f>'04_MOTOR_CÁLCULO'!A1193</f>
        <v>8430-2/00</v>
      </c>
      <c r="B501" s="49" t="str">
        <f>'04_MOTOR_CÁLCULO'!B1193</f>
        <v>O</v>
      </c>
      <c r="C501" s="101" t="str">
        <f>'04_MOTOR_CÁLCULO'!C1193</f>
        <v>Seguridade social obrigatória</v>
      </c>
      <c r="D501" s="14" t="str">
        <f>'04_MOTOR_CÁLCULO'!D1193</f>
        <v>ADMINISTRAÇÃO PÚ</v>
      </c>
      <c r="E501" s="78" t="str">
        <f>'04_MOTOR_CÁLCULO'!N1193</f>
        <v>CNAE-STG</v>
      </c>
      <c r="F501" s="62">
        <f>'04_MOTOR_CÁLCULO'!K1193</f>
        <v>0.9</v>
      </c>
      <c r="G501" s="63">
        <f>'04_MOTOR_CÁLCULO'!K1193-1</f>
        <v>-9.9999999999999978E-2</v>
      </c>
      <c r="H501" s="17" t="str">
        <f>'04_MOTOR_CÁLCULO'!M1193</f>
        <v>Baixo</v>
      </c>
    </row>
    <row r="502" spans="1:8" ht="13.5" customHeight="1" x14ac:dyDescent="0.25">
      <c r="A502" s="24" t="str">
        <f>'04_MOTOR_CÁLCULO'!A1194</f>
        <v>8511-2/00</v>
      </c>
      <c r="B502" s="38" t="str">
        <f>'04_MOTOR_CÁLCULO'!B1194</f>
        <v>P</v>
      </c>
      <c r="C502" s="100" t="str">
        <f>'04_MOTOR_CÁLCULO'!C1194</f>
        <v>Educação infantil - creche</v>
      </c>
      <c r="D502" s="25" t="str">
        <f>'04_MOTOR_CÁLCULO'!D1194</f>
        <v>EDUCAÇÃO</v>
      </c>
      <c r="E502" s="78" t="str">
        <f>'04_MOTOR_CÁLCULO'!N1194</f>
        <v>CNAE-STG</v>
      </c>
      <c r="F502" s="62">
        <f>'04_MOTOR_CÁLCULO'!K1194</f>
        <v>0.9</v>
      </c>
      <c r="G502" s="63">
        <f>'04_MOTOR_CÁLCULO'!K1194-1</f>
        <v>-9.9999999999999978E-2</v>
      </c>
      <c r="H502" s="17" t="str">
        <f>'04_MOTOR_CÁLCULO'!M1194</f>
        <v>Baixo</v>
      </c>
    </row>
    <row r="503" spans="1:8" ht="13.5" customHeight="1" x14ac:dyDescent="0.25">
      <c r="A503" s="13" t="str">
        <f>'04_MOTOR_CÁLCULO'!A1195</f>
        <v>8512-1/00</v>
      </c>
      <c r="B503" s="49" t="str">
        <f>'04_MOTOR_CÁLCULO'!B1195</f>
        <v>P</v>
      </c>
      <c r="C503" s="101" t="str">
        <f>'04_MOTOR_CÁLCULO'!C1195</f>
        <v>Educação infantil - pré-escola</v>
      </c>
      <c r="D503" s="14" t="str">
        <f>'04_MOTOR_CÁLCULO'!D1195</f>
        <v>EDUCAÇÃO</v>
      </c>
      <c r="E503" s="78" t="str">
        <f>'04_MOTOR_CÁLCULO'!N1195</f>
        <v>CNAE-STG</v>
      </c>
      <c r="F503" s="62">
        <f>'04_MOTOR_CÁLCULO'!K1195</f>
        <v>0.9</v>
      </c>
      <c r="G503" s="63">
        <f>'04_MOTOR_CÁLCULO'!K1195-1</f>
        <v>-9.9999999999999978E-2</v>
      </c>
      <c r="H503" s="17" t="str">
        <f>'04_MOTOR_CÁLCULO'!M1195</f>
        <v>Baixo</v>
      </c>
    </row>
    <row r="504" spans="1:8" ht="13.5" customHeight="1" x14ac:dyDescent="0.25">
      <c r="A504" s="24" t="str">
        <f>'04_MOTOR_CÁLCULO'!A1196</f>
        <v>8513-9/00</v>
      </c>
      <c r="B504" s="38" t="str">
        <f>'04_MOTOR_CÁLCULO'!B1196</f>
        <v>P</v>
      </c>
      <c r="C504" s="100" t="str">
        <f>'04_MOTOR_CÁLCULO'!C1196</f>
        <v>Ensino fundamental</v>
      </c>
      <c r="D504" s="25" t="str">
        <f>'04_MOTOR_CÁLCULO'!D1196</f>
        <v>EDUCAÇÃO</v>
      </c>
      <c r="E504" s="78" t="str">
        <f>'04_MOTOR_CÁLCULO'!N1196</f>
        <v>CNAE-STG</v>
      </c>
      <c r="F504" s="62">
        <f>'04_MOTOR_CÁLCULO'!K1196</f>
        <v>0.9</v>
      </c>
      <c r="G504" s="63">
        <f>'04_MOTOR_CÁLCULO'!K1196-1</f>
        <v>-9.9999999999999978E-2</v>
      </c>
      <c r="H504" s="17" t="str">
        <f>'04_MOTOR_CÁLCULO'!M1196</f>
        <v>Baixo</v>
      </c>
    </row>
    <row r="505" spans="1:8" ht="13.5" customHeight="1" x14ac:dyDescent="0.25">
      <c r="A505" s="13" t="str">
        <f>'04_MOTOR_CÁLCULO'!A1197</f>
        <v>8520-1/00</v>
      </c>
      <c r="B505" s="49" t="str">
        <f>'04_MOTOR_CÁLCULO'!B1197</f>
        <v>P</v>
      </c>
      <c r="C505" s="101" t="str">
        <f>'04_MOTOR_CÁLCULO'!C1197</f>
        <v>Ensino médio</v>
      </c>
      <c r="D505" s="14" t="str">
        <f>'04_MOTOR_CÁLCULO'!D1197</f>
        <v>EDUCAÇÃO</v>
      </c>
      <c r="E505" s="78" t="str">
        <f>'04_MOTOR_CÁLCULO'!N1197</f>
        <v>CNAE-STG</v>
      </c>
      <c r="F505" s="62">
        <f>'04_MOTOR_CÁLCULO'!K1197</f>
        <v>0.9</v>
      </c>
      <c r="G505" s="63">
        <f>'04_MOTOR_CÁLCULO'!K1197-1</f>
        <v>-9.9999999999999978E-2</v>
      </c>
      <c r="H505" s="17" t="str">
        <f>'04_MOTOR_CÁLCULO'!M1197</f>
        <v>Baixo</v>
      </c>
    </row>
    <row r="506" spans="1:8" ht="13.5" customHeight="1" x14ac:dyDescent="0.25">
      <c r="A506" s="24" t="str">
        <f>'04_MOTOR_CÁLCULO'!A1198</f>
        <v>8531-7/00</v>
      </c>
      <c r="B506" s="38" t="str">
        <f>'04_MOTOR_CÁLCULO'!B1198</f>
        <v>P</v>
      </c>
      <c r="C506" s="100" t="str">
        <f>'04_MOTOR_CÁLCULO'!C1198</f>
        <v>Educação superior - graduação</v>
      </c>
      <c r="D506" s="25" t="str">
        <f>'04_MOTOR_CÁLCULO'!D1198</f>
        <v>EDUCAÇÃO</v>
      </c>
      <c r="E506" s="78" t="str">
        <f>'04_MOTOR_CÁLCULO'!N1198</f>
        <v>CNAE-STG</v>
      </c>
      <c r="F506" s="62">
        <f>'04_MOTOR_CÁLCULO'!K1198</f>
        <v>0.9</v>
      </c>
      <c r="G506" s="63">
        <f>'04_MOTOR_CÁLCULO'!K1198-1</f>
        <v>-9.9999999999999978E-2</v>
      </c>
      <c r="H506" s="17" t="str">
        <f>'04_MOTOR_CÁLCULO'!M1198</f>
        <v>Baixo</v>
      </c>
    </row>
    <row r="507" spans="1:8" ht="13.5" customHeight="1" x14ac:dyDescent="0.25">
      <c r="A507" s="13" t="str">
        <f>'04_MOTOR_CÁLCULO'!A1199</f>
        <v>8532-5/00</v>
      </c>
      <c r="B507" s="49" t="str">
        <f>'04_MOTOR_CÁLCULO'!B1199</f>
        <v>P</v>
      </c>
      <c r="C507" s="101" t="str">
        <f>'04_MOTOR_CÁLCULO'!C1199</f>
        <v>Educação superior - graduação e pós-graduação</v>
      </c>
      <c r="D507" s="14" t="str">
        <f>'04_MOTOR_CÁLCULO'!D1199</f>
        <v>EDUCAÇÃO</v>
      </c>
      <c r="E507" s="78" t="str">
        <f>'04_MOTOR_CÁLCULO'!N1199</f>
        <v>CNAE-STG</v>
      </c>
      <c r="F507" s="62">
        <f>'04_MOTOR_CÁLCULO'!K1199</f>
        <v>0.9</v>
      </c>
      <c r="G507" s="63">
        <f>'04_MOTOR_CÁLCULO'!K1199-1</f>
        <v>-9.9999999999999978E-2</v>
      </c>
      <c r="H507" s="17" t="str">
        <f>'04_MOTOR_CÁLCULO'!M1199</f>
        <v>Baixo</v>
      </c>
    </row>
    <row r="508" spans="1:8" ht="13.5" customHeight="1" x14ac:dyDescent="0.25">
      <c r="A508" s="24" t="str">
        <f>'04_MOTOR_CÁLCULO'!A1200</f>
        <v>8533-3/00</v>
      </c>
      <c r="B508" s="38" t="str">
        <f>'04_MOTOR_CÁLCULO'!B1200</f>
        <v>P</v>
      </c>
      <c r="C508" s="100" t="str">
        <f>'04_MOTOR_CÁLCULO'!C1200</f>
        <v>Educação superior - pós-graduação e extensão</v>
      </c>
      <c r="D508" s="25" t="str">
        <f>'04_MOTOR_CÁLCULO'!D1200</f>
        <v>EDUCAÇÃO</v>
      </c>
      <c r="E508" s="78" t="str">
        <f>'04_MOTOR_CÁLCULO'!N1200</f>
        <v>CNAE-STG</v>
      </c>
      <c r="F508" s="62">
        <f>'04_MOTOR_CÁLCULO'!K1200</f>
        <v>0.9</v>
      </c>
      <c r="G508" s="63">
        <f>'04_MOTOR_CÁLCULO'!K1200-1</f>
        <v>-9.9999999999999978E-2</v>
      </c>
      <c r="H508" s="17" t="str">
        <f>'04_MOTOR_CÁLCULO'!M1200</f>
        <v>Baixo</v>
      </c>
    </row>
    <row r="509" spans="1:8" ht="13.5" customHeight="1" x14ac:dyDescent="0.25">
      <c r="A509" s="13" t="str">
        <f>'04_MOTOR_CÁLCULO'!A1201</f>
        <v>8541-4/00</v>
      </c>
      <c r="B509" s="49" t="str">
        <f>'04_MOTOR_CÁLCULO'!B1201</f>
        <v>P</v>
      </c>
      <c r="C509" s="101" t="str">
        <f>'04_MOTOR_CÁLCULO'!C1201</f>
        <v>Educação profissional de nível técnico</v>
      </c>
      <c r="D509" s="14" t="str">
        <f>'04_MOTOR_CÁLCULO'!D1201</f>
        <v>EDUCAÇÃO</v>
      </c>
      <c r="E509" s="78" t="str">
        <f>'04_MOTOR_CÁLCULO'!N1201</f>
        <v>CNAE-STG</v>
      </c>
      <c r="F509" s="62">
        <f>'04_MOTOR_CÁLCULO'!K1201</f>
        <v>0.9</v>
      </c>
      <c r="G509" s="63">
        <f>'04_MOTOR_CÁLCULO'!K1201-1</f>
        <v>-9.9999999999999978E-2</v>
      </c>
      <c r="H509" s="17" t="str">
        <f>'04_MOTOR_CÁLCULO'!M1201</f>
        <v>Baixo</v>
      </c>
    </row>
    <row r="510" spans="1:8" ht="13.5" customHeight="1" x14ac:dyDescent="0.25">
      <c r="A510" s="24" t="str">
        <f>'04_MOTOR_CÁLCULO'!A1202</f>
        <v>8542-2/00</v>
      </c>
      <c r="B510" s="38" t="str">
        <f>'04_MOTOR_CÁLCULO'!B1202</f>
        <v>P</v>
      </c>
      <c r="C510" s="100" t="str">
        <f>'04_MOTOR_CÁLCULO'!C1202</f>
        <v>Educação profissional de nível tecnológico</v>
      </c>
      <c r="D510" s="25" t="str">
        <f>'04_MOTOR_CÁLCULO'!D1202</f>
        <v>EDUCAÇÃO</v>
      </c>
      <c r="E510" s="78" t="str">
        <f>'04_MOTOR_CÁLCULO'!N1202</f>
        <v>CNAE-STG</v>
      </c>
      <c r="F510" s="62">
        <f>'04_MOTOR_CÁLCULO'!K1202</f>
        <v>0.9</v>
      </c>
      <c r="G510" s="63">
        <f>'04_MOTOR_CÁLCULO'!K1202-1</f>
        <v>-9.9999999999999978E-2</v>
      </c>
      <c r="H510" s="17" t="str">
        <f>'04_MOTOR_CÁLCULO'!M1202</f>
        <v>Baixo</v>
      </c>
    </row>
    <row r="511" spans="1:8" ht="13.5" customHeight="1" x14ac:dyDescent="0.25">
      <c r="A511" s="13" t="str">
        <f>'04_MOTOR_CÁLCULO'!A1203</f>
        <v>8550-3/01</v>
      </c>
      <c r="B511" s="49" t="str">
        <f>'04_MOTOR_CÁLCULO'!B1203</f>
        <v>P</v>
      </c>
      <c r="C511" s="101" t="str">
        <f>'04_MOTOR_CÁLCULO'!C1203</f>
        <v>Administração de caixas escolares</v>
      </c>
      <c r="D511" s="14" t="str">
        <f>'04_MOTOR_CÁLCULO'!D1203</f>
        <v>EDUCAÇÃO</v>
      </c>
      <c r="E511" s="78" t="str">
        <f>'04_MOTOR_CÁLCULO'!N1203</f>
        <v>CNAE-STG</v>
      </c>
      <c r="F511" s="62">
        <f>'04_MOTOR_CÁLCULO'!K1203</f>
        <v>0.9</v>
      </c>
      <c r="G511" s="63">
        <f>'04_MOTOR_CÁLCULO'!K1203-1</f>
        <v>-9.9999999999999978E-2</v>
      </c>
      <c r="H511" s="17" t="str">
        <f>'04_MOTOR_CÁLCULO'!M1203</f>
        <v>Baixo</v>
      </c>
    </row>
    <row r="512" spans="1:8" ht="13.5" customHeight="1" x14ac:dyDescent="0.25">
      <c r="A512" s="24" t="str">
        <f>'04_MOTOR_CÁLCULO'!A1204</f>
        <v>8550-3/02</v>
      </c>
      <c r="B512" s="38" t="str">
        <f>'04_MOTOR_CÁLCULO'!B1204</f>
        <v>P</v>
      </c>
      <c r="C512" s="100" t="str">
        <f>'04_MOTOR_CÁLCULO'!C1204</f>
        <v>Atividades de apoio à educação, exceto caixas escolares</v>
      </c>
      <c r="D512" s="25" t="str">
        <f>'04_MOTOR_CÁLCULO'!D1204</f>
        <v>EDUCAÇÃO</v>
      </c>
      <c r="E512" s="78" t="str">
        <f>'04_MOTOR_CÁLCULO'!N1204</f>
        <v>CNAE-STG</v>
      </c>
      <c r="F512" s="62">
        <f>'04_MOTOR_CÁLCULO'!K1204</f>
        <v>0.9</v>
      </c>
      <c r="G512" s="63">
        <f>'04_MOTOR_CÁLCULO'!K1204-1</f>
        <v>-9.9999999999999978E-2</v>
      </c>
      <c r="H512" s="17" t="str">
        <f>'04_MOTOR_CÁLCULO'!M1204</f>
        <v>Baixo</v>
      </c>
    </row>
    <row r="513" spans="1:8" ht="13.5" customHeight="1" x14ac:dyDescent="0.25">
      <c r="A513" s="13" t="str">
        <f>'04_MOTOR_CÁLCULO'!A1205</f>
        <v>8591-1/00</v>
      </c>
      <c r="B513" s="49" t="str">
        <f>'04_MOTOR_CÁLCULO'!B1205</f>
        <v>P</v>
      </c>
      <c r="C513" s="101" t="str">
        <f>'04_MOTOR_CÁLCULO'!C1205</f>
        <v>Ensino de esportes</v>
      </c>
      <c r="D513" s="14" t="str">
        <f>'04_MOTOR_CÁLCULO'!D1205</f>
        <v>EDUCAÇÃO</v>
      </c>
      <c r="E513" s="78" t="str">
        <f>'04_MOTOR_CÁLCULO'!N1205</f>
        <v>CNAE-STG</v>
      </c>
      <c r="F513" s="62">
        <f>'04_MOTOR_CÁLCULO'!K1205</f>
        <v>0.9</v>
      </c>
      <c r="G513" s="63">
        <f>'04_MOTOR_CÁLCULO'!K1205-1</f>
        <v>-9.9999999999999978E-2</v>
      </c>
      <c r="H513" s="17" t="str">
        <f>'04_MOTOR_CÁLCULO'!M1205</f>
        <v>Baixo</v>
      </c>
    </row>
    <row r="514" spans="1:8" ht="13.5" customHeight="1" x14ac:dyDescent="0.25">
      <c r="A514" s="24" t="str">
        <f>'04_MOTOR_CÁLCULO'!A1206</f>
        <v>8592-9/01</v>
      </c>
      <c r="B514" s="38" t="str">
        <f>'04_MOTOR_CÁLCULO'!B1206</f>
        <v>P</v>
      </c>
      <c r="C514" s="100" t="str">
        <f>'04_MOTOR_CÁLCULO'!C1206</f>
        <v>Ensino de dança</v>
      </c>
      <c r="D514" s="25" t="str">
        <f>'04_MOTOR_CÁLCULO'!D1206</f>
        <v>EDUCAÇÃO</v>
      </c>
      <c r="E514" s="78" t="str">
        <f>'04_MOTOR_CÁLCULO'!N1206</f>
        <v>CNAE-STG</v>
      </c>
      <c r="F514" s="62">
        <f>'04_MOTOR_CÁLCULO'!K1206</f>
        <v>0.9</v>
      </c>
      <c r="G514" s="63">
        <f>'04_MOTOR_CÁLCULO'!K1206-1</f>
        <v>-9.9999999999999978E-2</v>
      </c>
      <c r="H514" s="17" t="str">
        <f>'04_MOTOR_CÁLCULO'!M1206</f>
        <v>Baixo</v>
      </c>
    </row>
    <row r="515" spans="1:8" ht="13.5" customHeight="1" x14ac:dyDescent="0.25">
      <c r="A515" s="13" t="str">
        <f>'04_MOTOR_CÁLCULO'!A1207</f>
        <v>8592-9/02</v>
      </c>
      <c r="B515" s="49" t="str">
        <f>'04_MOTOR_CÁLCULO'!B1207</f>
        <v>P</v>
      </c>
      <c r="C515" s="101" t="str">
        <f>'04_MOTOR_CÁLCULO'!C1207</f>
        <v>Ensino de artes cênicas, exceto dança</v>
      </c>
      <c r="D515" s="14" t="str">
        <f>'04_MOTOR_CÁLCULO'!D1207</f>
        <v>EDUCAÇÃO</v>
      </c>
      <c r="E515" s="78" t="str">
        <f>'04_MOTOR_CÁLCULO'!N1207</f>
        <v>CNAE-STG</v>
      </c>
      <c r="F515" s="62">
        <f>'04_MOTOR_CÁLCULO'!K1207</f>
        <v>0.9</v>
      </c>
      <c r="G515" s="63">
        <f>'04_MOTOR_CÁLCULO'!K1207-1</f>
        <v>-9.9999999999999978E-2</v>
      </c>
      <c r="H515" s="17" t="str">
        <f>'04_MOTOR_CÁLCULO'!M1207</f>
        <v>Baixo</v>
      </c>
    </row>
    <row r="516" spans="1:8" ht="13.5" customHeight="1" x14ac:dyDescent="0.25">
      <c r="A516" s="24" t="str">
        <f>'04_MOTOR_CÁLCULO'!A1208</f>
        <v>8592-9/03</v>
      </c>
      <c r="B516" s="38" t="str">
        <f>'04_MOTOR_CÁLCULO'!B1208</f>
        <v>P</v>
      </c>
      <c r="C516" s="100" t="str">
        <f>'04_MOTOR_CÁLCULO'!C1208</f>
        <v>Ensino de música</v>
      </c>
      <c r="D516" s="25" t="str">
        <f>'04_MOTOR_CÁLCULO'!D1208</f>
        <v>EDUCAÇÃO</v>
      </c>
      <c r="E516" s="78" t="str">
        <f>'04_MOTOR_CÁLCULO'!N1208</f>
        <v>CNAE-STG</v>
      </c>
      <c r="F516" s="62">
        <f>'04_MOTOR_CÁLCULO'!K1208</f>
        <v>0.9</v>
      </c>
      <c r="G516" s="63">
        <f>'04_MOTOR_CÁLCULO'!K1208-1</f>
        <v>-9.9999999999999978E-2</v>
      </c>
      <c r="H516" s="17" t="str">
        <f>'04_MOTOR_CÁLCULO'!M1208</f>
        <v>Baixo</v>
      </c>
    </row>
    <row r="517" spans="1:8" ht="13.5" customHeight="1" x14ac:dyDescent="0.25">
      <c r="A517" s="13" t="str">
        <f>'04_MOTOR_CÁLCULO'!A1209</f>
        <v>8592-9/99</v>
      </c>
      <c r="B517" s="49" t="str">
        <f>'04_MOTOR_CÁLCULO'!B1209</f>
        <v>P</v>
      </c>
      <c r="C517" s="101" t="str">
        <f>'04_MOTOR_CÁLCULO'!C1209</f>
        <v>Ensino de arte e cultura não especificado anteriormente</v>
      </c>
      <c r="D517" s="14" t="str">
        <f>'04_MOTOR_CÁLCULO'!D1209</f>
        <v>EDUCAÇÃO</v>
      </c>
      <c r="E517" s="78" t="str">
        <f>'04_MOTOR_CÁLCULO'!N1209</f>
        <v>CNAE-STG</v>
      </c>
      <c r="F517" s="62">
        <f>'04_MOTOR_CÁLCULO'!K1209</f>
        <v>0.9</v>
      </c>
      <c r="G517" s="63">
        <f>'04_MOTOR_CÁLCULO'!K1209-1</f>
        <v>-9.9999999999999978E-2</v>
      </c>
      <c r="H517" s="17" t="str">
        <f>'04_MOTOR_CÁLCULO'!M1209</f>
        <v>Baixo</v>
      </c>
    </row>
    <row r="518" spans="1:8" ht="13.5" customHeight="1" x14ac:dyDescent="0.25">
      <c r="A518" s="24" t="str">
        <f>'04_MOTOR_CÁLCULO'!A1210</f>
        <v>8593-7/00</v>
      </c>
      <c r="B518" s="38" t="str">
        <f>'04_MOTOR_CÁLCULO'!B1210</f>
        <v>P</v>
      </c>
      <c r="C518" s="100" t="str">
        <f>'04_MOTOR_CÁLCULO'!C1210</f>
        <v>Ensino de idiomas</v>
      </c>
      <c r="D518" s="25" t="str">
        <f>'04_MOTOR_CÁLCULO'!D1210</f>
        <v>EDUCAÇÃO</v>
      </c>
      <c r="E518" s="78" t="str">
        <f>'04_MOTOR_CÁLCULO'!N1210</f>
        <v>CNAE-STG</v>
      </c>
      <c r="F518" s="62">
        <f>'04_MOTOR_CÁLCULO'!K1210</f>
        <v>0.9</v>
      </c>
      <c r="G518" s="63">
        <f>'04_MOTOR_CÁLCULO'!K1210-1</f>
        <v>-9.9999999999999978E-2</v>
      </c>
      <c r="H518" s="17" t="str">
        <f>'04_MOTOR_CÁLCULO'!M1210</f>
        <v>Baixo</v>
      </c>
    </row>
    <row r="519" spans="1:8" ht="13.5" customHeight="1" x14ac:dyDescent="0.25">
      <c r="A519" s="13" t="str">
        <f>'04_MOTOR_CÁLCULO'!A1211</f>
        <v>8599-6/01</v>
      </c>
      <c r="B519" s="49" t="str">
        <f>'04_MOTOR_CÁLCULO'!B1211</f>
        <v>P</v>
      </c>
      <c r="C519" s="101" t="str">
        <f>'04_MOTOR_CÁLCULO'!C1211</f>
        <v>Formação de condutores</v>
      </c>
      <c r="D519" s="14" t="str">
        <f>'04_MOTOR_CÁLCULO'!D1211</f>
        <v>EDUCAÇÃO</v>
      </c>
      <c r="E519" s="78" t="str">
        <f>'04_MOTOR_CÁLCULO'!N1211</f>
        <v>CNAE-STG</v>
      </c>
      <c r="F519" s="62">
        <f>'04_MOTOR_CÁLCULO'!K1211</f>
        <v>0.9</v>
      </c>
      <c r="G519" s="63">
        <f>'04_MOTOR_CÁLCULO'!K1211-1</f>
        <v>-9.9999999999999978E-2</v>
      </c>
      <c r="H519" s="17" t="str">
        <f>'04_MOTOR_CÁLCULO'!M1211</f>
        <v>Baixo</v>
      </c>
    </row>
    <row r="520" spans="1:8" ht="13.5" customHeight="1" x14ac:dyDescent="0.25">
      <c r="A520" s="24" t="str">
        <f>'04_MOTOR_CÁLCULO'!A1212</f>
        <v>8599-6/02</v>
      </c>
      <c r="B520" s="38" t="str">
        <f>'04_MOTOR_CÁLCULO'!B1212</f>
        <v>P</v>
      </c>
      <c r="C520" s="100" t="str">
        <f>'04_MOTOR_CÁLCULO'!C1212</f>
        <v>Cursos de pilotagem</v>
      </c>
      <c r="D520" s="25" t="str">
        <f>'04_MOTOR_CÁLCULO'!D1212</f>
        <v>EDUCAÇÃO</v>
      </c>
      <c r="E520" s="78" t="str">
        <f>'04_MOTOR_CÁLCULO'!N1212</f>
        <v>CNAE-STG</v>
      </c>
      <c r="F520" s="62">
        <f>'04_MOTOR_CÁLCULO'!K1212</f>
        <v>0.9</v>
      </c>
      <c r="G520" s="63">
        <f>'04_MOTOR_CÁLCULO'!K1212-1</f>
        <v>-9.9999999999999978E-2</v>
      </c>
      <c r="H520" s="17" t="str">
        <f>'04_MOTOR_CÁLCULO'!M1212</f>
        <v>Baixo</v>
      </c>
    </row>
    <row r="521" spans="1:8" ht="13.5" customHeight="1" x14ac:dyDescent="0.25">
      <c r="A521" s="13" t="str">
        <f>'04_MOTOR_CÁLCULO'!A1213</f>
        <v>8599-6/03</v>
      </c>
      <c r="B521" s="49" t="str">
        <f>'04_MOTOR_CÁLCULO'!B1213</f>
        <v>P</v>
      </c>
      <c r="C521" s="101" t="str">
        <f>'04_MOTOR_CÁLCULO'!C1213</f>
        <v>Treinamento em informática</v>
      </c>
      <c r="D521" s="14" t="str">
        <f>'04_MOTOR_CÁLCULO'!D1213</f>
        <v>EDUCAÇÃO</v>
      </c>
      <c r="E521" s="78" t="str">
        <f>'04_MOTOR_CÁLCULO'!N1213</f>
        <v>CNAE-STG</v>
      </c>
      <c r="F521" s="62">
        <f>'04_MOTOR_CÁLCULO'!K1213</f>
        <v>0.9</v>
      </c>
      <c r="G521" s="63">
        <f>'04_MOTOR_CÁLCULO'!K1213-1</f>
        <v>-9.9999999999999978E-2</v>
      </c>
      <c r="H521" s="17" t="str">
        <f>'04_MOTOR_CÁLCULO'!M1213</f>
        <v>Baixo</v>
      </c>
    </row>
    <row r="522" spans="1:8" ht="13.5" customHeight="1" x14ac:dyDescent="0.25">
      <c r="A522" s="24" t="str">
        <f>'04_MOTOR_CÁLCULO'!A1214</f>
        <v>8599-6/04</v>
      </c>
      <c r="B522" s="38" t="str">
        <f>'04_MOTOR_CÁLCULO'!B1214</f>
        <v>P</v>
      </c>
      <c r="C522" s="100" t="str">
        <f>'04_MOTOR_CÁLCULO'!C1214</f>
        <v>Treinamento em desenvolvimento profissional e gerencial</v>
      </c>
      <c r="D522" s="25" t="str">
        <f>'04_MOTOR_CÁLCULO'!D1214</f>
        <v>EDUCAÇÃO</v>
      </c>
      <c r="E522" s="78" t="str">
        <f>'04_MOTOR_CÁLCULO'!N1214</f>
        <v>CNAE-STG</v>
      </c>
      <c r="F522" s="62">
        <f>'04_MOTOR_CÁLCULO'!K1214</f>
        <v>0.9</v>
      </c>
      <c r="G522" s="63">
        <f>'04_MOTOR_CÁLCULO'!K1214-1</f>
        <v>-9.9999999999999978E-2</v>
      </c>
      <c r="H522" s="17" t="str">
        <f>'04_MOTOR_CÁLCULO'!M1214</f>
        <v>Baixo</v>
      </c>
    </row>
    <row r="523" spans="1:8" ht="13.5" customHeight="1" x14ac:dyDescent="0.25">
      <c r="A523" s="13" t="str">
        <f>'04_MOTOR_CÁLCULO'!A1215</f>
        <v>8599-6/05</v>
      </c>
      <c r="B523" s="49" t="str">
        <f>'04_MOTOR_CÁLCULO'!B1215</f>
        <v>P</v>
      </c>
      <c r="C523" s="101" t="str">
        <f>'04_MOTOR_CÁLCULO'!C1215</f>
        <v>Cursos preparatórios para concursos</v>
      </c>
      <c r="D523" s="14" t="str">
        <f>'04_MOTOR_CÁLCULO'!D1215</f>
        <v>EDUCAÇÃO</v>
      </c>
      <c r="E523" s="78" t="str">
        <f>'04_MOTOR_CÁLCULO'!N1215</f>
        <v>CNAE-STG</v>
      </c>
      <c r="F523" s="62">
        <f>'04_MOTOR_CÁLCULO'!K1215</f>
        <v>0.9</v>
      </c>
      <c r="G523" s="63">
        <f>'04_MOTOR_CÁLCULO'!K1215-1</f>
        <v>-9.9999999999999978E-2</v>
      </c>
      <c r="H523" s="17" t="str">
        <f>'04_MOTOR_CÁLCULO'!M1215</f>
        <v>Baixo</v>
      </c>
    </row>
    <row r="524" spans="1:8" ht="13.5" customHeight="1" x14ac:dyDescent="0.25">
      <c r="A524" s="24" t="str">
        <f>'04_MOTOR_CÁLCULO'!A1216</f>
        <v>8599-6/99</v>
      </c>
      <c r="B524" s="38" t="str">
        <f>'04_MOTOR_CÁLCULO'!B1216</f>
        <v>P</v>
      </c>
      <c r="C524" s="100" t="str">
        <f>'04_MOTOR_CÁLCULO'!C1216</f>
        <v>Outras atividades de ensino não especificadas anteriormente</v>
      </c>
      <c r="D524" s="25" t="str">
        <f>'04_MOTOR_CÁLCULO'!D1216</f>
        <v>EDUCAÇÃO</v>
      </c>
      <c r="E524" s="78" t="str">
        <f>'04_MOTOR_CÁLCULO'!N1216</f>
        <v>CNAE-STG</v>
      </c>
      <c r="F524" s="62">
        <f>'04_MOTOR_CÁLCULO'!K1216</f>
        <v>0.9</v>
      </c>
      <c r="G524" s="63">
        <f>'04_MOTOR_CÁLCULO'!K1216-1</f>
        <v>-9.9999999999999978E-2</v>
      </c>
      <c r="H524" s="17" t="str">
        <f>'04_MOTOR_CÁLCULO'!M1216</f>
        <v>Baixo</v>
      </c>
    </row>
    <row r="525" spans="1:8" ht="13.5" customHeight="1" x14ac:dyDescent="0.25">
      <c r="A525" s="13" t="str">
        <f>'04_MOTOR_CÁLCULO'!A1269</f>
        <v>8800-6/00</v>
      </c>
      <c r="B525" s="49" t="str">
        <f>'04_MOTOR_CÁLCULO'!B1269</f>
        <v>Q</v>
      </c>
      <c r="C525" s="101" t="str">
        <f>'04_MOTOR_CÁLCULO'!C1269</f>
        <v>Serviços de assistência social sem alojamento</v>
      </c>
      <c r="D525" s="14" t="str">
        <f>'04_MOTOR_CÁLCULO'!D1269</f>
        <v>SERVIÇOS DE ASSI</v>
      </c>
      <c r="E525" s="78" t="str">
        <f>'04_MOTOR_CÁLCULO'!N1269</f>
        <v>CNAE-STG</v>
      </c>
      <c r="F525" s="62">
        <f>'04_MOTOR_CÁLCULO'!K1269</f>
        <v>0.9</v>
      </c>
      <c r="G525" s="63">
        <f>'04_MOTOR_CÁLCULO'!K1269-1</f>
        <v>-9.9999999999999978E-2</v>
      </c>
      <c r="H525" s="17" t="str">
        <f>'04_MOTOR_CÁLCULO'!M1269</f>
        <v>Baixo</v>
      </c>
    </row>
    <row r="526" spans="1:8" ht="13.5" customHeight="1" x14ac:dyDescent="0.25">
      <c r="A526" s="24" t="str">
        <f>'04_MOTOR_CÁLCULO'!A1270</f>
        <v>9001-9/01</v>
      </c>
      <c r="B526" s="38" t="str">
        <f>'04_MOTOR_CÁLCULO'!B1270</f>
        <v>R</v>
      </c>
      <c r="C526" s="100" t="str">
        <f>'04_MOTOR_CÁLCULO'!C1270</f>
        <v>Produção teatral</v>
      </c>
      <c r="D526" s="25" t="str">
        <f>'04_MOTOR_CÁLCULO'!D1270</f>
        <v>ATIVIDADES ARTÍS</v>
      </c>
      <c r="E526" s="78" t="str">
        <f>'04_MOTOR_CÁLCULO'!N1270</f>
        <v>CNAE-STG</v>
      </c>
      <c r="F526" s="62">
        <f>'04_MOTOR_CÁLCULO'!K1270</f>
        <v>0.9</v>
      </c>
      <c r="G526" s="63">
        <f>'04_MOTOR_CÁLCULO'!K1270-1</f>
        <v>-9.9999999999999978E-2</v>
      </c>
      <c r="H526" s="17" t="str">
        <f>'04_MOTOR_CÁLCULO'!M1270</f>
        <v>Baixo</v>
      </c>
    </row>
    <row r="527" spans="1:8" ht="13.5" customHeight="1" x14ac:dyDescent="0.25">
      <c r="A527" s="13" t="str">
        <f>'04_MOTOR_CÁLCULO'!A1271</f>
        <v>9001-9/02</v>
      </c>
      <c r="B527" s="49" t="str">
        <f>'04_MOTOR_CÁLCULO'!B1271</f>
        <v>R</v>
      </c>
      <c r="C527" s="101" t="str">
        <f>'04_MOTOR_CÁLCULO'!C1271</f>
        <v>Produção musical</v>
      </c>
      <c r="D527" s="14" t="str">
        <f>'04_MOTOR_CÁLCULO'!D1271</f>
        <v>ATIVIDADES ARTÍS</v>
      </c>
      <c r="E527" s="78" t="str">
        <f>'04_MOTOR_CÁLCULO'!N1271</f>
        <v>CNAE-STG</v>
      </c>
      <c r="F527" s="62">
        <f>'04_MOTOR_CÁLCULO'!K1271</f>
        <v>0.9</v>
      </c>
      <c r="G527" s="63">
        <f>'04_MOTOR_CÁLCULO'!K1271-1</f>
        <v>-9.9999999999999978E-2</v>
      </c>
      <c r="H527" s="17" t="str">
        <f>'04_MOTOR_CÁLCULO'!M1271</f>
        <v>Baixo</v>
      </c>
    </row>
    <row r="528" spans="1:8" ht="13.5" customHeight="1" x14ac:dyDescent="0.25">
      <c r="A528" s="24" t="str">
        <f>'04_MOTOR_CÁLCULO'!A1272</f>
        <v>9001-9/03</v>
      </c>
      <c r="B528" s="38" t="str">
        <f>'04_MOTOR_CÁLCULO'!B1272</f>
        <v>R</v>
      </c>
      <c r="C528" s="100" t="str">
        <f>'04_MOTOR_CÁLCULO'!C1272</f>
        <v>Produção de espetáculos de dança</v>
      </c>
      <c r="D528" s="25" t="str">
        <f>'04_MOTOR_CÁLCULO'!D1272</f>
        <v>ATIVIDADES ARTÍS</v>
      </c>
      <c r="E528" s="78" t="str">
        <f>'04_MOTOR_CÁLCULO'!N1272</f>
        <v>CNAE-STG</v>
      </c>
      <c r="F528" s="62">
        <f>'04_MOTOR_CÁLCULO'!K1272</f>
        <v>0.9</v>
      </c>
      <c r="G528" s="63">
        <f>'04_MOTOR_CÁLCULO'!K1272-1</f>
        <v>-9.9999999999999978E-2</v>
      </c>
      <c r="H528" s="17" t="str">
        <f>'04_MOTOR_CÁLCULO'!M1272</f>
        <v>Baixo</v>
      </c>
    </row>
    <row r="529" spans="1:8" ht="13.5" customHeight="1" x14ac:dyDescent="0.25">
      <c r="A529" s="13" t="str">
        <f>'04_MOTOR_CÁLCULO'!A1273</f>
        <v>9001-9/04</v>
      </c>
      <c r="B529" s="49" t="str">
        <f>'04_MOTOR_CÁLCULO'!B1273</f>
        <v>R</v>
      </c>
      <c r="C529" s="101" t="str">
        <f>'04_MOTOR_CÁLCULO'!C1273</f>
        <v>Produção de espetáculos circenses, de marionetes e similares</v>
      </c>
      <c r="D529" s="14" t="str">
        <f>'04_MOTOR_CÁLCULO'!D1273</f>
        <v>ATIVIDADES ARTÍS</v>
      </c>
      <c r="E529" s="78" t="str">
        <f>'04_MOTOR_CÁLCULO'!N1273</f>
        <v>CNAE-STG</v>
      </c>
      <c r="F529" s="62">
        <f>'04_MOTOR_CÁLCULO'!K1273</f>
        <v>0.9</v>
      </c>
      <c r="G529" s="63">
        <f>'04_MOTOR_CÁLCULO'!K1273-1</f>
        <v>-9.9999999999999978E-2</v>
      </c>
      <c r="H529" s="17" t="str">
        <f>'04_MOTOR_CÁLCULO'!M1273</f>
        <v>Baixo</v>
      </c>
    </row>
    <row r="530" spans="1:8" ht="13.5" customHeight="1" x14ac:dyDescent="0.25">
      <c r="A530" s="24" t="str">
        <f>'04_MOTOR_CÁLCULO'!A1274</f>
        <v>9001-9/05</v>
      </c>
      <c r="B530" s="38" t="str">
        <f>'04_MOTOR_CÁLCULO'!B1274</f>
        <v>R</v>
      </c>
      <c r="C530" s="100" t="str">
        <f>'04_MOTOR_CÁLCULO'!C1274</f>
        <v>Produção de espetáculos de rodeios, vaquejadas e similares</v>
      </c>
      <c r="D530" s="25" t="str">
        <f>'04_MOTOR_CÁLCULO'!D1274</f>
        <v>ATIVIDADES ARTÍS</v>
      </c>
      <c r="E530" s="78" t="str">
        <f>'04_MOTOR_CÁLCULO'!N1274</f>
        <v>CNAE-STG</v>
      </c>
      <c r="F530" s="62">
        <f>'04_MOTOR_CÁLCULO'!K1274</f>
        <v>0.9</v>
      </c>
      <c r="G530" s="63">
        <f>'04_MOTOR_CÁLCULO'!K1274-1</f>
        <v>-9.9999999999999978E-2</v>
      </c>
      <c r="H530" s="17" t="str">
        <f>'04_MOTOR_CÁLCULO'!M1274</f>
        <v>Baixo</v>
      </c>
    </row>
    <row r="531" spans="1:8" ht="13.5" customHeight="1" x14ac:dyDescent="0.25">
      <c r="A531" s="13" t="str">
        <f>'04_MOTOR_CÁLCULO'!A1275</f>
        <v>9001-9/06</v>
      </c>
      <c r="B531" s="49" t="str">
        <f>'04_MOTOR_CÁLCULO'!B1275</f>
        <v>R</v>
      </c>
      <c r="C531" s="101" t="str">
        <f>'04_MOTOR_CÁLCULO'!C1275</f>
        <v>Atividades de sonorização e de iluminação</v>
      </c>
      <c r="D531" s="14" t="str">
        <f>'04_MOTOR_CÁLCULO'!D1275</f>
        <v>ATIVIDADES ARTÍS</v>
      </c>
      <c r="E531" s="78" t="str">
        <f>'04_MOTOR_CÁLCULO'!N1275</f>
        <v>CNAE-STG</v>
      </c>
      <c r="F531" s="62">
        <f>'04_MOTOR_CÁLCULO'!K1275</f>
        <v>0.9</v>
      </c>
      <c r="G531" s="63">
        <f>'04_MOTOR_CÁLCULO'!K1275-1</f>
        <v>-9.9999999999999978E-2</v>
      </c>
      <c r="H531" s="17" t="str">
        <f>'04_MOTOR_CÁLCULO'!M1275</f>
        <v>Baixo</v>
      </c>
    </row>
    <row r="532" spans="1:8" ht="13.5" customHeight="1" x14ac:dyDescent="0.25">
      <c r="A532" s="24" t="str">
        <f>'04_MOTOR_CÁLCULO'!A1276</f>
        <v>9001-9/99</v>
      </c>
      <c r="B532" s="38" t="str">
        <f>'04_MOTOR_CÁLCULO'!B1276</f>
        <v>R</v>
      </c>
      <c r="C532" s="100" t="str">
        <f>'04_MOTOR_CÁLCULO'!C1276</f>
        <v>Artes cênicas, espetáculos e atividades complementares não especificados anteriormente</v>
      </c>
      <c r="D532" s="25" t="str">
        <f>'04_MOTOR_CÁLCULO'!D1276</f>
        <v>ATIVIDADES ARTÍS</v>
      </c>
      <c r="E532" s="78" t="str">
        <f>'04_MOTOR_CÁLCULO'!N1276</f>
        <v>CNAE-STG</v>
      </c>
      <c r="F532" s="62">
        <f>'04_MOTOR_CÁLCULO'!K1276</f>
        <v>0.9</v>
      </c>
      <c r="G532" s="63">
        <f>'04_MOTOR_CÁLCULO'!K1276-1</f>
        <v>-9.9999999999999978E-2</v>
      </c>
      <c r="H532" s="17" t="str">
        <f>'04_MOTOR_CÁLCULO'!M1276</f>
        <v>Baixo</v>
      </c>
    </row>
    <row r="533" spans="1:8" ht="13.5" customHeight="1" x14ac:dyDescent="0.25">
      <c r="A533" s="13" t="str">
        <f>'04_MOTOR_CÁLCULO'!A1277</f>
        <v>9002-7/01</v>
      </c>
      <c r="B533" s="49" t="str">
        <f>'04_MOTOR_CÁLCULO'!B1277</f>
        <v>R</v>
      </c>
      <c r="C533" s="101" t="str">
        <f>'04_MOTOR_CÁLCULO'!C1277</f>
        <v>Atividades de artistas plásticos, jornalistas independentes e
escritores</v>
      </c>
      <c r="D533" s="14" t="str">
        <f>'04_MOTOR_CÁLCULO'!D1277</f>
        <v>ATIVIDADES ARTÍS</v>
      </c>
      <c r="E533" s="78" t="str">
        <f>'04_MOTOR_CÁLCULO'!N1277</f>
        <v>CNAE-STG</v>
      </c>
      <c r="F533" s="62">
        <f>'04_MOTOR_CÁLCULO'!K1277</f>
        <v>0.9</v>
      </c>
      <c r="G533" s="63">
        <f>'04_MOTOR_CÁLCULO'!K1277-1</f>
        <v>-9.9999999999999978E-2</v>
      </c>
      <c r="H533" s="17" t="str">
        <f>'04_MOTOR_CÁLCULO'!M1277</f>
        <v>Baixo</v>
      </c>
    </row>
    <row r="534" spans="1:8" ht="13.5" customHeight="1" x14ac:dyDescent="0.25">
      <c r="A534" s="24" t="str">
        <f>'04_MOTOR_CÁLCULO'!A1278</f>
        <v>9002-7/02</v>
      </c>
      <c r="B534" s="38" t="str">
        <f>'04_MOTOR_CÁLCULO'!B1278</f>
        <v>R</v>
      </c>
      <c r="C534" s="100" t="str">
        <f>'04_MOTOR_CÁLCULO'!C1278</f>
        <v>Restauração de obras de arte</v>
      </c>
      <c r="D534" s="25" t="str">
        <f>'04_MOTOR_CÁLCULO'!D1278</f>
        <v>ATIVIDADES ARTÍS</v>
      </c>
      <c r="E534" s="78" t="str">
        <f>'04_MOTOR_CÁLCULO'!N1278</f>
        <v>CNAE-STG</v>
      </c>
      <c r="F534" s="62">
        <f>'04_MOTOR_CÁLCULO'!K1278</f>
        <v>0.9</v>
      </c>
      <c r="G534" s="63">
        <f>'04_MOTOR_CÁLCULO'!K1278-1</f>
        <v>-9.9999999999999978E-2</v>
      </c>
      <c r="H534" s="17" t="str">
        <f>'04_MOTOR_CÁLCULO'!M1278</f>
        <v>Baixo</v>
      </c>
    </row>
    <row r="535" spans="1:8" ht="13.5" customHeight="1" x14ac:dyDescent="0.25">
      <c r="A535" s="13" t="str">
        <f>'04_MOTOR_CÁLCULO'!A1279</f>
        <v>9003-5/00</v>
      </c>
      <c r="B535" s="49" t="str">
        <f>'04_MOTOR_CÁLCULO'!B1279</f>
        <v>R</v>
      </c>
      <c r="C535" s="101" t="str">
        <f>'04_MOTOR_CÁLCULO'!C1279</f>
        <v>Gestão de espaços para artes cênicas, espetáculos e outras atividades artísticas</v>
      </c>
      <c r="D535" s="14" t="str">
        <f>'04_MOTOR_CÁLCULO'!D1279</f>
        <v>ATIVIDADES ARTÍS</v>
      </c>
      <c r="E535" s="78" t="str">
        <f>'04_MOTOR_CÁLCULO'!N1279</f>
        <v>CNAE-STG</v>
      </c>
      <c r="F535" s="62">
        <f>'04_MOTOR_CÁLCULO'!K1279</f>
        <v>0.9</v>
      </c>
      <c r="G535" s="63">
        <f>'04_MOTOR_CÁLCULO'!K1279-1</f>
        <v>-9.9999999999999978E-2</v>
      </c>
      <c r="H535" s="17" t="str">
        <f>'04_MOTOR_CÁLCULO'!M1279</f>
        <v>Baixo</v>
      </c>
    </row>
    <row r="536" spans="1:8" ht="13.5" customHeight="1" x14ac:dyDescent="0.25">
      <c r="A536" s="24" t="str">
        <f>'04_MOTOR_CÁLCULO'!A1280</f>
        <v>9101-5/00</v>
      </c>
      <c r="B536" s="38" t="str">
        <f>'04_MOTOR_CÁLCULO'!B1280</f>
        <v>R</v>
      </c>
      <c r="C536" s="100" t="str">
        <f>'04_MOTOR_CÁLCULO'!C1280</f>
        <v>Atividades de bibliotecas e arquivos</v>
      </c>
      <c r="D536" s="25" t="str">
        <f>'04_MOTOR_CÁLCULO'!D1280</f>
        <v>ATIVIDADES LIGAD</v>
      </c>
      <c r="E536" s="78" t="str">
        <f>'04_MOTOR_CÁLCULO'!N1280</f>
        <v>CNAE-STG</v>
      </c>
      <c r="F536" s="62">
        <f>'04_MOTOR_CÁLCULO'!K1280</f>
        <v>0.9</v>
      </c>
      <c r="G536" s="63">
        <f>'04_MOTOR_CÁLCULO'!K1280-1</f>
        <v>-9.9999999999999978E-2</v>
      </c>
      <c r="H536" s="17" t="str">
        <f>'04_MOTOR_CÁLCULO'!M1280</f>
        <v>Baixo</v>
      </c>
    </row>
    <row r="537" spans="1:8" ht="13.5" customHeight="1" x14ac:dyDescent="0.25">
      <c r="A537" s="13" t="str">
        <f>'04_MOTOR_CÁLCULO'!A1281</f>
        <v>9102-3/01</v>
      </c>
      <c r="B537" s="49" t="str">
        <f>'04_MOTOR_CÁLCULO'!B1281</f>
        <v>R</v>
      </c>
      <c r="C537" s="101" t="str">
        <f>'04_MOTOR_CÁLCULO'!C1281</f>
        <v>Atividades de museus e de exploração de lugares e prédios históricos e atrações similares</v>
      </c>
      <c r="D537" s="14" t="str">
        <f>'04_MOTOR_CÁLCULO'!D1281</f>
        <v>ATIVIDADES LIGAD</v>
      </c>
      <c r="E537" s="78" t="str">
        <f>'04_MOTOR_CÁLCULO'!N1281</f>
        <v>CNAE-STG</v>
      </c>
      <c r="F537" s="62">
        <f>'04_MOTOR_CÁLCULO'!K1281</f>
        <v>0.9</v>
      </c>
      <c r="G537" s="63">
        <f>'04_MOTOR_CÁLCULO'!K1281-1</f>
        <v>-9.9999999999999978E-2</v>
      </c>
      <c r="H537" s="17" t="str">
        <f>'04_MOTOR_CÁLCULO'!M1281</f>
        <v>Baixo</v>
      </c>
    </row>
    <row r="538" spans="1:8" ht="13.5" customHeight="1" x14ac:dyDescent="0.25">
      <c r="A538" s="24" t="str">
        <f>'04_MOTOR_CÁLCULO'!A1282</f>
        <v>9102-3/02</v>
      </c>
      <c r="B538" s="38" t="str">
        <f>'04_MOTOR_CÁLCULO'!B1282</f>
        <v>R</v>
      </c>
      <c r="C538" s="100" t="str">
        <f>'04_MOTOR_CÁLCULO'!C1282</f>
        <v>Restauração e conservação de lugares e prédios históricos</v>
      </c>
      <c r="D538" s="25" t="str">
        <f>'04_MOTOR_CÁLCULO'!D1282</f>
        <v>ATIVIDADES LIGAD</v>
      </c>
      <c r="E538" s="78" t="str">
        <f>'04_MOTOR_CÁLCULO'!N1282</f>
        <v>CNAE-STG</v>
      </c>
      <c r="F538" s="62">
        <f>'04_MOTOR_CÁLCULO'!K1282</f>
        <v>0.9</v>
      </c>
      <c r="G538" s="63">
        <f>'04_MOTOR_CÁLCULO'!K1282-1</f>
        <v>-9.9999999999999978E-2</v>
      </c>
      <c r="H538" s="17" t="str">
        <f>'04_MOTOR_CÁLCULO'!M1282</f>
        <v>Baixo</v>
      </c>
    </row>
    <row r="539" spans="1:8" ht="13.5" customHeight="1" x14ac:dyDescent="0.25">
      <c r="A539" s="13" t="str">
        <f>'04_MOTOR_CÁLCULO'!A1283</f>
        <v>9103-1/00</v>
      </c>
      <c r="B539" s="49" t="str">
        <f>'04_MOTOR_CÁLCULO'!B1283</f>
        <v>R</v>
      </c>
      <c r="C539" s="101" t="str">
        <f>'04_MOTOR_CÁLCULO'!C1283</f>
        <v>Atividades de jardins botânicos, zoológicos, parques nacionais, reservas ecológicas e áreas de proteção ambiental</v>
      </c>
      <c r="D539" s="14" t="str">
        <f>'04_MOTOR_CÁLCULO'!D1283</f>
        <v>ATIVIDADES LIGAD</v>
      </c>
      <c r="E539" s="78" t="str">
        <f>'04_MOTOR_CÁLCULO'!N1283</f>
        <v>CNAE-STG</v>
      </c>
      <c r="F539" s="62">
        <f>'04_MOTOR_CÁLCULO'!K1283</f>
        <v>0.9</v>
      </c>
      <c r="G539" s="63">
        <f>'04_MOTOR_CÁLCULO'!K1283-1</f>
        <v>-9.9999999999999978E-2</v>
      </c>
      <c r="H539" s="17" t="str">
        <f>'04_MOTOR_CÁLCULO'!M1283</f>
        <v>Baixo</v>
      </c>
    </row>
    <row r="540" spans="1:8" ht="13.5" customHeight="1" x14ac:dyDescent="0.25">
      <c r="A540" s="24" t="str">
        <f>'04_MOTOR_CÁLCULO'!A1284</f>
        <v>9200-3/01</v>
      </c>
      <c r="B540" s="38" t="str">
        <f>'04_MOTOR_CÁLCULO'!B1284</f>
        <v>R</v>
      </c>
      <c r="C540" s="100" t="str">
        <f>'04_MOTOR_CÁLCULO'!C1284</f>
        <v>Casas de bingo</v>
      </c>
      <c r="D540" s="25" t="str">
        <f>'04_MOTOR_CÁLCULO'!D1284</f>
        <v>ATIVIDADES DE EX</v>
      </c>
      <c r="E540" s="78" t="str">
        <f>'04_MOTOR_CÁLCULO'!N1284</f>
        <v>CNAE-STG</v>
      </c>
      <c r="F540" s="62">
        <f>'04_MOTOR_CÁLCULO'!K1284</f>
        <v>0.9</v>
      </c>
      <c r="G540" s="63">
        <f>'04_MOTOR_CÁLCULO'!K1284-1</f>
        <v>-9.9999999999999978E-2</v>
      </c>
      <c r="H540" s="17" t="str">
        <f>'04_MOTOR_CÁLCULO'!M1284</f>
        <v>Baixo</v>
      </c>
    </row>
    <row r="541" spans="1:8" ht="13.5" customHeight="1" x14ac:dyDescent="0.25">
      <c r="A541" s="13" t="str">
        <f>'04_MOTOR_CÁLCULO'!A1285</f>
        <v>9200-3/02</v>
      </c>
      <c r="B541" s="49" t="str">
        <f>'04_MOTOR_CÁLCULO'!B1285</f>
        <v>R</v>
      </c>
      <c r="C541" s="101" t="str">
        <f>'04_MOTOR_CÁLCULO'!C1285</f>
        <v>Exploração de apostas em corridas de cavalos</v>
      </c>
      <c r="D541" s="14" t="str">
        <f>'04_MOTOR_CÁLCULO'!D1285</f>
        <v>ATIVIDADES DE EX</v>
      </c>
      <c r="E541" s="78" t="str">
        <f>'04_MOTOR_CÁLCULO'!N1285</f>
        <v>CNAE-STG</v>
      </c>
      <c r="F541" s="62">
        <f>'04_MOTOR_CÁLCULO'!K1285</f>
        <v>0.9</v>
      </c>
      <c r="G541" s="63">
        <f>'04_MOTOR_CÁLCULO'!K1285-1</f>
        <v>-9.9999999999999978E-2</v>
      </c>
      <c r="H541" s="17" t="str">
        <f>'04_MOTOR_CÁLCULO'!M1285</f>
        <v>Baixo</v>
      </c>
    </row>
    <row r="542" spans="1:8" ht="13.5" customHeight="1" x14ac:dyDescent="0.25">
      <c r="A542" s="24" t="str">
        <f>'04_MOTOR_CÁLCULO'!A1286</f>
        <v>9200-3/99</v>
      </c>
      <c r="B542" s="38" t="str">
        <f>'04_MOTOR_CÁLCULO'!B1286</f>
        <v>R</v>
      </c>
      <c r="C542" s="100" t="str">
        <f>'04_MOTOR_CÁLCULO'!C1286</f>
        <v>Exploração de jogos de azar e apostas não especificados anteriormente</v>
      </c>
      <c r="D542" s="25" t="str">
        <f>'04_MOTOR_CÁLCULO'!D1286</f>
        <v>ATIVIDADES DE EX</v>
      </c>
      <c r="E542" s="78" t="str">
        <f>'04_MOTOR_CÁLCULO'!N1286</f>
        <v>CNAE-STG</v>
      </c>
      <c r="F542" s="62">
        <f>'04_MOTOR_CÁLCULO'!K1286</f>
        <v>0.9</v>
      </c>
      <c r="G542" s="63">
        <f>'04_MOTOR_CÁLCULO'!K1286-1</f>
        <v>-9.9999999999999978E-2</v>
      </c>
      <c r="H542" s="17" t="str">
        <f>'04_MOTOR_CÁLCULO'!M1286</f>
        <v>Baixo</v>
      </c>
    </row>
    <row r="543" spans="1:8" ht="13.5" customHeight="1" x14ac:dyDescent="0.25">
      <c r="A543" s="13" t="str">
        <f>'04_MOTOR_CÁLCULO'!A1298</f>
        <v>9411-1/00</v>
      </c>
      <c r="B543" s="49" t="str">
        <f>'04_MOTOR_CÁLCULO'!B1298</f>
        <v>S</v>
      </c>
      <c r="C543" s="101" t="str">
        <f>'04_MOTOR_CÁLCULO'!C1298</f>
        <v>Atividades de organizações associativas patronais e empresariais</v>
      </c>
      <c r="D543" s="14" t="str">
        <f>'04_MOTOR_CÁLCULO'!D1298</f>
        <v>ATIVIDADES DE OR</v>
      </c>
      <c r="E543" s="78" t="str">
        <f>'04_MOTOR_CÁLCULO'!N1298</f>
        <v>CNAE-STG</v>
      </c>
      <c r="F543" s="62">
        <f>'04_MOTOR_CÁLCULO'!K1298</f>
        <v>0.9</v>
      </c>
      <c r="G543" s="63">
        <f>'04_MOTOR_CÁLCULO'!K1298-1</f>
        <v>-9.9999999999999978E-2</v>
      </c>
      <c r="H543" s="17" t="str">
        <f>'04_MOTOR_CÁLCULO'!M1298</f>
        <v>Baixo</v>
      </c>
    </row>
    <row r="544" spans="1:8" ht="13.5" customHeight="1" x14ac:dyDescent="0.25">
      <c r="A544" s="24" t="str">
        <f>'04_MOTOR_CÁLCULO'!A1299</f>
        <v>9412-0/01</v>
      </c>
      <c r="B544" s="38" t="str">
        <f>'04_MOTOR_CÁLCULO'!B1299</f>
        <v>S</v>
      </c>
      <c r="C544" s="100" t="str">
        <f>'04_MOTOR_CÁLCULO'!C1299</f>
        <v>Atividades de fiscalização profissional</v>
      </c>
      <c r="D544" s="25" t="str">
        <f>'04_MOTOR_CÁLCULO'!D1299</f>
        <v>ATIVIDADES DE OR</v>
      </c>
      <c r="E544" s="78" t="str">
        <f>'04_MOTOR_CÁLCULO'!N1299</f>
        <v>CNAE-STG</v>
      </c>
      <c r="F544" s="62">
        <f>'04_MOTOR_CÁLCULO'!K1299</f>
        <v>0.9</v>
      </c>
      <c r="G544" s="63">
        <f>'04_MOTOR_CÁLCULO'!K1299-1</f>
        <v>-9.9999999999999978E-2</v>
      </c>
      <c r="H544" s="17" t="str">
        <f>'04_MOTOR_CÁLCULO'!M1299</f>
        <v>Baixo</v>
      </c>
    </row>
    <row r="545" spans="1:8" ht="13.5" customHeight="1" x14ac:dyDescent="0.25">
      <c r="A545" s="13" t="str">
        <f>'04_MOTOR_CÁLCULO'!A1300</f>
        <v>9412-0/99</v>
      </c>
      <c r="B545" s="49" t="str">
        <f>'04_MOTOR_CÁLCULO'!B1300</f>
        <v>S</v>
      </c>
      <c r="C545" s="101" t="str">
        <f>'04_MOTOR_CÁLCULO'!C1300</f>
        <v>Outras atividades associativas profissionais</v>
      </c>
      <c r="D545" s="14" t="str">
        <f>'04_MOTOR_CÁLCULO'!D1300</f>
        <v>ATIVIDADES DE OR</v>
      </c>
      <c r="E545" s="78" t="str">
        <f>'04_MOTOR_CÁLCULO'!N1300</f>
        <v>CNAE-STG</v>
      </c>
      <c r="F545" s="62">
        <f>'04_MOTOR_CÁLCULO'!K1300</f>
        <v>0.9</v>
      </c>
      <c r="G545" s="63">
        <f>'04_MOTOR_CÁLCULO'!K1300-1</f>
        <v>-9.9999999999999978E-2</v>
      </c>
      <c r="H545" s="17" t="str">
        <f>'04_MOTOR_CÁLCULO'!M1300</f>
        <v>Baixo</v>
      </c>
    </row>
    <row r="546" spans="1:8" ht="13.5" customHeight="1" x14ac:dyDescent="0.25">
      <c r="A546" s="24" t="str">
        <f>'04_MOTOR_CÁLCULO'!A1301</f>
        <v>9420-1/00</v>
      </c>
      <c r="B546" s="38" t="str">
        <f>'04_MOTOR_CÁLCULO'!B1301</f>
        <v>S</v>
      </c>
      <c r="C546" s="100" t="str">
        <f>'04_MOTOR_CÁLCULO'!C1301</f>
        <v>Atividades de organizações sindicais</v>
      </c>
      <c r="D546" s="25" t="str">
        <f>'04_MOTOR_CÁLCULO'!D1301</f>
        <v>ATIVIDADES DE OR</v>
      </c>
      <c r="E546" s="78" t="str">
        <f>'04_MOTOR_CÁLCULO'!N1301</f>
        <v>CNAE-STG</v>
      </c>
      <c r="F546" s="62">
        <f>'04_MOTOR_CÁLCULO'!K1301</f>
        <v>0.9</v>
      </c>
      <c r="G546" s="63">
        <f>'04_MOTOR_CÁLCULO'!K1301-1</f>
        <v>-9.9999999999999978E-2</v>
      </c>
      <c r="H546" s="17" t="str">
        <f>'04_MOTOR_CÁLCULO'!M1301</f>
        <v>Baixo</v>
      </c>
    </row>
    <row r="547" spans="1:8" ht="13.5" customHeight="1" x14ac:dyDescent="0.25">
      <c r="A547" s="13" t="str">
        <f>'04_MOTOR_CÁLCULO'!A1302</f>
        <v>9430-8/00</v>
      </c>
      <c r="B547" s="49" t="str">
        <f>'04_MOTOR_CÁLCULO'!B1302</f>
        <v>S</v>
      </c>
      <c r="C547" s="101" t="str">
        <f>'04_MOTOR_CÁLCULO'!C1302</f>
        <v>Atividades de associações de defesa de direitos sociais</v>
      </c>
      <c r="D547" s="14" t="str">
        <f>'04_MOTOR_CÁLCULO'!D1302</f>
        <v>ATIVIDADES DE OR</v>
      </c>
      <c r="E547" s="78" t="str">
        <f>'04_MOTOR_CÁLCULO'!N1302</f>
        <v>CNAE-STG</v>
      </c>
      <c r="F547" s="62">
        <f>'04_MOTOR_CÁLCULO'!K1302</f>
        <v>0.9</v>
      </c>
      <c r="G547" s="63">
        <f>'04_MOTOR_CÁLCULO'!K1302-1</f>
        <v>-9.9999999999999978E-2</v>
      </c>
      <c r="H547" s="17" t="str">
        <f>'04_MOTOR_CÁLCULO'!M1302</f>
        <v>Baixo</v>
      </c>
    </row>
    <row r="548" spans="1:8" ht="13.5" customHeight="1" x14ac:dyDescent="0.25">
      <c r="A548" s="24" t="str">
        <f>'04_MOTOR_CÁLCULO'!A1303</f>
        <v>9491-0/00</v>
      </c>
      <c r="B548" s="38" t="str">
        <f>'04_MOTOR_CÁLCULO'!B1303</f>
        <v>S</v>
      </c>
      <c r="C548" s="100" t="str">
        <f>'04_MOTOR_CÁLCULO'!C1303</f>
        <v>Atividades de organizações religiosas ou filosóficas</v>
      </c>
      <c r="D548" s="25" t="str">
        <f>'04_MOTOR_CÁLCULO'!D1303</f>
        <v>ATIVIDADES DE OR</v>
      </c>
      <c r="E548" s="78" t="str">
        <f>'04_MOTOR_CÁLCULO'!N1303</f>
        <v>CNAE-STG</v>
      </c>
      <c r="F548" s="62">
        <f>'04_MOTOR_CÁLCULO'!K1303</f>
        <v>0.9</v>
      </c>
      <c r="G548" s="63">
        <f>'04_MOTOR_CÁLCULO'!K1303-1</f>
        <v>-9.9999999999999978E-2</v>
      </c>
      <c r="H548" s="17" t="str">
        <f>'04_MOTOR_CÁLCULO'!M1303</f>
        <v>Baixo</v>
      </c>
    </row>
    <row r="549" spans="1:8" ht="13.5" customHeight="1" x14ac:dyDescent="0.25">
      <c r="A549" s="13" t="str">
        <f>'04_MOTOR_CÁLCULO'!A1304</f>
        <v>9492-8/00</v>
      </c>
      <c r="B549" s="49" t="str">
        <f>'04_MOTOR_CÁLCULO'!B1304</f>
        <v>S</v>
      </c>
      <c r="C549" s="101" t="str">
        <f>'04_MOTOR_CÁLCULO'!C1304</f>
        <v>Atividades de organizações políticas</v>
      </c>
      <c r="D549" s="14" t="str">
        <f>'04_MOTOR_CÁLCULO'!D1304</f>
        <v>ATIVIDADES DE OR</v>
      </c>
      <c r="E549" s="78" t="str">
        <f>'04_MOTOR_CÁLCULO'!N1304</f>
        <v>CNAE-STG</v>
      </c>
      <c r="F549" s="62">
        <f>'04_MOTOR_CÁLCULO'!K1304</f>
        <v>0.9</v>
      </c>
      <c r="G549" s="63">
        <f>'04_MOTOR_CÁLCULO'!K1304-1</f>
        <v>-9.9999999999999978E-2</v>
      </c>
      <c r="H549" s="17" t="str">
        <f>'04_MOTOR_CÁLCULO'!M1304</f>
        <v>Baixo</v>
      </c>
    </row>
    <row r="550" spans="1:8" ht="13.5" customHeight="1" x14ac:dyDescent="0.25">
      <c r="A550" s="24" t="str">
        <f>'04_MOTOR_CÁLCULO'!A1305</f>
        <v>9493-6/00</v>
      </c>
      <c r="B550" s="38" t="str">
        <f>'04_MOTOR_CÁLCULO'!B1305</f>
        <v>S</v>
      </c>
      <c r="C550" s="100" t="str">
        <f>'04_MOTOR_CÁLCULO'!C1305</f>
        <v>Atividades de organizações associativas ligadas à cultura e à arte</v>
      </c>
      <c r="D550" s="25" t="str">
        <f>'04_MOTOR_CÁLCULO'!D1305</f>
        <v>ATIVIDADES DE OR</v>
      </c>
      <c r="E550" s="78" t="str">
        <f>'04_MOTOR_CÁLCULO'!N1305</f>
        <v>CNAE-STG</v>
      </c>
      <c r="F550" s="62">
        <f>'04_MOTOR_CÁLCULO'!K1305</f>
        <v>0.9</v>
      </c>
      <c r="G550" s="63">
        <f>'04_MOTOR_CÁLCULO'!K1305-1</f>
        <v>-9.9999999999999978E-2</v>
      </c>
      <c r="H550" s="17" t="str">
        <f>'04_MOTOR_CÁLCULO'!M1305</f>
        <v>Baixo</v>
      </c>
    </row>
    <row r="551" spans="1:8" ht="13.5" customHeight="1" x14ac:dyDescent="0.25">
      <c r="A551" s="13" t="str">
        <f>'04_MOTOR_CÁLCULO'!A1306</f>
        <v>9499-5/00</v>
      </c>
      <c r="B551" s="49" t="str">
        <f>'04_MOTOR_CÁLCULO'!B1306</f>
        <v>S</v>
      </c>
      <c r="C551" s="101" t="str">
        <f>'04_MOTOR_CÁLCULO'!C1306</f>
        <v>Atividades associativas não especificadas anteriormente</v>
      </c>
      <c r="D551" s="14" t="str">
        <f>'04_MOTOR_CÁLCULO'!D1306</f>
        <v>ATIVIDADES DE OR</v>
      </c>
      <c r="E551" s="78" t="str">
        <f>'04_MOTOR_CÁLCULO'!N1306</f>
        <v>CNAE-STG</v>
      </c>
      <c r="F551" s="62">
        <f>'04_MOTOR_CÁLCULO'!K1306</f>
        <v>0.9</v>
      </c>
      <c r="G551" s="63">
        <f>'04_MOTOR_CÁLCULO'!K1306-1</f>
        <v>-9.9999999999999978E-2</v>
      </c>
      <c r="H551" s="17" t="str">
        <f>'04_MOTOR_CÁLCULO'!M1306</f>
        <v>Baixo</v>
      </c>
    </row>
    <row r="552" spans="1:8" ht="13.5" customHeight="1" x14ac:dyDescent="0.25">
      <c r="A552" s="24" t="str">
        <f>'04_MOTOR_CÁLCULO'!A1317</f>
        <v>9601-7/01</v>
      </c>
      <c r="B552" s="38" t="str">
        <f>'04_MOTOR_CÁLCULO'!B1317</f>
        <v>S</v>
      </c>
      <c r="C552" s="100" t="str">
        <f>'04_MOTOR_CÁLCULO'!C1317</f>
        <v>Lavanderias</v>
      </c>
      <c r="D552" s="25" t="str">
        <f>'04_MOTOR_CÁLCULO'!D1317</f>
        <v>OUTRAS ATIVIDADE</v>
      </c>
      <c r="E552" s="78" t="str">
        <f>'04_MOTOR_CÁLCULO'!N1317</f>
        <v>CNAE-STG</v>
      </c>
      <c r="F552" s="62">
        <f>'04_MOTOR_CÁLCULO'!K1317</f>
        <v>0.9</v>
      </c>
      <c r="G552" s="63">
        <f>'04_MOTOR_CÁLCULO'!K1317-1</f>
        <v>-9.9999999999999978E-2</v>
      </c>
      <c r="H552" s="17" t="str">
        <f>'04_MOTOR_CÁLCULO'!M1317</f>
        <v>Baixo</v>
      </c>
    </row>
    <row r="553" spans="1:8" ht="13.5" customHeight="1" x14ac:dyDescent="0.25">
      <c r="A553" s="13" t="str">
        <f>'04_MOTOR_CÁLCULO'!A1318</f>
        <v>9601-7/02</v>
      </c>
      <c r="B553" s="49" t="str">
        <f>'04_MOTOR_CÁLCULO'!B1318</f>
        <v>S</v>
      </c>
      <c r="C553" s="101" t="str">
        <f>'04_MOTOR_CÁLCULO'!C1318</f>
        <v>Tinturarias</v>
      </c>
      <c r="D553" s="14" t="str">
        <f>'04_MOTOR_CÁLCULO'!D1318</f>
        <v>OUTRAS ATIVIDADE</v>
      </c>
      <c r="E553" s="78" t="str">
        <f>'04_MOTOR_CÁLCULO'!N1318</f>
        <v>CNAE-STG</v>
      </c>
      <c r="F553" s="62">
        <f>'04_MOTOR_CÁLCULO'!K1318</f>
        <v>0.9</v>
      </c>
      <c r="G553" s="63">
        <f>'04_MOTOR_CÁLCULO'!K1318-1</f>
        <v>-9.9999999999999978E-2</v>
      </c>
      <c r="H553" s="17" t="str">
        <f>'04_MOTOR_CÁLCULO'!M1318</f>
        <v>Baixo</v>
      </c>
    </row>
    <row r="554" spans="1:8" ht="13.5" customHeight="1" x14ac:dyDescent="0.25">
      <c r="A554" s="24" t="str">
        <f>'04_MOTOR_CÁLCULO'!A1319</f>
        <v>9601-7/03</v>
      </c>
      <c r="B554" s="38" t="str">
        <f>'04_MOTOR_CÁLCULO'!B1319</f>
        <v>S</v>
      </c>
      <c r="C554" s="100" t="str">
        <f>'04_MOTOR_CÁLCULO'!C1319</f>
        <v>Toalheiros</v>
      </c>
      <c r="D554" s="25" t="str">
        <f>'04_MOTOR_CÁLCULO'!D1319</f>
        <v>OUTRAS ATIVIDADE</v>
      </c>
      <c r="E554" s="78" t="str">
        <f>'04_MOTOR_CÁLCULO'!N1319</f>
        <v>CNAE-STG</v>
      </c>
      <c r="F554" s="62">
        <f>'04_MOTOR_CÁLCULO'!K1319</f>
        <v>0.9</v>
      </c>
      <c r="G554" s="63">
        <f>'04_MOTOR_CÁLCULO'!K1319-1</f>
        <v>-9.9999999999999978E-2</v>
      </c>
      <c r="H554" s="17" t="str">
        <f>'04_MOTOR_CÁLCULO'!M1319</f>
        <v>Baixo</v>
      </c>
    </row>
    <row r="555" spans="1:8" ht="13.5" customHeight="1" x14ac:dyDescent="0.25">
      <c r="A555" s="13" t="str">
        <f>'04_MOTOR_CÁLCULO'!A1320</f>
        <v>9602-5/01</v>
      </c>
      <c r="B555" s="49" t="str">
        <f>'04_MOTOR_CÁLCULO'!B1320</f>
        <v>S</v>
      </c>
      <c r="C555" s="101" t="str">
        <f>'04_MOTOR_CÁLCULO'!C1320</f>
        <v>Cabeleireiros, manicure e pedicure</v>
      </c>
      <c r="D555" s="14" t="str">
        <f>'04_MOTOR_CÁLCULO'!D1320</f>
        <v>OUTRAS ATIVIDADE</v>
      </c>
      <c r="E555" s="78" t="str">
        <f>'04_MOTOR_CÁLCULO'!N1320</f>
        <v>CNAE-STG</v>
      </c>
      <c r="F555" s="62">
        <f>'04_MOTOR_CÁLCULO'!K1320</f>
        <v>0.9</v>
      </c>
      <c r="G555" s="63">
        <f>'04_MOTOR_CÁLCULO'!K1320-1</f>
        <v>-9.9999999999999978E-2</v>
      </c>
      <c r="H555" s="17" t="str">
        <f>'04_MOTOR_CÁLCULO'!M1320</f>
        <v>Baixo</v>
      </c>
    </row>
    <row r="556" spans="1:8" ht="13.5" customHeight="1" x14ac:dyDescent="0.25">
      <c r="A556" s="24" t="str">
        <f>'04_MOTOR_CÁLCULO'!A1321</f>
        <v>9602-5/02</v>
      </c>
      <c r="B556" s="38" t="str">
        <f>'04_MOTOR_CÁLCULO'!B1321</f>
        <v>S</v>
      </c>
      <c r="C556" s="100" t="str">
        <f>'04_MOTOR_CÁLCULO'!C1321</f>
        <v>Atividades de estética e outros serviços de cuidados com a beleza</v>
      </c>
      <c r="D556" s="25" t="str">
        <f>'04_MOTOR_CÁLCULO'!D1321</f>
        <v>OUTRAS ATIVIDADE</v>
      </c>
      <c r="E556" s="78" t="str">
        <f>'04_MOTOR_CÁLCULO'!N1321</f>
        <v>CNAE-STG</v>
      </c>
      <c r="F556" s="62">
        <f>'04_MOTOR_CÁLCULO'!K1321</f>
        <v>0.9</v>
      </c>
      <c r="G556" s="63">
        <f>'04_MOTOR_CÁLCULO'!K1321-1</f>
        <v>-9.9999999999999978E-2</v>
      </c>
      <c r="H556" s="17" t="str">
        <f>'04_MOTOR_CÁLCULO'!M1321</f>
        <v>Baixo</v>
      </c>
    </row>
    <row r="557" spans="1:8" ht="13.5" customHeight="1" x14ac:dyDescent="0.25">
      <c r="A557" s="13" t="str">
        <f>'04_MOTOR_CÁLCULO'!A1322</f>
        <v>9603-3/01</v>
      </c>
      <c r="B557" s="49" t="str">
        <f>'04_MOTOR_CÁLCULO'!B1322</f>
        <v>S</v>
      </c>
      <c r="C557" s="101" t="str">
        <f>'04_MOTOR_CÁLCULO'!C1322</f>
        <v>Gestão e manutenção de cemitérios</v>
      </c>
      <c r="D557" s="14" t="str">
        <f>'04_MOTOR_CÁLCULO'!D1322</f>
        <v>OUTRAS ATIVIDADE</v>
      </c>
      <c r="E557" s="78" t="str">
        <f>'04_MOTOR_CÁLCULO'!N1322</f>
        <v>CNAE-STG</v>
      </c>
      <c r="F557" s="62">
        <f>'04_MOTOR_CÁLCULO'!K1322</f>
        <v>0.9</v>
      </c>
      <c r="G557" s="63">
        <f>'04_MOTOR_CÁLCULO'!K1322-1</f>
        <v>-9.9999999999999978E-2</v>
      </c>
      <c r="H557" s="17" t="str">
        <f>'04_MOTOR_CÁLCULO'!M1322</f>
        <v>Baixo</v>
      </c>
    </row>
    <row r="558" spans="1:8" ht="13.5" customHeight="1" x14ac:dyDescent="0.25">
      <c r="A558" s="24" t="str">
        <f>'04_MOTOR_CÁLCULO'!A1323</f>
        <v>9603-3/02</v>
      </c>
      <c r="B558" s="38" t="str">
        <f>'04_MOTOR_CÁLCULO'!B1323</f>
        <v>S</v>
      </c>
      <c r="C558" s="100" t="str">
        <f>'04_MOTOR_CÁLCULO'!C1323</f>
        <v>Serviços de cremação</v>
      </c>
      <c r="D558" s="25" t="str">
        <f>'04_MOTOR_CÁLCULO'!D1323</f>
        <v>OUTRAS ATIVIDADE</v>
      </c>
      <c r="E558" s="78" t="str">
        <f>'04_MOTOR_CÁLCULO'!N1323</f>
        <v>CNAE-STG</v>
      </c>
      <c r="F558" s="62">
        <f>'04_MOTOR_CÁLCULO'!K1323</f>
        <v>0.9</v>
      </c>
      <c r="G558" s="63">
        <f>'04_MOTOR_CÁLCULO'!K1323-1</f>
        <v>-9.9999999999999978E-2</v>
      </c>
      <c r="H558" s="17" t="str">
        <f>'04_MOTOR_CÁLCULO'!M1323</f>
        <v>Baixo</v>
      </c>
    </row>
    <row r="559" spans="1:8" ht="13.5" customHeight="1" x14ac:dyDescent="0.25">
      <c r="A559" s="13" t="str">
        <f>'04_MOTOR_CÁLCULO'!A1324</f>
        <v>9603-3/03</v>
      </c>
      <c r="B559" s="49" t="str">
        <f>'04_MOTOR_CÁLCULO'!B1324</f>
        <v>S</v>
      </c>
      <c r="C559" s="101" t="str">
        <f>'04_MOTOR_CÁLCULO'!C1324</f>
        <v>Serviços de sepultamento</v>
      </c>
      <c r="D559" s="14" t="str">
        <f>'04_MOTOR_CÁLCULO'!D1324</f>
        <v>OUTRAS ATIVIDADE</v>
      </c>
      <c r="E559" s="78" t="str">
        <f>'04_MOTOR_CÁLCULO'!N1324</f>
        <v>CNAE-STG</v>
      </c>
      <c r="F559" s="62">
        <f>'04_MOTOR_CÁLCULO'!K1324</f>
        <v>0.9</v>
      </c>
      <c r="G559" s="63">
        <f>'04_MOTOR_CÁLCULO'!K1324-1</f>
        <v>-9.9999999999999978E-2</v>
      </c>
      <c r="H559" s="17" t="str">
        <f>'04_MOTOR_CÁLCULO'!M1324</f>
        <v>Baixo</v>
      </c>
    </row>
    <row r="560" spans="1:8" ht="13.5" customHeight="1" x14ac:dyDescent="0.25">
      <c r="A560" s="24" t="str">
        <f>'04_MOTOR_CÁLCULO'!A1325</f>
        <v>9603-3/04</v>
      </c>
      <c r="B560" s="38" t="str">
        <f>'04_MOTOR_CÁLCULO'!B1325</f>
        <v>S</v>
      </c>
      <c r="C560" s="100" t="str">
        <f>'04_MOTOR_CÁLCULO'!C1325</f>
        <v>Serviços de funerárias</v>
      </c>
      <c r="D560" s="25" t="str">
        <f>'04_MOTOR_CÁLCULO'!D1325</f>
        <v>OUTRAS ATIVIDADE</v>
      </c>
      <c r="E560" s="78" t="str">
        <f>'04_MOTOR_CÁLCULO'!N1325</f>
        <v>CNAE-STG</v>
      </c>
      <c r="F560" s="62">
        <f>'04_MOTOR_CÁLCULO'!K1325</f>
        <v>0.9</v>
      </c>
      <c r="G560" s="63">
        <f>'04_MOTOR_CÁLCULO'!K1325-1</f>
        <v>-9.9999999999999978E-2</v>
      </c>
      <c r="H560" s="17" t="str">
        <f>'04_MOTOR_CÁLCULO'!M1325</f>
        <v>Baixo</v>
      </c>
    </row>
    <row r="561" spans="1:8" ht="13.5" customHeight="1" x14ac:dyDescent="0.25">
      <c r="A561" s="13" t="str">
        <f>'04_MOTOR_CÁLCULO'!A1326</f>
        <v>9603-3/05</v>
      </c>
      <c r="B561" s="49" t="str">
        <f>'04_MOTOR_CÁLCULO'!B1326</f>
        <v>S</v>
      </c>
      <c r="C561" s="101" t="str">
        <f>'04_MOTOR_CÁLCULO'!C1326</f>
        <v>Serviços de somatoconservação</v>
      </c>
      <c r="D561" s="14" t="str">
        <f>'04_MOTOR_CÁLCULO'!D1326</f>
        <v>OUTRAS ATIVIDADE</v>
      </c>
      <c r="E561" s="78" t="str">
        <f>'04_MOTOR_CÁLCULO'!N1326</f>
        <v>CNAE-STG</v>
      </c>
      <c r="F561" s="62">
        <f>'04_MOTOR_CÁLCULO'!K1326</f>
        <v>0.9</v>
      </c>
      <c r="G561" s="63">
        <f>'04_MOTOR_CÁLCULO'!K1326-1</f>
        <v>-9.9999999999999978E-2</v>
      </c>
      <c r="H561" s="17" t="str">
        <f>'04_MOTOR_CÁLCULO'!M1326</f>
        <v>Baixo</v>
      </c>
    </row>
    <row r="562" spans="1:8" ht="13.5" customHeight="1" x14ac:dyDescent="0.25">
      <c r="A562" s="24" t="str">
        <f>'04_MOTOR_CÁLCULO'!A1327</f>
        <v>9603-3/99</v>
      </c>
      <c r="B562" s="38" t="str">
        <f>'04_MOTOR_CÁLCULO'!B1327</f>
        <v>S</v>
      </c>
      <c r="C562" s="100" t="str">
        <f>'04_MOTOR_CÁLCULO'!C1327</f>
        <v>Atividades funerárias e serviços relacionados não especificados anteriormente</v>
      </c>
      <c r="D562" s="25" t="str">
        <f>'04_MOTOR_CÁLCULO'!D1327</f>
        <v>OUTRAS ATIVIDADE</v>
      </c>
      <c r="E562" s="78" t="str">
        <f>'04_MOTOR_CÁLCULO'!N1327</f>
        <v>CNAE-STG</v>
      </c>
      <c r="F562" s="62">
        <f>'04_MOTOR_CÁLCULO'!K1327</f>
        <v>0.9</v>
      </c>
      <c r="G562" s="63">
        <f>'04_MOTOR_CÁLCULO'!K1327-1</f>
        <v>-9.9999999999999978E-2</v>
      </c>
      <c r="H562" s="17" t="str">
        <f>'04_MOTOR_CÁLCULO'!M1327</f>
        <v>Baixo</v>
      </c>
    </row>
    <row r="563" spans="1:8" ht="13.5" customHeight="1" x14ac:dyDescent="0.25">
      <c r="A563" s="13" t="str">
        <f>'04_MOTOR_CÁLCULO'!A1328</f>
        <v>9609-2/02</v>
      </c>
      <c r="B563" s="49" t="str">
        <f>'04_MOTOR_CÁLCULO'!B1328</f>
        <v>S</v>
      </c>
      <c r="C563" s="101" t="str">
        <f>'04_MOTOR_CÁLCULO'!C1328</f>
        <v>Agências matrimoniais</v>
      </c>
      <c r="D563" s="14" t="str">
        <f>'04_MOTOR_CÁLCULO'!D1328</f>
        <v>OUTRAS ATIVIDADE</v>
      </c>
      <c r="E563" s="78" t="str">
        <f>'04_MOTOR_CÁLCULO'!N1328</f>
        <v>CNAE-STG</v>
      </c>
      <c r="F563" s="62">
        <f>'04_MOTOR_CÁLCULO'!K1328</f>
        <v>0.9</v>
      </c>
      <c r="G563" s="63">
        <f>'04_MOTOR_CÁLCULO'!K1328-1</f>
        <v>-9.9999999999999978E-2</v>
      </c>
      <c r="H563" s="17" t="str">
        <f>'04_MOTOR_CÁLCULO'!M1328</f>
        <v>Baixo</v>
      </c>
    </row>
    <row r="564" spans="1:8" ht="13.5" customHeight="1" x14ac:dyDescent="0.25">
      <c r="A564" s="24" t="str">
        <f>'04_MOTOR_CÁLCULO'!A1329</f>
        <v>9609-2/04</v>
      </c>
      <c r="B564" s="38" t="str">
        <f>'04_MOTOR_CÁLCULO'!B1329</f>
        <v>S</v>
      </c>
      <c r="C564" s="100" t="str">
        <f>'04_MOTOR_CÁLCULO'!C1329</f>
        <v>Exploração de máquinas de serviços pessoais acionadas por moeda</v>
      </c>
      <c r="D564" s="25" t="str">
        <f>'04_MOTOR_CÁLCULO'!D1329</f>
        <v>OUTRAS ATIVIDADE</v>
      </c>
      <c r="E564" s="78" t="str">
        <f>'04_MOTOR_CÁLCULO'!N1329</f>
        <v>CNAE-STG</v>
      </c>
      <c r="F564" s="62">
        <f>'04_MOTOR_CÁLCULO'!K1329</f>
        <v>0.9</v>
      </c>
      <c r="G564" s="63">
        <f>'04_MOTOR_CÁLCULO'!K1329-1</f>
        <v>-9.9999999999999978E-2</v>
      </c>
      <c r="H564" s="17" t="str">
        <f>'04_MOTOR_CÁLCULO'!M1329</f>
        <v>Baixo</v>
      </c>
    </row>
    <row r="565" spans="1:8" ht="13.5" customHeight="1" x14ac:dyDescent="0.25">
      <c r="A565" s="13" t="str">
        <f>'04_MOTOR_CÁLCULO'!A1330</f>
        <v>9609-2/05</v>
      </c>
      <c r="B565" s="49" t="str">
        <f>'04_MOTOR_CÁLCULO'!B1330</f>
        <v>S</v>
      </c>
      <c r="C565" s="101" t="str">
        <f>'04_MOTOR_CÁLCULO'!C1330</f>
        <v>Atividades de sauna e banhos</v>
      </c>
      <c r="D565" s="14" t="str">
        <f>'04_MOTOR_CÁLCULO'!D1330</f>
        <v>OUTRAS ATIVIDADE</v>
      </c>
      <c r="E565" s="78" t="str">
        <f>'04_MOTOR_CÁLCULO'!N1330</f>
        <v>CNAE-STG</v>
      </c>
      <c r="F565" s="62">
        <f>'04_MOTOR_CÁLCULO'!K1330</f>
        <v>0.9</v>
      </c>
      <c r="G565" s="63">
        <f>'04_MOTOR_CÁLCULO'!K1330-1</f>
        <v>-9.9999999999999978E-2</v>
      </c>
      <c r="H565" s="17" t="str">
        <f>'04_MOTOR_CÁLCULO'!M1330</f>
        <v>Baixo</v>
      </c>
    </row>
    <row r="566" spans="1:8" ht="13.5" customHeight="1" x14ac:dyDescent="0.25">
      <c r="A566" s="24" t="str">
        <f>'04_MOTOR_CÁLCULO'!A1331</f>
        <v>9609-2/06</v>
      </c>
      <c r="B566" s="38" t="str">
        <f>'04_MOTOR_CÁLCULO'!B1331</f>
        <v>S</v>
      </c>
      <c r="C566" s="100" t="str">
        <f>'04_MOTOR_CÁLCULO'!C1331</f>
        <v>Serviços de tatuagem e colocação de piercing</v>
      </c>
      <c r="D566" s="25" t="str">
        <f>'04_MOTOR_CÁLCULO'!D1331</f>
        <v>OUTRAS ATIVIDADE</v>
      </c>
      <c r="E566" s="78" t="str">
        <f>'04_MOTOR_CÁLCULO'!N1331</f>
        <v>CNAE-STG</v>
      </c>
      <c r="F566" s="62">
        <f>'04_MOTOR_CÁLCULO'!K1331</f>
        <v>0.9</v>
      </c>
      <c r="G566" s="63">
        <f>'04_MOTOR_CÁLCULO'!K1331-1</f>
        <v>-9.9999999999999978E-2</v>
      </c>
      <c r="H566" s="17" t="str">
        <f>'04_MOTOR_CÁLCULO'!M1331</f>
        <v>Baixo</v>
      </c>
    </row>
    <row r="567" spans="1:8" ht="13.5" customHeight="1" x14ac:dyDescent="0.25">
      <c r="A567" s="13" t="str">
        <f>'04_MOTOR_CÁLCULO'!A1332</f>
        <v>9609-2/07</v>
      </c>
      <c r="B567" s="49" t="str">
        <f>'04_MOTOR_CÁLCULO'!B1332</f>
        <v>S</v>
      </c>
      <c r="C567" s="101" t="str">
        <f>'04_MOTOR_CÁLCULO'!C1332</f>
        <v>Alojamento de animais domésticos</v>
      </c>
      <c r="D567" s="14" t="str">
        <f>'04_MOTOR_CÁLCULO'!D1332</f>
        <v>OUTRAS ATIVIDADE</v>
      </c>
      <c r="E567" s="78" t="str">
        <f>'04_MOTOR_CÁLCULO'!N1332</f>
        <v>CNAE-STG</v>
      </c>
      <c r="F567" s="62">
        <f>'04_MOTOR_CÁLCULO'!K1332</f>
        <v>0.9</v>
      </c>
      <c r="G567" s="63">
        <f>'04_MOTOR_CÁLCULO'!K1332-1</f>
        <v>-9.9999999999999978E-2</v>
      </c>
      <c r="H567" s="17" t="str">
        <f>'04_MOTOR_CÁLCULO'!M1332</f>
        <v>Baixo</v>
      </c>
    </row>
    <row r="568" spans="1:8" ht="13.5" customHeight="1" x14ac:dyDescent="0.25">
      <c r="A568" s="24" t="str">
        <f>'04_MOTOR_CÁLCULO'!A1333</f>
        <v>9609-2/08</v>
      </c>
      <c r="B568" s="38" t="str">
        <f>'04_MOTOR_CÁLCULO'!B1333</f>
        <v>S</v>
      </c>
      <c r="C568" s="100" t="str">
        <f>'04_MOTOR_CÁLCULO'!C1333</f>
        <v>Higiene e embelezamento de animais domésticos</v>
      </c>
      <c r="D568" s="25" t="str">
        <f>'04_MOTOR_CÁLCULO'!D1333</f>
        <v>OUTRAS ATIVIDADE</v>
      </c>
      <c r="E568" s="78" t="str">
        <f>'04_MOTOR_CÁLCULO'!N1333</f>
        <v>CNAE-STG</v>
      </c>
      <c r="F568" s="62">
        <f>'04_MOTOR_CÁLCULO'!K1333</f>
        <v>0.9</v>
      </c>
      <c r="G568" s="63">
        <f>'04_MOTOR_CÁLCULO'!K1333-1</f>
        <v>-9.9999999999999978E-2</v>
      </c>
      <c r="H568" s="17" t="str">
        <f>'04_MOTOR_CÁLCULO'!M1333</f>
        <v>Baixo</v>
      </c>
    </row>
    <row r="569" spans="1:8" ht="13.5" customHeight="1" x14ac:dyDescent="0.25">
      <c r="A569" s="13" t="str">
        <f>'04_MOTOR_CÁLCULO'!A1334</f>
        <v>9609-2/99</v>
      </c>
      <c r="B569" s="49" t="str">
        <f>'04_MOTOR_CÁLCULO'!B1334</f>
        <v>S</v>
      </c>
      <c r="C569" s="101" t="str">
        <f>'04_MOTOR_CÁLCULO'!C1334</f>
        <v>Outras atividades de serviços pessoais não especificadas anteriormente</v>
      </c>
      <c r="D569" s="14" t="str">
        <f>'04_MOTOR_CÁLCULO'!D1334</f>
        <v>OUTRAS ATIVIDADE</v>
      </c>
      <c r="E569" s="78" t="str">
        <f>'04_MOTOR_CÁLCULO'!N1334</f>
        <v>CNAE-STG</v>
      </c>
      <c r="F569" s="62">
        <f>'04_MOTOR_CÁLCULO'!K1334</f>
        <v>0.9</v>
      </c>
      <c r="G569" s="63">
        <f>'04_MOTOR_CÁLCULO'!K1334-1</f>
        <v>-9.9999999999999978E-2</v>
      </c>
      <c r="H569" s="17" t="str">
        <f>'04_MOTOR_CÁLCULO'!M1334</f>
        <v>Baixo</v>
      </c>
    </row>
    <row r="570" spans="1:8" ht="13.5" customHeight="1" x14ac:dyDescent="0.25">
      <c r="A570" s="24" t="str">
        <f>'04_MOTOR_CÁLCULO'!A1335</f>
        <v>9700-5/00</v>
      </c>
      <c r="B570" s="38" t="str">
        <f>'04_MOTOR_CÁLCULO'!B1335</f>
        <v>T</v>
      </c>
      <c r="C570" s="100" t="str">
        <f>'04_MOTOR_CÁLCULO'!C1335</f>
        <v>Serviços domésticos</v>
      </c>
      <c r="D570" s="25" t="str">
        <f>'04_MOTOR_CÁLCULO'!D1335</f>
        <v>SERVIÇOS DOMÉSTI</v>
      </c>
      <c r="E570" s="78" t="str">
        <f>'04_MOTOR_CÁLCULO'!N1335</f>
        <v>CNAE-STG</v>
      </c>
      <c r="F570" s="62">
        <f>'04_MOTOR_CÁLCULO'!K1335</f>
        <v>0.9</v>
      </c>
      <c r="G570" s="63">
        <f>'04_MOTOR_CÁLCULO'!K1335-1</f>
        <v>-9.9999999999999978E-2</v>
      </c>
      <c r="H570" s="17" t="str">
        <f>'04_MOTOR_CÁLCULO'!M1335</f>
        <v>Baixo</v>
      </c>
    </row>
    <row r="571" spans="1:8" ht="13.5" customHeight="1" x14ac:dyDescent="0.25">
      <c r="A571" s="13" t="str">
        <f>'04_MOTOR_CÁLCULO'!A1336</f>
        <v>9900-8/00</v>
      </c>
      <c r="B571" s="49" t="str">
        <f>'04_MOTOR_CÁLCULO'!B1336</f>
        <v>U</v>
      </c>
      <c r="C571" s="101" t="str">
        <f>'04_MOTOR_CÁLCULO'!C1336</f>
        <v>Organismos internacionais e outras instituições extraterritoriais</v>
      </c>
      <c r="D571" s="14" t="str">
        <f>'04_MOTOR_CÁLCULO'!D1336</f>
        <v>ORGANISMOS INTER</v>
      </c>
      <c r="E571" s="78" t="str">
        <f>'04_MOTOR_CÁLCULO'!N1336</f>
        <v>CNAE-STG</v>
      </c>
      <c r="F571" s="62">
        <f>'04_MOTOR_CÁLCULO'!K1336</f>
        <v>0.9</v>
      </c>
      <c r="G571" s="63">
        <f>'04_MOTOR_CÁLCULO'!K1336-1</f>
        <v>-9.9999999999999978E-2</v>
      </c>
      <c r="H571" s="17" t="str">
        <f>'04_MOTOR_CÁLCULO'!M1336</f>
        <v>Baixo</v>
      </c>
    </row>
    <row r="572" spans="1:8" ht="13.5" customHeight="1" x14ac:dyDescent="0.25">
      <c r="A572" s="24" t="str">
        <f>'04_MOTOR_CÁLCULO'!A30</f>
        <v>0121-1/02</v>
      </c>
      <c r="B572" s="38" t="str">
        <f>'04_MOTOR_CÁLCULO'!B30</f>
        <v>A</v>
      </c>
      <c r="C572" s="100" t="str">
        <f>'04_MOTOR_CÁLCULO'!C30</f>
        <v>Cultivo de morango</v>
      </c>
      <c r="D572" s="25" t="str">
        <f>'04_MOTOR_CÁLCULO'!D30</f>
        <v>AGRICULTURA, PEC</v>
      </c>
      <c r="E572" s="82" t="str">
        <f>'04_MOTOR_CÁLCULO'!N30</f>
        <v>FAP/MPS</v>
      </c>
      <c r="F572" s="62">
        <f>'04_MOTOR_CÁLCULO'!K30</f>
        <v>0.90574999999999983</v>
      </c>
      <c r="G572" s="63">
        <f>'04_MOTOR_CÁLCULO'!K30-1</f>
        <v>-9.4250000000000167E-2</v>
      </c>
      <c r="H572" s="17" t="str">
        <f>'04_MOTOR_CÁLCULO'!M30</f>
        <v>Baixo</v>
      </c>
    </row>
    <row r="573" spans="1:8" ht="13.5" customHeight="1" x14ac:dyDescent="0.25">
      <c r="A573" s="13" t="str">
        <f>'04_MOTOR_CÁLCULO'!A166</f>
        <v>0899-1/03</v>
      </c>
      <c r="B573" s="49" t="str">
        <f>'04_MOTOR_CÁLCULO'!B166</f>
        <v>B</v>
      </c>
      <c r="C573" s="101" t="str">
        <f>'04_MOTOR_CÁLCULO'!C166</f>
        <v>Extração de amianto</v>
      </c>
      <c r="D573" s="14" t="str">
        <f>'04_MOTOR_CÁLCULO'!D166</f>
        <v>EXTRAÇÃO DE MINE</v>
      </c>
      <c r="E573" s="82" t="str">
        <f>'04_MOTOR_CÁLCULO'!N166</f>
        <v>FAP/MPS</v>
      </c>
      <c r="F573" s="62">
        <f>'04_MOTOR_CÁLCULO'!K166</f>
        <v>0.90767999999999982</v>
      </c>
      <c r="G573" s="63">
        <f>'04_MOTOR_CÁLCULO'!K166-1</f>
        <v>-9.232000000000018E-2</v>
      </c>
      <c r="H573" s="17" t="str">
        <f>'04_MOTOR_CÁLCULO'!M166</f>
        <v>Baixo</v>
      </c>
    </row>
    <row r="574" spans="1:8" ht="13.5" customHeight="1" x14ac:dyDescent="0.25">
      <c r="A574" s="24" t="str">
        <f>'04_MOTOR_CÁLCULO'!A170</f>
        <v>0990-4/02</v>
      </c>
      <c r="B574" s="38" t="str">
        <f>'04_MOTOR_CÁLCULO'!B170</f>
        <v>B</v>
      </c>
      <c r="C574" s="100" t="str">
        <f>'04_MOTOR_CÁLCULO'!C170</f>
        <v>Atividades de apoio à extração de minerais metálicos não ferrosos</v>
      </c>
      <c r="D574" s="25" t="str">
        <f>'04_MOTOR_CÁLCULO'!D170</f>
        <v>ATIVIDADES DE AP</v>
      </c>
      <c r="E574" s="82" t="str">
        <f>'04_MOTOR_CÁLCULO'!N170</f>
        <v>FAP/MPS</v>
      </c>
      <c r="F574" s="62">
        <f>'04_MOTOR_CÁLCULO'!K170</f>
        <v>0.91778999999999999</v>
      </c>
      <c r="G574" s="63">
        <f>'04_MOTOR_CÁLCULO'!K170-1</f>
        <v>-8.2210000000000005E-2</v>
      </c>
      <c r="H574" s="17" t="str">
        <f>'04_MOTOR_CÁLCULO'!M170</f>
        <v>Baixo</v>
      </c>
    </row>
    <row r="575" spans="1:8" ht="13.5" customHeight="1" x14ac:dyDescent="0.25">
      <c r="A575" s="13" t="str">
        <f>'04_MOTOR_CÁLCULO'!A23</f>
        <v>0119-9/05</v>
      </c>
      <c r="B575" s="49" t="str">
        <f>'04_MOTOR_CÁLCULO'!B23</f>
        <v>A</v>
      </c>
      <c r="C575" s="101" t="str">
        <f>'04_MOTOR_CÁLCULO'!C23</f>
        <v>Cultivo de feijão</v>
      </c>
      <c r="D575" s="14" t="str">
        <f>'04_MOTOR_CÁLCULO'!D23</f>
        <v>AGRICULTURA, PEC</v>
      </c>
      <c r="E575" s="82" t="str">
        <f>'04_MOTOR_CÁLCULO'!N23</f>
        <v>FAP/MPS</v>
      </c>
      <c r="F575" s="62">
        <f>'04_MOTOR_CÁLCULO'!K23</f>
        <v>0.92425500000000005</v>
      </c>
      <c r="G575" s="63">
        <f>'04_MOTOR_CÁLCULO'!K23-1</f>
        <v>-7.5744999999999951E-2</v>
      </c>
      <c r="H575" s="17" t="str">
        <f>'04_MOTOR_CÁLCULO'!M23</f>
        <v>Baixo</v>
      </c>
    </row>
    <row r="576" spans="1:8" ht="13.5" customHeight="1" x14ac:dyDescent="0.25">
      <c r="A576" s="24" t="str">
        <f>'04_MOTOR_CÁLCULO'!A80</f>
        <v>0161-0/99</v>
      </c>
      <c r="B576" s="38" t="str">
        <f>'04_MOTOR_CÁLCULO'!B80</f>
        <v>A</v>
      </c>
      <c r="C576" s="100" t="str">
        <f>'04_MOTOR_CÁLCULO'!C80</f>
        <v>Atividades de apoio à agricultura não especificadas anteriormente</v>
      </c>
      <c r="D576" s="25" t="str">
        <f>'04_MOTOR_CÁLCULO'!D80</f>
        <v>AGRICULTURA, PEC</v>
      </c>
      <c r="E576" s="82" t="str">
        <f>'04_MOTOR_CÁLCULO'!N80</f>
        <v>FAP/MPS</v>
      </c>
      <c r="F576" s="62">
        <f>'04_MOTOR_CÁLCULO'!K80</f>
        <v>0.92645500000000003</v>
      </c>
      <c r="G576" s="63">
        <f>'04_MOTOR_CÁLCULO'!K80-1</f>
        <v>-7.3544999999999972E-2</v>
      </c>
      <c r="H576" s="17" t="str">
        <f>'04_MOTOR_CÁLCULO'!M80</f>
        <v>Baixo</v>
      </c>
    </row>
    <row r="577" spans="1:8" ht="13.5" customHeight="1" x14ac:dyDescent="0.25">
      <c r="A577" s="13" t="str">
        <f>'04_MOTOR_CÁLCULO'!A45</f>
        <v>0133-4/99</v>
      </c>
      <c r="B577" s="49" t="str">
        <f>'04_MOTOR_CÁLCULO'!B45</f>
        <v>A</v>
      </c>
      <c r="C577" s="101" t="str">
        <f>'04_MOTOR_CÁLCULO'!C45</f>
        <v>Cultivo de frutas de lavoura permanente não especificadas anteriormente</v>
      </c>
      <c r="D577" s="14" t="str">
        <f>'04_MOTOR_CÁLCULO'!D45</f>
        <v>AGRICULTURA, PEC</v>
      </c>
      <c r="E577" s="82" t="str">
        <f>'04_MOTOR_CÁLCULO'!N45</f>
        <v>FAP/MPS</v>
      </c>
      <c r="F577" s="62">
        <f>'04_MOTOR_CÁLCULO'!K45</f>
        <v>0.94595499999999999</v>
      </c>
      <c r="G577" s="63">
        <f>'04_MOTOR_CÁLCULO'!K45-1</f>
        <v>-5.404500000000001E-2</v>
      </c>
      <c r="H577" s="17" t="str">
        <f>'04_MOTOR_CÁLCULO'!M45</f>
        <v>Baixo</v>
      </c>
    </row>
    <row r="578" spans="1:8" ht="13.5" customHeight="1" x14ac:dyDescent="0.25">
      <c r="A578" s="24" t="str">
        <f>'04_MOTOR_CÁLCULO'!A103</f>
        <v>0220-9/99</v>
      </c>
      <c r="B578" s="38" t="str">
        <f>'04_MOTOR_CÁLCULO'!B103</f>
        <v>A</v>
      </c>
      <c r="C578" s="100" t="str">
        <f>'04_MOTOR_CÁLCULO'!C103</f>
        <v>Coleta de produtos não madeireiros não especificados anteriormente em florestas nativas</v>
      </c>
      <c r="D578" s="25" t="str">
        <f>'04_MOTOR_CÁLCULO'!D103</f>
        <v>PRODUÇÃO FLOREST</v>
      </c>
      <c r="E578" s="82" t="str">
        <f>'04_MOTOR_CÁLCULO'!N103</f>
        <v>FAP/MPS</v>
      </c>
      <c r="F578" s="62">
        <f>'04_MOTOR_CÁLCULO'!K103</f>
        <v>0.94786499999999985</v>
      </c>
      <c r="G578" s="63">
        <f>'04_MOTOR_CÁLCULO'!K103-1</f>
        <v>-5.2135000000000153E-2</v>
      </c>
      <c r="H578" s="17" t="str">
        <f>'04_MOTOR_CÁLCULO'!M103</f>
        <v>Baixo</v>
      </c>
    </row>
    <row r="579" spans="1:8" ht="13.5" customHeight="1" x14ac:dyDescent="0.25">
      <c r="A579" s="13" t="str">
        <f>'04_MOTOR_CÁLCULO'!A136</f>
        <v>0722-7/01</v>
      </c>
      <c r="B579" s="49" t="str">
        <f>'04_MOTOR_CÁLCULO'!B136</f>
        <v>B</v>
      </c>
      <c r="C579" s="101" t="str">
        <f>'04_MOTOR_CÁLCULO'!C136</f>
        <v>Extração de minério de estanho</v>
      </c>
      <c r="D579" s="14" t="str">
        <f>'04_MOTOR_CÁLCULO'!D136</f>
        <v>EXTRAÇÃO DE MINE</v>
      </c>
      <c r="E579" s="82" t="str">
        <f>'04_MOTOR_CÁLCULO'!N136</f>
        <v>FAP/MPS</v>
      </c>
      <c r="F579" s="55">
        <f>'04_MOTOR_CÁLCULO'!K136</f>
        <v>0.95310500000000009</v>
      </c>
      <c r="G579" s="56">
        <f>'04_MOTOR_CÁLCULO'!K136-1</f>
        <v>-4.6894999999999909E-2</v>
      </c>
      <c r="H579" s="57" t="str">
        <f>'04_MOTOR_CÁLCULO'!M136</f>
        <v>Médio</v>
      </c>
    </row>
    <row r="580" spans="1:8" ht="13.5" customHeight="1" x14ac:dyDescent="0.25">
      <c r="A580" s="24" t="str">
        <f>'04_MOTOR_CÁLCULO'!A79</f>
        <v>0161-0/03</v>
      </c>
      <c r="B580" s="38" t="str">
        <f>'04_MOTOR_CÁLCULO'!B79</f>
        <v>A</v>
      </c>
      <c r="C580" s="100" t="str">
        <f>'04_MOTOR_CÁLCULO'!C79</f>
        <v>Serviço de preparação de terreno, cultivo e colheita</v>
      </c>
      <c r="D580" s="25" t="str">
        <f>'04_MOTOR_CÁLCULO'!D79</f>
        <v>AGRICULTURA, PEC</v>
      </c>
      <c r="E580" s="82" t="str">
        <f>'04_MOTOR_CÁLCULO'!N79</f>
        <v>FAP/MPS</v>
      </c>
      <c r="F580" s="55">
        <f>'04_MOTOR_CÁLCULO'!K79</f>
        <v>0.96186000000000005</v>
      </c>
      <c r="G580" s="56">
        <f>'04_MOTOR_CÁLCULO'!K79-1</f>
        <v>-3.8139999999999952E-2</v>
      </c>
      <c r="H580" s="57" t="str">
        <f>'04_MOTOR_CÁLCULO'!M79</f>
        <v>Médio</v>
      </c>
    </row>
    <row r="581" spans="1:8" ht="13.5" customHeight="1" x14ac:dyDescent="0.25">
      <c r="A581" s="13" t="str">
        <f>'04_MOTOR_CÁLCULO'!A77</f>
        <v>0161-0/01</v>
      </c>
      <c r="B581" s="49" t="str">
        <f>'04_MOTOR_CÁLCULO'!B77</f>
        <v>A</v>
      </c>
      <c r="C581" s="101" t="str">
        <f>'04_MOTOR_CÁLCULO'!C77</f>
        <v>Serviço de pulverização e controle de pragas agrícolas</v>
      </c>
      <c r="D581" s="14" t="str">
        <f>'04_MOTOR_CÁLCULO'!D77</f>
        <v>AGRICULTURA, PEC</v>
      </c>
      <c r="E581" s="82" t="str">
        <f>'04_MOTOR_CÁLCULO'!N77</f>
        <v>FAP/MPS</v>
      </c>
      <c r="F581" s="55">
        <f>'04_MOTOR_CÁLCULO'!K77</f>
        <v>0.96353499999999992</v>
      </c>
      <c r="G581" s="56">
        <f>'04_MOTOR_CÁLCULO'!K77-1</f>
        <v>-3.6465000000000081E-2</v>
      </c>
      <c r="H581" s="57" t="str">
        <f>'04_MOTOR_CÁLCULO'!M77</f>
        <v>Médio</v>
      </c>
    </row>
    <row r="582" spans="1:8" ht="13.5" customHeight="1" x14ac:dyDescent="0.25">
      <c r="A582" s="24" t="str">
        <f>'04_MOTOR_CÁLCULO'!A106</f>
        <v>0311-6/02</v>
      </c>
      <c r="B582" s="38" t="str">
        <f>'04_MOTOR_CÁLCULO'!B106</f>
        <v>A</v>
      </c>
      <c r="C582" s="100" t="str">
        <f>'04_MOTOR_CÁLCULO'!C106</f>
        <v>Pesca de crustáceos e moluscos em água salgada</v>
      </c>
      <c r="D582" s="25" t="str">
        <f>'04_MOTOR_CÁLCULO'!D106</f>
        <v>PESCA E AQÜICULT</v>
      </c>
      <c r="E582" s="82" t="str">
        <f>'04_MOTOR_CÁLCULO'!N106</f>
        <v>FAP/MPS</v>
      </c>
      <c r="F582" s="55">
        <f>'04_MOTOR_CÁLCULO'!K106</f>
        <v>0.98275499999999993</v>
      </c>
      <c r="G582" s="56">
        <f>'04_MOTOR_CÁLCULO'!K106-1</f>
        <v>-1.7245000000000066E-2</v>
      </c>
      <c r="H582" s="57" t="str">
        <f>'04_MOTOR_CÁLCULO'!M106</f>
        <v>Médio</v>
      </c>
    </row>
    <row r="583" spans="1:8" ht="13.5" customHeight="1" x14ac:dyDescent="0.25">
      <c r="A583" s="13" t="str">
        <f>'04_MOTOR_CÁLCULO'!A81</f>
        <v>0162-8/01</v>
      </c>
      <c r="B583" s="49" t="str">
        <f>'04_MOTOR_CÁLCULO'!B81</f>
        <v>A</v>
      </c>
      <c r="C583" s="101" t="str">
        <f>'04_MOTOR_CÁLCULO'!C81</f>
        <v>Serviço de inseminação artificial em animais</v>
      </c>
      <c r="D583" s="14" t="str">
        <f>'04_MOTOR_CÁLCULO'!D81</f>
        <v>AGRICULTURA, PEC</v>
      </c>
      <c r="E583" s="82" t="str">
        <f>'04_MOTOR_CÁLCULO'!N81</f>
        <v>FAP/MPS</v>
      </c>
      <c r="F583" s="55">
        <f>'04_MOTOR_CÁLCULO'!K81</f>
        <v>0.98634999999999995</v>
      </c>
      <c r="G583" s="56">
        <f>'04_MOTOR_CÁLCULO'!K81-1</f>
        <v>-1.3650000000000051E-2</v>
      </c>
      <c r="H583" s="57" t="str">
        <f>'04_MOTOR_CÁLCULO'!M81</f>
        <v>Médio</v>
      </c>
    </row>
    <row r="584" spans="1:8" ht="13.5" customHeight="1" x14ac:dyDescent="0.25">
      <c r="A584" s="24" t="str">
        <f>'04_MOTOR_CÁLCULO'!A11</f>
        <v>0112-1/99</v>
      </c>
      <c r="B584" s="38" t="str">
        <f>'04_MOTOR_CÁLCULO'!B11</f>
        <v>A</v>
      </c>
      <c r="C584" s="100" t="str">
        <f>'04_MOTOR_CÁLCULO'!C11</f>
        <v>Cultivo de outras fibras de lavoura temporária não especificadas anteriormente</v>
      </c>
      <c r="D584" s="25" t="str">
        <f>'04_MOTOR_CÁLCULO'!D11</f>
        <v>AGRICULTURA, PEC</v>
      </c>
      <c r="E584" s="78" t="str">
        <f>'04_MOTOR_CÁLCULO'!N11</f>
        <v>CNAE-STG</v>
      </c>
      <c r="F584" s="55">
        <f>'04_MOTOR_CÁLCULO'!K11</f>
        <v>1</v>
      </c>
      <c r="G584" s="56">
        <f>'04_MOTOR_CÁLCULO'!K11-1</f>
        <v>0</v>
      </c>
      <c r="H584" s="57" t="str">
        <f>'04_MOTOR_CÁLCULO'!M11</f>
        <v>Médio</v>
      </c>
    </row>
    <row r="585" spans="1:8" ht="13.5" customHeight="1" x14ac:dyDescent="0.25">
      <c r="A585" s="13" t="str">
        <f>'04_MOTOR_CÁLCULO'!A16</f>
        <v>0116-4/02</v>
      </c>
      <c r="B585" s="49" t="str">
        <f>'04_MOTOR_CÁLCULO'!B16</f>
        <v>A</v>
      </c>
      <c r="C585" s="101" t="str">
        <f>'04_MOTOR_CÁLCULO'!C16</f>
        <v>Cultivo de girassol</v>
      </c>
      <c r="D585" s="14" t="str">
        <f>'04_MOTOR_CÁLCULO'!D16</f>
        <v>AGRICULTURA, PEC</v>
      </c>
      <c r="E585" s="78" t="str">
        <f>'04_MOTOR_CÁLCULO'!N16</f>
        <v>CNAE-STG</v>
      </c>
      <c r="F585" s="55">
        <f>'04_MOTOR_CÁLCULO'!K16</f>
        <v>1</v>
      </c>
      <c r="G585" s="56">
        <f>'04_MOTOR_CÁLCULO'!K16-1</f>
        <v>0</v>
      </c>
      <c r="H585" s="57" t="str">
        <f>'04_MOTOR_CÁLCULO'!M16</f>
        <v>Médio</v>
      </c>
    </row>
    <row r="586" spans="1:8" ht="13.5" customHeight="1" x14ac:dyDescent="0.25">
      <c r="A586" s="24" t="str">
        <f>'04_MOTOR_CÁLCULO'!A17</f>
        <v>0116-4/03</v>
      </c>
      <c r="B586" s="38" t="str">
        <f>'04_MOTOR_CÁLCULO'!B17</f>
        <v>A</v>
      </c>
      <c r="C586" s="100" t="str">
        <f>'04_MOTOR_CÁLCULO'!C17</f>
        <v>Cultivo de mamona</v>
      </c>
      <c r="D586" s="25" t="str">
        <f>'04_MOTOR_CÁLCULO'!D17</f>
        <v>AGRICULTURA, PEC</v>
      </c>
      <c r="E586" s="78" t="str">
        <f>'04_MOTOR_CÁLCULO'!N17</f>
        <v>CNAE-STG</v>
      </c>
      <c r="F586" s="55">
        <f>'04_MOTOR_CÁLCULO'!K17</f>
        <v>1</v>
      </c>
      <c r="G586" s="56">
        <f>'04_MOTOR_CÁLCULO'!K17-1</f>
        <v>0</v>
      </c>
      <c r="H586" s="57" t="str">
        <f>'04_MOTOR_CÁLCULO'!M17</f>
        <v>Médio</v>
      </c>
    </row>
    <row r="587" spans="1:8" ht="13.5" customHeight="1" x14ac:dyDescent="0.25">
      <c r="A587" s="13" t="str">
        <f>'04_MOTOR_CÁLCULO'!A19</f>
        <v>0119-9/01</v>
      </c>
      <c r="B587" s="49" t="str">
        <f>'04_MOTOR_CÁLCULO'!B19</f>
        <v>A</v>
      </c>
      <c r="C587" s="101" t="str">
        <f>'04_MOTOR_CÁLCULO'!C19</f>
        <v>Cultivo de abacaxi</v>
      </c>
      <c r="D587" s="14" t="str">
        <f>'04_MOTOR_CÁLCULO'!D19</f>
        <v>AGRICULTURA, PEC</v>
      </c>
      <c r="E587" s="78" t="str">
        <f>'04_MOTOR_CÁLCULO'!N19</f>
        <v>CNAE-STG</v>
      </c>
      <c r="F587" s="55">
        <f>'04_MOTOR_CÁLCULO'!K19</f>
        <v>1</v>
      </c>
      <c r="G587" s="56">
        <f>'04_MOTOR_CÁLCULO'!K19-1</f>
        <v>0</v>
      </c>
      <c r="H587" s="57" t="str">
        <f>'04_MOTOR_CÁLCULO'!M19</f>
        <v>Médio</v>
      </c>
    </row>
    <row r="588" spans="1:8" ht="13.5" customHeight="1" x14ac:dyDescent="0.25">
      <c r="A588" s="24" t="str">
        <f>'04_MOTOR_CÁLCULO'!A26</f>
        <v>0119-9/08</v>
      </c>
      <c r="B588" s="38" t="str">
        <f>'04_MOTOR_CÁLCULO'!B26</f>
        <v>A</v>
      </c>
      <c r="C588" s="100" t="str">
        <f>'04_MOTOR_CÁLCULO'!C26</f>
        <v>Cultivo de melancia</v>
      </c>
      <c r="D588" s="25" t="str">
        <f>'04_MOTOR_CÁLCULO'!D26</f>
        <v>AGRICULTURA, PEC</v>
      </c>
      <c r="E588" s="78" t="str">
        <f>'04_MOTOR_CÁLCULO'!N26</f>
        <v>CNAE-STG</v>
      </c>
      <c r="F588" s="55">
        <f>'04_MOTOR_CÁLCULO'!K26</f>
        <v>1</v>
      </c>
      <c r="G588" s="56">
        <f>'04_MOTOR_CÁLCULO'!K26-1</f>
        <v>0</v>
      </c>
      <c r="H588" s="57" t="str">
        <f>'04_MOTOR_CÁLCULO'!M26</f>
        <v>Médio</v>
      </c>
    </row>
    <row r="589" spans="1:8" ht="13.5" customHeight="1" x14ac:dyDescent="0.25">
      <c r="A589" s="13" t="str">
        <f>'04_MOTOR_CÁLCULO'!A39</f>
        <v>0133-4/06</v>
      </c>
      <c r="B589" s="49" t="str">
        <f>'04_MOTOR_CÁLCULO'!B39</f>
        <v>A</v>
      </c>
      <c r="C589" s="101" t="str">
        <f>'04_MOTOR_CÁLCULO'!C39</f>
        <v>Cultivo de guaraná</v>
      </c>
      <c r="D589" s="14" t="str">
        <f>'04_MOTOR_CÁLCULO'!D39</f>
        <v>AGRICULTURA, PEC</v>
      </c>
      <c r="E589" s="78" t="str">
        <f>'04_MOTOR_CÁLCULO'!N39</f>
        <v>CNAE-STG</v>
      </c>
      <c r="F589" s="55">
        <f>'04_MOTOR_CÁLCULO'!K39</f>
        <v>1</v>
      </c>
      <c r="G589" s="56">
        <f>'04_MOTOR_CÁLCULO'!K39-1</f>
        <v>0</v>
      </c>
      <c r="H589" s="57" t="str">
        <f>'04_MOTOR_CÁLCULO'!M39</f>
        <v>Médio</v>
      </c>
    </row>
    <row r="590" spans="1:8" ht="13.5" customHeight="1" x14ac:dyDescent="0.25">
      <c r="A590" s="24" t="str">
        <f>'04_MOTOR_CÁLCULO'!A44</f>
        <v>0133-4/11</v>
      </c>
      <c r="B590" s="38" t="str">
        <f>'04_MOTOR_CÁLCULO'!B44</f>
        <v>A</v>
      </c>
      <c r="C590" s="100" t="str">
        <f>'04_MOTOR_CÁLCULO'!C44</f>
        <v>Cultivo de pêssego</v>
      </c>
      <c r="D590" s="25" t="str">
        <f>'04_MOTOR_CÁLCULO'!D44</f>
        <v>AGRICULTURA, PEC</v>
      </c>
      <c r="E590" s="78" t="str">
        <f>'04_MOTOR_CÁLCULO'!N44</f>
        <v>CNAE-STG</v>
      </c>
      <c r="F590" s="55">
        <f>'04_MOTOR_CÁLCULO'!K44</f>
        <v>1</v>
      </c>
      <c r="G590" s="56">
        <f>'04_MOTOR_CÁLCULO'!K44-1</f>
        <v>0</v>
      </c>
      <c r="H590" s="57" t="str">
        <f>'04_MOTOR_CÁLCULO'!M44</f>
        <v>Médio</v>
      </c>
    </row>
    <row r="591" spans="1:8" ht="13.5" customHeight="1" x14ac:dyDescent="0.25">
      <c r="A591" s="13" t="str">
        <f>'04_MOTOR_CÁLCULO'!A48</f>
        <v>0139-3/01</v>
      </c>
      <c r="B591" s="49" t="str">
        <f>'04_MOTOR_CÁLCULO'!B48</f>
        <v>A</v>
      </c>
      <c r="C591" s="101" t="str">
        <f>'04_MOTOR_CÁLCULO'!C48</f>
        <v>Cultivo de chá-da-índia</v>
      </c>
      <c r="D591" s="14" t="str">
        <f>'04_MOTOR_CÁLCULO'!D48</f>
        <v>AGRICULTURA, PEC</v>
      </c>
      <c r="E591" s="78" t="str">
        <f>'04_MOTOR_CÁLCULO'!N48</f>
        <v>CNAE-STG</v>
      </c>
      <c r="F591" s="55">
        <f>'04_MOTOR_CÁLCULO'!K48</f>
        <v>1</v>
      </c>
      <c r="G591" s="56">
        <f>'04_MOTOR_CÁLCULO'!K48-1</f>
        <v>0</v>
      </c>
      <c r="H591" s="57" t="str">
        <f>'04_MOTOR_CÁLCULO'!M48</f>
        <v>Médio</v>
      </c>
    </row>
    <row r="592" spans="1:8" ht="13.5" customHeight="1" x14ac:dyDescent="0.25">
      <c r="A592" s="24" t="str">
        <f>'04_MOTOR_CÁLCULO'!A74</f>
        <v>0159-8/03</v>
      </c>
      <c r="B592" s="38" t="str">
        <f>'04_MOTOR_CÁLCULO'!B74</f>
        <v>A</v>
      </c>
      <c r="C592" s="100" t="str">
        <f>'04_MOTOR_CÁLCULO'!C74</f>
        <v>Criação de escargô</v>
      </c>
      <c r="D592" s="25" t="str">
        <f>'04_MOTOR_CÁLCULO'!D74</f>
        <v>AGRICULTURA, PEC</v>
      </c>
      <c r="E592" s="78" t="str">
        <f>'04_MOTOR_CÁLCULO'!N74</f>
        <v>CNAE-STG</v>
      </c>
      <c r="F592" s="55">
        <f>'04_MOTOR_CÁLCULO'!K74</f>
        <v>1</v>
      </c>
      <c r="G592" s="56">
        <f>'04_MOTOR_CÁLCULO'!K74-1</f>
        <v>0</v>
      </c>
      <c r="H592" s="57" t="str">
        <f>'04_MOTOR_CÁLCULO'!M74</f>
        <v>Médio</v>
      </c>
    </row>
    <row r="593" spans="1:8" ht="13.5" customHeight="1" x14ac:dyDescent="0.25">
      <c r="A593" s="13" t="str">
        <f>'04_MOTOR_CÁLCULO'!A75</f>
        <v>0159-8/04</v>
      </c>
      <c r="B593" s="49" t="str">
        <f>'04_MOTOR_CÁLCULO'!B75</f>
        <v>A</v>
      </c>
      <c r="C593" s="101" t="str">
        <f>'04_MOTOR_CÁLCULO'!C75</f>
        <v>Criação de bicho-da-seda</v>
      </c>
      <c r="D593" s="14" t="str">
        <f>'04_MOTOR_CÁLCULO'!D75</f>
        <v>AGRICULTURA, PEC</v>
      </c>
      <c r="E593" s="78" t="str">
        <f>'04_MOTOR_CÁLCULO'!N75</f>
        <v>CNAE-STG</v>
      </c>
      <c r="F593" s="55">
        <f>'04_MOTOR_CÁLCULO'!K75</f>
        <v>1</v>
      </c>
      <c r="G593" s="56">
        <f>'04_MOTOR_CÁLCULO'!K75-1</f>
        <v>0</v>
      </c>
      <c r="H593" s="57" t="str">
        <f>'04_MOTOR_CÁLCULO'!M75</f>
        <v>Médio</v>
      </c>
    </row>
    <row r="594" spans="1:8" ht="13.5" customHeight="1" x14ac:dyDescent="0.25">
      <c r="A594" s="24" t="str">
        <f>'04_MOTOR_CÁLCULO'!A82</f>
        <v>0162-8/02</v>
      </c>
      <c r="B594" s="38" t="str">
        <f>'04_MOTOR_CÁLCULO'!B82</f>
        <v>A</v>
      </c>
      <c r="C594" s="100" t="str">
        <f>'04_MOTOR_CÁLCULO'!C82</f>
        <v>Serviço de tosquiamento de ovinos</v>
      </c>
      <c r="D594" s="25" t="str">
        <f>'04_MOTOR_CÁLCULO'!D82</f>
        <v>AGRICULTURA, PEC</v>
      </c>
      <c r="E594" s="78" t="str">
        <f>'04_MOTOR_CÁLCULO'!N82</f>
        <v>CNAE-STG</v>
      </c>
      <c r="F594" s="55">
        <f>'04_MOTOR_CÁLCULO'!K82</f>
        <v>1</v>
      </c>
      <c r="G594" s="56">
        <f>'04_MOTOR_CÁLCULO'!K82-1</f>
        <v>0</v>
      </c>
      <c r="H594" s="57" t="str">
        <f>'04_MOTOR_CÁLCULO'!M82</f>
        <v>Médio</v>
      </c>
    </row>
    <row r="595" spans="1:8" ht="13.5" customHeight="1" x14ac:dyDescent="0.25">
      <c r="A595" s="13" t="str">
        <f>'04_MOTOR_CÁLCULO'!A86</f>
        <v>0170-9/00</v>
      </c>
      <c r="B595" s="49" t="str">
        <f>'04_MOTOR_CÁLCULO'!B86</f>
        <v>A</v>
      </c>
      <c r="C595" s="101" t="str">
        <f>'04_MOTOR_CÁLCULO'!C86</f>
        <v>Caça e serviços relacionados</v>
      </c>
      <c r="D595" s="14" t="str">
        <f>'04_MOTOR_CÁLCULO'!D86</f>
        <v>AGRICULTURA, PEC</v>
      </c>
      <c r="E595" s="78" t="str">
        <f>'04_MOTOR_CÁLCULO'!N86</f>
        <v>CNAE-STG</v>
      </c>
      <c r="F595" s="55">
        <f>'04_MOTOR_CÁLCULO'!K86</f>
        <v>1</v>
      </c>
      <c r="G595" s="56">
        <f>'04_MOTOR_CÁLCULO'!K86-1</f>
        <v>0</v>
      </c>
      <c r="H595" s="57" t="str">
        <f>'04_MOTOR_CÁLCULO'!M86</f>
        <v>Médio</v>
      </c>
    </row>
    <row r="596" spans="1:8" ht="13.5" customHeight="1" x14ac:dyDescent="0.25">
      <c r="A596" s="24" t="str">
        <f>'04_MOTOR_CÁLCULO'!A183</f>
        <v>1020-1/01</v>
      </c>
      <c r="B596" s="38" t="str">
        <f>'04_MOTOR_CÁLCULO'!B183</f>
        <v>C</v>
      </c>
      <c r="C596" s="100" t="str">
        <f>'04_MOTOR_CÁLCULO'!C183</f>
        <v>Preservação de peixes, crustáceos e moluscos</v>
      </c>
      <c r="D596" s="25" t="str">
        <f>'04_MOTOR_CÁLCULO'!D183</f>
        <v>FABRICAÇÃO DE PR</v>
      </c>
      <c r="E596" s="78" t="str">
        <f>'04_MOTOR_CÁLCULO'!N183</f>
        <v>CNAE-STG</v>
      </c>
      <c r="F596" s="55">
        <f>'04_MOTOR_CÁLCULO'!K183</f>
        <v>1</v>
      </c>
      <c r="G596" s="56">
        <f>'04_MOTOR_CÁLCULO'!K183-1</f>
        <v>0</v>
      </c>
      <c r="H596" s="57" t="str">
        <f>'04_MOTOR_CÁLCULO'!M183</f>
        <v>Médio</v>
      </c>
    </row>
    <row r="597" spans="1:8" ht="13.5" customHeight="1" x14ac:dyDescent="0.25">
      <c r="A597" s="13" t="str">
        <f>'04_MOTOR_CÁLCULO'!A184</f>
        <v>1020-1/02</v>
      </c>
      <c r="B597" s="49" t="str">
        <f>'04_MOTOR_CÁLCULO'!B184</f>
        <v>C</v>
      </c>
      <c r="C597" s="101" t="str">
        <f>'04_MOTOR_CÁLCULO'!C184</f>
        <v>Fabricação de conservas de peixes, crustáceos e moluscos</v>
      </c>
      <c r="D597" s="14" t="str">
        <f>'04_MOTOR_CÁLCULO'!D184</f>
        <v>FABRICAÇÃO DE PR</v>
      </c>
      <c r="E597" s="78" t="str">
        <f>'04_MOTOR_CÁLCULO'!N184</f>
        <v>CNAE-STG</v>
      </c>
      <c r="F597" s="55">
        <f>'04_MOTOR_CÁLCULO'!K184</f>
        <v>1</v>
      </c>
      <c r="G597" s="56">
        <f>'04_MOTOR_CÁLCULO'!K184-1</f>
        <v>0</v>
      </c>
      <c r="H597" s="57" t="str">
        <f>'04_MOTOR_CÁLCULO'!M184</f>
        <v>Médio</v>
      </c>
    </row>
    <row r="598" spans="1:8" ht="13.5" customHeight="1" x14ac:dyDescent="0.25">
      <c r="A598" s="24" t="str">
        <f>'04_MOTOR_CÁLCULO'!A185</f>
        <v>1031-7/00</v>
      </c>
      <c r="B598" s="38" t="str">
        <f>'04_MOTOR_CÁLCULO'!B185</f>
        <v>C</v>
      </c>
      <c r="C598" s="100" t="str">
        <f>'04_MOTOR_CÁLCULO'!C185</f>
        <v>Fabricação de conservas de frutas</v>
      </c>
      <c r="D598" s="25" t="str">
        <f>'04_MOTOR_CÁLCULO'!D185</f>
        <v>FABRICAÇÃO DE PR</v>
      </c>
      <c r="E598" s="78" t="str">
        <f>'04_MOTOR_CÁLCULO'!N185</f>
        <v>CNAE-STG</v>
      </c>
      <c r="F598" s="55">
        <f>'04_MOTOR_CÁLCULO'!K185</f>
        <v>1</v>
      </c>
      <c r="G598" s="56">
        <f>'04_MOTOR_CÁLCULO'!K185-1</f>
        <v>0</v>
      </c>
      <c r="H598" s="57" t="str">
        <f>'04_MOTOR_CÁLCULO'!M185</f>
        <v>Médio</v>
      </c>
    </row>
    <row r="599" spans="1:8" ht="13.5" customHeight="1" x14ac:dyDescent="0.25">
      <c r="A599" s="13" t="str">
        <f>'04_MOTOR_CÁLCULO'!A186</f>
        <v>1032-5/01</v>
      </c>
      <c r="B599" s="49" t="str">
        <f>'04_MOTOR_CÁLCULO'!B186</f>
        <v>C</v>
      </c>
      <c r="C599" s="101" t="str">
        <f>'04_MOTOR_CÁLCULO'!C186</f>
        <v>Fabricação de conservas de palmito</v>
      </c>
      <c r="D599" s="14" t="str">
        <f>'04_MOTOR_CÁLCULO'!D186</f>
        <v>FABRICAÇÃO DE PR</v>
      </c>
      <c r="E599" s="78" t="str">
        <f>'04_MOTOR_CÁLCULO'!N186</f>
        <v>CNAE-STG</v>
      </c>
      <c r="F599" s="55">
        <f>'04_MOTOR_CÁLCULO'!K186</f>
        <v>1</v>
      </c>
      <c r="G599" s="56">
        <f>'04_MOTOR_CÁLCULO'!K186-1</f>
        <v>0</v>
      </c>
      <c r="H599" s="57" t="str">
        <f>'04_MOTOR_CÁLCULO'!M186</f>
        <v>Médio</v>
      </c>
    </row>
    <row r="600" spans="1:8" ht="13.5" customHeight="1" x14ac:dyDescent="0.25">
      <c r="A600" s="24" t="str">
        <f>'04_MOTOR_CÁLCULO'!A187</f>
        <v>1032-5/99</v>
      </c>
      <c r="B600" s="38" t="str">
        <f>'04_MOTOR_CÁLCULO'!B187</f>
        <v>C</v>
      </c>
      <c r="C600" s="100" t="str">
        <f>'04_MOTOR_CÁLCULO'!C187</f>
        <v>Fabricação de conservas de legumes e outros vegetais, exceto palmito</v>
      </c>
      <c r="D600" s="25" t="str">
        <f>'04_MOTOR_CÁLCULO'!D187</f>
        <v>FABRICAÇÃO DE PR</v>
      </c>
      <c r="E600" s="78" t="str">
        <f>'04_MOTOR_CÁLCULO'!N187</f>
        <v>CNAE-STG</v>
      </c>
      <c r="F600" s="55">
        <f>'04_MOTOR_CÁLCULO'!K187</f>
        <v>1</v>
      </c>
      <c r="G600" s="56">
        <f>'04_MOTOR_CÁLCULO'!K187-1</f>
        <v>0</v>
      </c>
      <c r="H600" s="57" t="str">
        <f>'04_MOTOR_CÁLCULO'!M187</f>
        <v>Médio</v>
      </c>
    </row>
    <row r="601" spans="1:8" ht="13.5" customHeight="1" x14ac:dyDescent="0.25">
      <c r="A601" s="13" t="str">
        <f>'04_MOTOR_CÁLCULO'!A188</f>
        <v>1033-3/01</v>
      </c>
      <c r="B601" s="49" t="str">
        <f>'04_MOTOR_CÁLCULO'!B188</f>
        <v>C</v>
      </c>
      <c r="C601" s="101" t="str">
        <f>'04_MOTOR_CÁLCULO'!C188</f>
        <v>Fabricação de sucos concentrados de frutas, hortaliças e legumes</v>
      </c>
      <c r="D601" s="14" t="str">
        <f>'04_MOTOR_CÁLCULO'!D188</f>
        <v>FABRICAÇÃO DE PR</v>
      </c>
      <c r="E601" s="78" t="str">
        <f>'04_MOTOR_CÁLCULO'!N188</f>
        <v>CNAE-STG</v>
      </c>
      <c r="F601" s="55">
        <f>'04_MOTOR_CÁLCULO'!K188</f>
        <v>1</v>
      </c>
      <c r="G601" s="56">
        <f>'04_MOTOR_CÁLCULO'!K188-1</f>
        <v>0</v>
      </c>
      <c r="H601" s="57" t="str">
        <f>'04_MOTOR_CÁLCULO'!M188</f>
        <v>Médio</v>
      </c>
    </row>
    <row r="602" spans="1:8" ht="13.5" customHeight="1" x14ac:dyDescent="0.25">
      <c r="A602" s="24" t="str">
        <f>'04_MOTOR_CÁLCULO'!A189</f>
        <v>1033-3/02</v>
      </c>
      <c r="B602" s="38" t="str">
        <f>'04_MOTOR_CÁLCULO'!B189</f>
        <v>C</v>
      </c>
      <c r="C602" s="100" t="str">
        <f>'04_MOTOR_CÁLCULO'!C189</f>
        <v>Fabricação de sucos de frutas, hortaliças e legumes, exceto concentrados</v>
      </c>
      <c r="D602" s="25" t="str">
        <f>'04_MOTOR_CÁLCULO'!D189</f>
        <v>FABRICAÇÃO DE PR</v>
      </c>
      <c r="E602" s="78" t="str">
        <f>'04_MOTOR_CÁLCULO'!N189</f>
        <v>CNAE-STG</v>
      </c>
      <c r="F602" s="55">
        <f>'04_MOTOR_CÁLCULO'!K189</f>
        <v>1</v>
      </c>
      <c r="G602" s="56">
        <f>'04_MOTOR_CÁLCULO'!K189-1</f>
        <v>0</v>
      </c>
      <c r="H602" s="57" t="str">
        <f>'04_MOTOR_CÁLCULO'!M189</f>
        <v>Médio</v>
      </c>
    </row>
    <row r="603" spans="1:8" ht="13.5" customHeight="1" x14ac:dyDescent="0.25">
      <c r="A603" s="13" t="str">
        <f>'04_MOTOR_CÁLCULO'!A190</f>
        <v>1041-4/00</v>
      </c>
      <c r="B603" s="49" t="str">
        <f>'04_MOTOR_CÁLCULO'!B190</f>
        <v>C</v>
      </c>
      <c r="C603" s="101" t="str">
        <f>'04_MOTOR_CÁLCULO'!C190</f>
        <v>Fabricação de óleos vegetais em bruto, exceto óleo de milho</v>
      </c>
      <c r="D603" s="14" t="str">
        <f>'04_MOTOR_CÁLCULO'!D190</f>
        <v>FABRICAÇÃO DE PR</v>
      </c>
      <c r="E603" s="78" t="str">
        <f>'04_MOTOR_CÁLCULO'!N190</f>
        <v>CNAE-STG</v>
      </c>
      <c r="F603" s="55">
        <f>'04_MOTOR_CÁLCULO'!K190</f>
        <v>1</v>
      </c>
      <c r="G603" s="56">
        <f>'04_MOTOR_CÁLCULO'!K190-1</f>
        <v>0</v>
      </c>
      <c r="H603" s="57" t="str">
        <f>'04_MOTOR_CÁLCULO'!M190</f>
        <v>Médio</v>
      </c>
    </row>
    <row r="604" spans="1:8" ht="13.5" customHeight="1" x14ac:dyDescent="0.25">
      <c r="A604" s="24" t="str">
        <f>'04_MOTOR_CÁLCULO'!A191</f>
        <v>1042-2/00</v>
      </c>
      <c r="B604" s="38" t="str">
        <f>'04_MOTOR_CÁLCULO'!B191</f>
        <v>C</v>
      </c>
      <c r="C604" s="100" t="str">
        <f>'04_MOTOR_CÁLCULO'!C191</f>
        <v>Fabricação de óleos vegetais refinados, exceto óleo de milho</v>
      </c>
      <c r="D604" s="25" t="str">
        <f>'04_MOTOR_CÁLCULO'!D191</f>
        <v>FABRICAÇÃO DE PR</v>
      </c>
      <c r="E604" s="78" t="str">
        <f>'04_MOTOR_CÁLCULO'!N191</f>
        <v>CNAE-STG</v>
      </c>
      <c r="F604" s="55">
        <f>'04_MOTOR_CÁLCULO'!K191</f>
        <v>1</v>
      </c>
      <c r="G604" s="56">
        <f>'04_MOTOR_CÁLCULO'!K191-1</f>
        <v>0</v>
      </c>
      <c r="H604" s="57" t="str">
        <f>'04_MOTOR_CÁLCULO'!M191</f>
        <v>Médio</v>
      </c>
    </row>
    <row r="605" spans="1:8" ht="13.5" customHeight="1" x14ac:dyDescent="0.25">
      <c r="A605" s="13" t="str">
        <f>'04_MOTOR_CÁLCULO'!A192</f>
        <v>1043-1/00</v>
      </c>
      <c r="B605" s="49" t="str">
        <f>'04_MOTOR_CÁLCULO'!B192</f>
        <v>C</v>
      </c>
      <c r="C605" s="101" t="str">
        <f>'04_MOTOR_CÁLCULO'!C192</f>
        <v>Fabricação de margarina e outras gorduras vegetais e de óleos não comestíveis de animais</v>
      </c>
      <c r="D605" s="14" t="str">
        <f>'04_MOTOR_CÁLCULO'!D192</f>
        <v>FABRICAÇÃO DE PR</v>
      </c>
      <c r="E605" s="78" t="str">
        <f>'04_MOTOR_CÁLCULO'!N192</f>
        <v>CNAE-STG</v>
      </c>
      <c r="F605" s="55">
        <f>'04_MOTOR_CÁLCULO'!K192</f>
        <v>1</v>
      </c>
      <c r="G605" s="56">
        <f>'04_MOTOR_CÁLCULO'!K192-1</f>
        <v>0</v>
      </c>
      <c r="H605" s="57" t="str">
        <f>'04_MOTOR_CÁLCULO'!M192</f>
        <v>Médio</v>
      </c>
    </row>
    <row r="606" spans="1:8" ht="13.5" customHeight="1" x14ac:dyDescent="0.25">
      <c r="A606" s="24" t="str">
        <f>'04_MOTOR_CÁLCULO'!A193</f>
        <v>1051-1/00</v>
      </c>
      <c r="B606" s="38" t="str">
        <f>'04_MOTOR_CÁLCULO'!B193</f>
        <v>C</v>
      </c>
      <c r="C606" s="100" t="str">
        <f>'04_MOTOR_CÁLCULO'!C193</f>
        <v>Preparação do leite</v>
      </c>
      <c r="D606" s="25" t="str">
        <f>'04_MOTOR_CÁLCULO'!D193</f>
        <v>FABRICAÇÃO DE PR</v>
      </c>
      <c r="E606" s="78" t="str">
        <f>'04_MOTOR_CÁLCULO'!N193</f>
        <v>CNAE-STG</v>
      </c>
      <c r="F606" s="55">
        <f>'04_MOTOR_CÁLCULO'!K193</f>
        <v>1</v>
      </c>
      <c r="G606" s="56">
        <f>'04_MOTOR_CÁLCULO'!K193-1</f>
        <v>0</v>
      </c>
      <c r="H606" s="57" t="str">
        <f>'04_MOTOR_CÁLCULO'!M193</f>
        <v>Médio</v>
      </c>
    </row>
    <row r="607" spans="1:8" ht="13.5" customHeight="1" x14ac:dyDescent="0.25">
      <c r="A607" s="13" t="str">
        <f>'04_MOTOR_CÁLCULO'!A194</f>
        <v>1052-0/00</v>
      </c>
      <c r="B607" s="49" t="str">
        <f>'04_MOTOR_CÁLCULO'!B194</f>
        <v>C</v>
      </c>
      <c r="C607" s="101" t="str">
        <f>'04_MOTOR_CÁLCULO'!C194</f>
        <v>Fabricação de laticínios</v>
      </c>
      <c r="D607" s="14" t="str">
        <f>'04_MOTOR_CÁLCULO'!D194</f>
        <v>FABRICAÇÃO DE PR</v>
      </c>
      <c r="E607" s="78" t="str">
        <f>'04_MOTOR_CÁLCULO'!N194</f>
        <v>CNAE-STG</v>
      </c>
      <c r="F607" s="55">
        <f>'04_MOTOR_CÁLCULO'!K194</f>
        <v>1</v>
      </c>
      <c r="G607" s="56">
        <f>'04_MOTOR_CÁLCULO'!K194-1</f>
        <v>0</v>
      </c>
      <c r="H607" s="57" t="str">
        <f>'04_MOTOR_CÁLCULO'!M194</f>
        <v>Médio</v>
      </c>
    </row>
    <row r="608" spans="1:8" ht="13.5" customHeight="1" x14ac:dyDescent="0.25">
      <c r="A608" s="24" t="str">
        <f>'04_MOTOR_CÁLCULO'!A195</f>
        <v>1053-8/00</v>
      </c>
      <c r="B608" s="38" t="str">
        <f>'04_MOTOR_CÁLCULO'!B195</f>
        <v>C</v>
      </c>
      <c r="C608" s="100" t="str">
        <f>'04_MOTOR_CÁLCULO'!C195</f>
        <v>Fabricação de sorvetes e outros gelados comestíveis</v>
      </c>
      <c r="D608" s="25" t="str">
        <f>'04_MOTOR_CÁLCULO'!D195</f>
        <v>FABRICAÇÃO DE PR</v>
      </c>
      <c r="E608" s="78" t="str">
        <f>'04_MOTOR_CÁLCULO'!N195</f>
        <v>CNAE-STG</v>
      </c>
      <c r="F608" s="55">
        <f>'04_MOTOR_CÁLCULO'!K195</f>
        <v>1</v>
      </c>
      <c r="G608" s="56">
        <f>'04_MOTOR_CÁLCULO'!K195-1</f>
        <v>0</v>
      </c>
      <c r="H608" s="57" t="str">
        <f>'04_MOTOR_CÁLCULO'!M195</f>
        <v>Médio</v>
      </c>
    </row>
    <row r="609" spans="1:8" ht="13.5" customHeight="1" x14ac:dyDescent="0.25">
      <c r="A609" s="13" t="str">
        <f>'04_MOTOR_CÁLCULO'!A196</f>
        <v>1061-9/01</v>
      </c>
      <c r="B609" s="49" t="str">
        <f>'04_MOTOR_CÁLCULO'!B196</f>
        <v>C</v>
      </c>
      <c r="C609" s="101" t="str">
        <f>'04_MOTOR_CÁLCULO'!C196</f>
        <v>Beneficiamento de arroz</v>
      </c>
      <c r="D609" s="14" t="str">
        <f>'04_MOTOR_CÁLCULO'!D196</f>
        <v>FABRICAÇÃO DE PR</v>
      </c>
      <c r="E609" s="78" t="str">
        <f>'04_MOTOR_CÁLCULO'!N196</f>
        <v>CNAE-STG</v>
      </c>
      <c r="F609" s="55">
        <f>'04_MOTOR_CÁLCULO'!K196</f>
        <v>1</v>
      </c>
      <c r="G609" s="56">
        <f>'04_MOTOR_CÁLCULO'!K196-1</f>
        <v>0</v>
      </c>
      <c r="H609" s="57" t="str">
        <f>'04_MOTOR_CÁLCULO'!M196</f>
        <v>Médio</v>
      </c>
    </row>
    <row r="610" spans="1:8" ht="13.5" customHeight="1" x14ac:dyDescent="0.25">
      <c r="A610" s="24" t="str">
        <f>'04_MOTOR_CÁLCULO'!A197</f>
        <v>1061-9/02</v>
      </c>
      <c r="B610" s="38" t="str">
        <f>'04_MOTOR_CÁLCULO'!B197</f>
        <v>C</v>
      </c>
      <c r="C610" s="100" t="str">
        <f>'04_MOTOR_CÁLCULO'!C197</f>
        <v>Fabricação de produtos do arroz</v>
      </c>
      <c r="D610" s="25" t="str">
        <f>'04_MOTOR_CÁLCULO'!D197</f>
        <v>FABRICAÇÃO DE PR</v>
      </c>
      <c r="E610" s="78" t="str">
        <f>'04_MOTOR_CÁLCULO'!N197</f>
        <v>CNAE-STG</v>
      </c>
      <c r="F610" s="55">
        <f>'04_MOTOR_CÁLCULO'!K197</f>
        <v>1</v>
      </c>
      <c r="G610" s="56">
        <f>'04_MOTOR_CÁLCULO'!K197-1</f>
        <v>0</v>
      </c>
      <c r="H610" s="57" t="str">
        <f>'04_MOTOR_CÁLCULO'!M197</f>
        <v>Médio</v>
      </c>
    </row>
    <row r="611" spans="1:8" ht="13.5" customHeight="1" x14ac:dyDescent="0.25">
      <c r="A611" s="13" t="str">
        <f>'04_MOTOR_CÁLCULO'!A198</f>
        <v>1062-7/00</v>
      </c>
      <c r="B611" s="49" t="str">
        <f>'04_MOTOR_CÁLCULO'!B198</f>
        <v>C</v>
      </c>
      <c r="C611" s="101" t="str">
        <f>'04_MOTOR_CÁLCULO'!C198</f>
        <v>Moagem de trigo e fabricação de derivados</v>
      </c>
      <c r="D611" s="14" t="str">
        <f>'04_MOTOR_CÁLCULO'!D198</f>
        <v>FABRICAÇÃO DE PR</v>
      </c>
      <c r="E611" s="78" t="str">
        <f>'04_MOTOR_CÁLCULO'!N198</f>
        <v>CNAE-STG</v>
      </c>
      <c r="F611" s="55">
        <f>'04_MOTOR_CÁLCULO'!K198</f>
        <v>1</v>
      </c>
      <c r="G611" s="56">
        <f>'04_MOTOR_CÁLCULO'!K198-1</f>
        <v>0</v>
      </c>
      <c r="H611" s="57" t="str">
        <f>'04_MOTOR_CÁLCULO'!M198</f>
        <v>Médio</v>
      </c>
    </row>
    <row r="612" spans="1:8" ht="13.5" customHeight="1" x14ac:dyDescent="0.25">
      <c r="A612" s="24" t="str">
        <f>'04_MOTOR_CÁLCULO'!A199</f>
        <v>1063-5/00</v>
      </c>
      <c r="B612" s="38" t="str">
        <f>'04_MOTOR_CÁLCULO'!B199</f>
        <v>C</v>
      </c>
      <c r="C612" s="100" t="str">
        <f>'04_MOTOR_CÁLCULO'!C199</f>
        <v>Fabricação de farinha de mandioca e derivados</v>
      </c>
      <c r="D612" s="25" t="str">
        <f>'04_MOTOR_CÁLCULO'!D199</f>
        <v>FABRICAÇÃO DE PR</v>
      </c>
      <c r="E612" s="78" t="str">
        <f>'04_MOTOR_CÁLCULO'!N199</f>
        <v>CNAE-STG</v>
      </c>
      <c r="F612" s="55">
        <f>'04_MOTOR_CÁLCULO'!K199</f>
        <v>1</v>
      </c>
      <c r="G612" s="56">
        <f>'04_MOTOR_CÁLCULO'!K199-1</f>
        <v>0</v>
      </c>
      <c r="H612" s="57" t="str">
        <f>'04_MOTOR_CÁLCULO'!M199</f>
        <v>Médio</v>
      </c>
    </row>
    <row r="613" spans="1:8" ht="13.5" customHeight="1" x14ac:dyDescent="0.25">
      <c r="A613" s="13" t="str">
        <f>'04_MOTOR_CÁLCULO'!A200</f>
        <v>1064-3/00</v>
      </c>
      <c r="B613" s="49" t="str">
        <f>'04_MOTOR_CÁLCULO'!B200</f>
        <v>C</v>
      </c>
      <c r="C613" s="101" t="str">
        <f>'04_MOTOR_CÁLCULO'!C200</f>
        <v>Fabricação de farinha de milho e derivados, exceto óleos de milho</v>
      </c>
      <c r="D613" s="14" t="str">
        <f>'04_MOTOR_CÁLCULO'!D200</f>
        <v>FABRICAÇÃO DE PR</v>
      </c>
      <c r="E613" s="78" t="str">
        <f>'04_MOTOR_CÁLCULO'!N200</f>
        <v>CNAE-STG</v>
      </c>
      <c r="F613" s="55">
        <f>'04_MOTOR_CÁLCULO'!K200</f>
        <v>1</v>
      </c>
      <c r="G613" s="56">
        <f>'04_MOTOR_CÁLCULO'!K200-1</f>
        <v>0</v>
      </c>
      <c r="H613" s="57" t="str">
        <f>'04_MOTOR_CÁLCULO'!M200</f>
        <v>Médio</v>
      </c>
    </row>
    <row r="614" spans="1:8" ht="13.5" customHeight="1" x14ac:dyDescent="0.25">
      <c r="A614" s="24" t="str">
        <f>'04_MOTOR_CÁLCULO'!A201</f>
        <v>1065-1/01</v>
      </c>
      <c r="B614" s="38" t="str">
        <f>'04_MOTOR_CÁLCULO'!B201</f>
        <v>C</v>
      </c>
      <c r="C614" s="100" t="str">
        <f>'04_MOTOR_CÁLCULO'!C201</f>
        <v>Fabricação de amidos e féculas de vegetais</v>
      </c>
      <c r="D614" s="25" t="str">
        <f>'04_MOTOR_CÁLCULO'!D201</f>
        <v>FABRICAÇÃO DE PR</v>
      </c>
      <c r="E614" s="78" t="str">
        <f>'04_MOTOR_CÁLCULO'!N201</f>
        <v>CNAE-STG</v>
      </c>
      <c r="F614" s="55">
        <f>'04_MOTOR_CÁLCULO'!K201</f>
        <v>1</v>
      </c>
      <c r="G614" s="56">
        <f>'04_MOTOR_CÁLCULO'!K201-1</f>
        <v>0</v>
      </c>
      <c r="H614" s="57" t="str">
        <f>'04_MOTOR_CÁLCULO'!M201</f>
        <v>Médio</v>
      </c>
    </row>
    <row r="615" spans="1:8" ht="13.5" customHeight="1" x14ac:dyDescent="0.25">
      <c r="A615" s="13" t="str">
        <f>'04_MOTOR_CÁLCULO'!A202</f>
        <v>1065-1/02</v>
      </c>
      <c r="B615" s="49" t="str">
        <f>'04_MOTOR_CÁLCULO'!B202</f>
        <v>C</v>
      </c>
      <c r="C615" s="101" t="str">
        <f>'04_MOTOR_CÁLCULO'!C202</f>
        <v>Fabricação de óleo de milho em bruto</v>
      </c>
      <c r="D615" s="14" t="str">
        <f>'04_MOTOR_CÁLCULO'!D202</f>
        <v>FABRICAÇÃO DE PR</v>
      </c>
      <c r="E615" s="78" t="str">
        <f>'04_MOTOR_CÁLCULO'!N202</f>
        <v>CNAE-STG</v>
      </c>
      <c r="F615" s="55">
        <f>'04_MOTOR_CÁLCULO'!K202</f>
        <v>1</v>
      </c>
      <c r="G615" s="56">
        <f>'04_MOTOR_CÁLCULO'!K202-1</f>
        <v>0</v>
      </c>
      <c r="H615" s="57" t="str">
        <f>'04_MOTOR_CÁLCULO'!M202</f>
        <v>Médio</v>
      </c>
    </row>
    <row r="616" spans="1:8" ht="13.5" customHeight="1" x14ac:dyDescent="0.25">
      <c r="A616" s="24" t="str">
        <f>'04_MOTOR_CÁLCULO'!A203</f>
        <v>1065-1/03</v>
      </c>
      <c r="B616" s="38" t="str">
        <f>'04_MOTOR_CÁLCULO'!B203</f>
        <v>C</v>
      </c>
      <c r="C616" s="100" t="str">
        <f>'04_MOTOR_CÁLCULO'!C203</f>
        <v>Fabricação de óleo de milho refinado</v>
      </c>
      <c r="D616" s="25" t="str">
        <f>'04_MOTOR_CÁLCULO'!D203</f>
        <v>FABRICAÇÃO DE PR</v>
      </c>
      <c r="E616" s="78" t="str">
        <f>'04_MOTOR_CÁLCULO'!N203</f>
        <v>CNAE-STG</v>
      </c>
      <c r="F616" s="55">
        <f>'04_MOTOR_CÁLCULO'!K203</f>
        <v>1</v>
      </c>
      <c r="G616" s="56">
        <f>'04_MOTOR_CÁLCULO'!K203-1</f>
        <v>0</v>
      </c>
      <c r="H616" s="57" t="str">
        <f>'04_MOTOR_CÁLCULO'!M203</f>
        <v>Médio</v>
      </c>
    </row>
    <row r="617" spans="1:8" ht="13.5" customHeight="1" x14ac:dyDescent="0.25">
      <c r="A617" s="13" t="str">
        <f>'04_MOTOR_CÁLCULO'!A204</f>
        <v>1066-0/00</v>
      </c>
      <c r="B617" s="49" t="str">
        <f>'04_MOTOR_CÁLCULO'!B204</f>
        <v>C</v>
      </c>
      <c r="C617" s="101" t="str">
        <f>'04_MOTOR_CÁLCULO'!C204</f>
        <v>Fabricação de alimentos para animais</v>
      </c>
      <c r="D617" s="14" t="str">
        <f>'04_MOTOR_CÁLCULO'!D204</f>
        <v>FABRICAÇÃO DE PR</v>
      </c>
      <c r="E617" s="78" t="str">
        <f>'04_MOTOR_CÁLCULO'!N204</f>
        <v>CNAE-STG</v>
      </c>
      <c r="F617" s="55">
        <f>'04_MOTOR_CÁLCULO'!K204</f>
        <v>1</v>
      </c>
      <c r="G617" s="56">
        <f>'04_MOTOR_CÁLCULO'!K204-1</f>
        <v>0</v>
      </c>
      <c r="H617" s="57" t="str">
        <f>'04_MOTOR_CÁLCULO'!M204</f>
        <v>Médio</v>
      </c>
    </row>
    <row r="618" spans="1:8" ht="13.5" customHeight="1" x14ac:dyDescent="0.25">
      <c r="A618" s="24" t="str">
        <f>'04_MOTOR_CÁLCULO'!A205</f>
        <v>1069-4/00</v>
      </c>
      <c r="B618" s="38" t="str">
        <f>'04_MOTOR_CÁLCULO'!B205</f>
        <v>C</v>
      </c>
      <c r="C618" s="100" t="str">
        <f>'04_MOTOR_CÁLCULO'!C205</f>
        <v>Moagem e fabricação de produtos de origem vegetal não especificados anteriormente</v>
      </c>
      <c r="D618" s="25" t="str">
        <f>'04_MOTOR_CÁLCULO'!D205</f>
        <v>FABRICAÇÃO DE PR</v>
      </c>
      <c r="E618" s="78" t="str">
        <f>'04_MOTOR_CÁLCULO'!N205</f>
        <v>CNAE-STG</v>
      </c>
      <c r="F618" s="55">
        <f>'04_MOTOR_CÁLCULO'!K205</f>
        <v>1</v>
      </c>
      <c r="G618" s="56">
        <f>'04_MOTOR_CÁLCULO'!K205-1</f>
        <v>0</v>
      </c>
      <c r="H618" s="57" t="str">
        <f>'04_MOTOR_CÁLCULO'!M205</f>
        <v>Médio</v>
      </c>
    </row>
    <row r="619" spans="1:8" ht="13.5" customHeight="1" x14ac:dyDescent="0.25">
      <c r="A619" s="13" t="str">
        <f>'04_MOTOR_CÁLCULO'!A206</f>
        <v>1071-6/00</v>
      </c>
      <c r="B619" s="49" t="str">
        <f>'04_MOTOR_CÁLCULO'!B206</f>
        <v>C</v>
      </c>
      <c r="C619" s="101" t="str">
        <f>'04_MOTOR_CÁLCULO'!C206</f>
        <v>Fabricação de açúcar em bruto</v>
      </c>
      <c r="D619" s="14" t="str">
        <f>'04_MOTOR_CÁLCULO'!D206</f>
        <v>FABRICAÇÃO DE PR</v>
      </c>
      <c r="E619" s="78" t="str">
        <f>'04_MOTOR_CÁLCULO'!N206</f>
        <v>CNAE-STG</v>
      </c>
      <c r="F619" s="55">
        <f>'04_MOTOR_CÁLCULO'!K206</f>
        <v>1</v>
      </c>
      <c r="G619" s="56">
        <f>'04_MOTOR_CÁLCULO'!K206-1</f>
        <v>0</v>
      </c>
      <c r="H619" s="57" t="str">
        <f>'04_MOTOR_CÁLCULO'!M206</f>
        <v>Médio</v>
      </c>
    </row>
    <row r="620" spans="1:8" ht="13.5" customHeight="1" x14ac:dyDescent="0.25">
      <c r="A620" s="24" t="str">
        <f>'04_MOTOR_CÁLCULO'!A207</f>
        <v>1072-4/01</v>
      </c>
      <c r="B620" s="38" t="str">
        <f>'04_MOTOR_CÁLCULO'!B207</f>
        <v>C</v>
      </c>
      <c r="C620" s="100" t="str">
        <f>'04_MOTOR_CÁLCULO'!C207</f>
        <v>Fabricação de açúcar de cana refinado</v>
      </c>
      <c r="D620" s="25" t="str">
        <f>'04_MOTOR_CÁLCULO'!D207</f>
        <v>FABRICAÇÃO DE PR</v>
      </c>
      <c r="E620" s="78" t="str">
        <f>'04_MOTOR_CÁLCULO'!N207</f>
        <v>CNAE-STG</v>
      </c>
      <c r="F620" s="55">
        <f>'04_MOTOR_CÁLCULO'!K207</f>
        <v>1</v>
      </c>
      <c r="G620" s="56">
        <f>'04_MOTOR_CÁLCULO'!K207-1</f>
        <v>0</v>
      </c>
      <c r="H620" s="57" t="str">
        <f>'04_MOTOR_CÁLCULO'!M207</f>
        <v>Médio</v>
      </c>
    </row>
    <row r="621" spans="1:8" ht="13.5" customHeight="1" x14ac:dyDescent="0.25">
      <c r="A621" s="13" t="str">
        <f>'04_MOTOR_CÁLCULO'!A208</f>
        <v>1072-4/02</v>
      </c>
      <c r="B621" s="49" t="str">
        <f>'04_MOTOR_CÁLCULO'!B208</f>
        <v>C</v>
      </c>
      <c r="C621" s="101" t="str">
        <f>'04_MOTOR_CÁLCULO'!C208</f>
        <v>Fabricação de açúcar de cereais (dextrose) e de beterraba</v>
      </c>
      <c r="D621" s="14" t="str">
        <f>'04_MOTOR_CÁLCULO'!D208</f>
        <v>FABRICAÇÃO DE PR</v>
      </c>
      <c r="E621" s="78" t="str">
        <f>'04_MOTOR_CÁLCULO'!N208</f>
        <v>CNAE-STG</v>
      </c>
      <c r="F621" s="55">
        <f>'04_MOTOR_CÁLCULO'!K208</f>
        <v>1</v>
      </c>
      <c r="G621" s="56">
        <f>'04_MOTOR_CÁLCULO'!K208-1</f>
        <v>0</v>
      </c>
      <c r="H621" s="57" t="str">
        <f>'04_MOTOR_CÁLCULO'!M208</f>
        <v>Médio</v>
      </c>
    </row>
    <row r="622" spans="1:8" ht="13.5" customHeight="1" x14ac:dyDescent="0.25">
      <c r="A622" s="24" t="str">
        <f>'04_MOTOR_CÁLCULO'!A209</f>
        <v>1081-3/01</v>
      </c>
      <c r="B622" s="38" t="str">
        <f>'04_MOTOR_CÁLCULO'!B209</f>
        <v>C</v>
      </c>
      <c r="C622" s="100" t="str">
        <f>'04_MOTOR_CÁLCULO'!C209</f>
        <v>Beneficiamento de café</v>
      </c>
      <c r="D622" s="25" t="str">
        <f>'04_MOTOR_CÁLCULO'!D209</f>
        <v>FABRICAÇÃO DE PR</v>
      </c>
      <c r="E622" s="78" t="str">
        <f>'04_MOTOR_CÁLCULO'!N209</f>
        <v>CNAE-STG</v>
      </c>
      <c r="F622" s="55">
        <f>'04_MOTOR_CÁLCULO'!K209</f>
        <v>1</v>
      </c>
      <c r="G622" s="56">
        <f>'04_MOTOR_CÁLCULO'!K209-1</f>
        <v>0</v>
      </c>
      <c r="H622" s="57" t="str">
        <f>'04_MOTOR_CÁLCULO'!M209</f>
        <v>Médio</v>
      </c>
    </row>
    <row r="623" spans="1:8" ht="13.5" customHeight="1" x14ac:dyDescent="0.25">
      <c r="A623" s="13" t="str">
        <f>'04_MOTOR_CÁLCULO'!A210</f>
        <v>1081-3/02</v>
      </c>
      <c r="B623" s="49" t="str">
        <f>'04_MOTOR_CÁLCULO'!B210</f>
        <v>C</v>
      </c>
      <c r="C623" s="101" t="str">
        <f>'04_MOTOR_CÁLCULO'!C210</f>
        <v>Torrefação e moagem de café</v>
      </c>
      <c r="D623" s="14" t="str">
        <f>'04_MOTOR_CÁLCULO'!D210</f>
        <v>FABRICAÇÃO DE PR</v>
      </c>
      <c r="E623" s="78" t="str">
        <f>'04_MOTOR_CÁLCULO'!N210</f>
        <v>CNAE-STG</v>
      </c>
      <c r="F623" s="55">
        <f>'04_MOTOR_CÁLCULO'!K210</f>
        <v>1</v>
      </c>
      <c r="G623" s="56">
        <f>'04_MOTOR_CÁLCULO'!K210-1</f>
        <v>0</v>
      </c>
      <c r="H623" s="57" t="str">
        <f>'04_MOTOR_CÁLCULO'!M210</f>
        <v>Médio</v>
      </c>
    </row>
    <row r="624" spans="1:8" ht="13.5" customHeight="1" x14ac:dyDescent="0.25">
      <c r="A624" s="24" t="str">
        <f>'04_MOTOR_CÁLCULO'!A211</f>
        <v>1082-1/00</v>
      </c>
      <c r="B624" s="38" t="str">
        <f>'04_MOTOR_CÁLCULO'!B211</f>
        <v>C</v>
      </c>
      <c r="C624" s="100" t="str">
        <f>'04_MOTOR_CÁLCULO'!C211</f>
        <v>Fabricação de produtos à base de café</v>
      </c>
      <c r="D624" s="25" t="str">
        <f>'04_MOTOR_CÁLCULO'!D211</f>
        <v>FABRICAÇÃO DE PR</v>
      </c>
      <c r="E624" s="78" t="str">
        <f>'04_MOTOR_CÁLCULO'!N211</f>
        <v>CNAE-STG</v>
      </c>
      <c r="F624" s="55">
        <f>'04_MOTOR_CÁLCULO'!K211</f>
        <v>1</v>
      </c>
      <c r="G624" s="56">
        <f>'04_MOTOR_CÁLCULO'!K211-1</f>
        <v>0</v>
      </c>
      <c r="H624" s="57" t="str">
        <f>'04_MOTOR_CÁLCULO'!M211</f>
        <v>Médio</v>
      </c>
    </row>
    <row r="625" spans="1:8" ht="13.5" customHeight="1" x14ac:dyDescent="0.25">
      <c r="A625" s="13" t="str">
        <f>'04_MOTOR_CÁLCULO'!A212</f>
        <v>1091-1/01</v>
      </c>
      <c r="B625" s="49" t="str">
        <f>'04_MOTOR_CÁLCULO'!B212</f>
        <v>C</v>
      </c>
      <c r="C625" s="101" t="str">
        <f>'04_MOTOR_CÁLCULO'!C212</f>
        <v>Fabricação de produtos de panificação industrial</v>
      </c>
      <c r="D625" s="14" t="str">
        <f>'04_MOTOR_CÁLCULO'!D212</f>
        <v>FABRICAÇÃO DE PR</v>
      </c>
      <c r="E625" s="78" t="str">
        <f>'04_MOTOR_CÁLCULO'!N212</f>
        <v>CNAE-STG</v>
      </c>
      <c r="F625" s="55">
        <f>'04_MOTOR_CÁLCULO'!K212</f>
        <v>1</v>
      </c>
      <c r="G625" s="56">
        <f>'04_MOTOR_CÁLCULO'!K212-1</f>
        <v>0</v>
      </c>
      <c r="H625" s="57" t="str">
        <f>'04_MOTOR_CÁLCULO'!M212</f>
        <v>Médio</v>
      </c>
    </row>
    <row r="626" spans="1:8" ht="13.5" customHeight="1" x14ac:dyDescent="0.25">
      <c r="A626" s="24" t="str">
        <f>'04_MOTOR_CÁLCULO'!A213</f>
        <v>1091-1/02</v>
      </c>
      <c r="B626" s="38" t="str">
        <f>'04_MOTOR_CÁLCULO'!B213</f>
        <v>C</v>
      </c>
      <c r="C626" s="100" t="str">
        <f>'04_MOTOR_CÁLCULO'!C213</f>
        <v>Fabricação de produtos de padaria e confeitaria com predominância de produção própria</v>
      </c>
      <c r="D626" s="25" t="str">
        <f>'04_MOTOR_CÁLCULO'!D213</f>
        <v>FABRICAÇÃO DE PR</v>
      </c>
      <c r="E626" s="78" t="str">
        <f>'04_MOTOR_CÁLCULO'!N213</f>
        <v>CNAE-STG</v>
      </c>
      <c r="F626" s="55">
        <f>'04_MOTOR_CÁLCULO'!K213</f>
        <v>1</v>
      </c>
      <c r="G626" s="56">
        <f>'04_MOTOR_CÁLCULO'!K213-1</f>
        <v>0</v>
      </c>
      <c r="H626" s="57" t="str">
        <f>'04_MOTOR_CÁLCULO'!M213</f>
        <v>Médio</v>
      </c>
    </row>
    <row r="627" spans="1:8" ht="13.5" customHeight="1" x14ac:dyDescent="0.25">
      <c r="A627" s="13" t="str">
        <f>'04_MOTOR_CÁLCULO'!A214</f>
        <v>1092-9/00</v>
      </c>
      <c r="B627" s="49" t="str">
        <f>'04_MOTOR_CÁLCULO'!B214</f>
        <v>C</v>
      </c>
      <c r="C627" s="101" t="str">
        <f>'04_MOTOR_CÁLCULO'!C214</f>
        <v>Fabricação de biscoitos e bolachas</v>
      </c>
      <c r="D627" s="14" t="str">
        <f>'04_MOTOR_CÁLCULO'!D214</f>
        <v>FABRICAÇÃO DE PR</v>
      </c>
      <c r="E627" s="78" t="str">
        <f>'04_MOTOR_CÁLCULO'!N214</f>
        <v>CNAE-STG</v>
      </c>
      <c r="F627" s="55">
        <f>'04_MOTOR_CÁLCULO'!K214</f>
        <v>1</v>
      </c>
      <c r="G627" s="56">
        <f>'04_MOTOR_CÁLCULO'!K214-1</f>
        <v>0</v>
      </c>
      <c r="H627" s="57" t="str">
        <f>'04_MOTOR_CÁLCULO'!M214</f>
        <v>Médio</v>
      </c>
    </row>
    <row r="628" spans="1:8" ht="13.5" customHeight="1" x14ac:dyDescent="0.25">
      <c r="A628" s="24" t="str">
        <f>'04_MOTOR_CÁLCULO'!A215</f>
        <v>1093-7/01</v>
      </c>
      <c r="B628" s="38" t="str">
        <f>'04_MOTOR_CÁLCULO'!B215</f>
        <v>C</v>
      </c>
      <c r="C628" s="100" t="str">
        <f>'04_MOTOR_CÁLCULO'!C215</f>
        <v>Fabricação de produtos derivados do cacau e de chocolates</v>
      </c>
      <c r="D628" s="25" t="str">
        <f>'04_MOTOR_CÁLCULO'!D215</f>
        <v>FABRICAÇÃO DE PR</v>
      </c>
      <c r="E628" s="78" t="str">
        <f>'04_MOTOR_CÁLCULO'!N215</f>
        <v>CNAE-STG</v>
      </c>
      <c r="F628" s="55">
        <f>'04_MOTOR_CÁLCULO'!K215</f>
        <v>1</v>
      </c>
      <c r="G628" s="56">
        <f>'04_MOTOR_CÁLCULO'!K215-1</f>
        <v>0</v>
      </c>
      <c r="H628" s="57" t="str">
        <f>'04_MOTOR_CÁLCULO'!M215</f>
        <v>Médio</v>
      </c>
    </row>
    <row r="629" spans="1:8" ht="13.5" customHeight="1" x14ac:dyDescent="0.25">
      <c r="A629" s="13" t="str">
        <f>'04_MOTOR_CÁLCULO'!A216</f>
        <v>1093-7/02</v>
      </c>
      <c r="B629" s="49" t="str">
        <f>'04_MOTOR_CÁLCULO'!B216</f>
        <v>C</v>
      </c>
      <c r="C629" s="101" t="str">
        <f>'04_MOTOR_CÁLCULO'!C216</f>
        <v>Fabricação de frutas cristalizadas, balas e semelhantes</v>
      </c>
      <c r="D629" s="14" t="str">
        <f>'04_MOTOR_CÁLCULO'!D216</f>
        <v>FABRICAÇÃO DE PR</v>
      </c>
      <c r="E629" s="78" t="str">
        <f>'04_MOTOR_CÁLCULO'!N216</f>
        <v>CNAE-STG</v>
      </c>
      <c r="F629" s="55">
        <f>'04_MOTOR_CÁLCULO'!K216</f>
        <v>1</v>
      </c>
      <c r="G629" s="56">
        <f>'04_MOTOR_CÁLCULO'!K216-1</f>
        <v>0</v>
      </c>
      <c r="H629" s="57" t="str">
        <f>'04_MOTOR_CÁLCULO'!M216</f>
        <v>Médio</v>
      </c>
    </row>
    <row r="630" spans="1:8" ht="13.5" customHeight="1" x14ac:dyDescent="0.25">
      <c r="A630" s="24" t="str">
        <f>'04_MOTOR_CÁLCULO'!A217</f>
        <v>1094-5/00</v>
      </c>
      <c r="B630" s="38" t="str">
        <f>'04_MOTOR_CÁLCULO'!B217</f>
        <v>C</v>
      </c>
      <c r="C630" s="100" t="str">
        <f>'04_MOTOR_CÁLCULO'!C217</f>
        <v>Fabricação de massas alimentícias</v>
      </c>
      <c r="D630" s="25" t="str">
        <f>'04_MOTOR_CÁLCULO'!D217</f>
        <v>FABRICAÇÃO DE PR</v>
      </c>
      <c r="E630" s="78" t="str">
        <f>'04_MOTOR_CÁLCULO'!N217</f>
        <v>CNAE-STG</v>
      </c>
      <c r="F630" s="55">
        <f>'04_MOTOR_CÁLCULO'!K217</f>
        <v>1</v>
      </c>
      <c r="G630" s="56">
        <f>'04_MOTOR_CÁLCULO'!K217-1</f>
        <v>0</v>
      </c>
      <c r="H630" s="57" t="str">
        <f>'04_MOTOR_CÁLCULO'!M217</f>
        <v>Médio</v>
      </c>
    </row>
    <row r="631" spans="1:8" ht="13.5" customHeight="1" x14ac:dyDescent="0.25">
      <c r="A631" s="13" t="str">
        <f>'04_MOTOR_CÁLCULO'!A218</f>
        <v>1095-3/00</v>
      </c>
      <c r="B631" s="49" t="str">
        <f>'04_MOTOR_CÁLCULO'!B218</f>
        <v>C</v>
      </c>
      <c r="C631" s="101" t="str">
        <f>'04_MOTOR_CÁLCULO'!C218</f>
        <v>Fabricação de especiarias, molhos, temperos e condimentos</v>
      </c>
      <c r="D631" s="14" t="str">
        <f>'04_MOTOR_CÁLCULO'!D218</f>
        <v>FABRICAÇÃO DE PR</v>
      </c>
      <c r="E631" s="78" t="str">
        <f>'04_MOTOR_CÁLCULO'!N218</f>
        <v>CNAE-STG</v>
      </c>
      <c r="F631" s="55">
        <f>'04_MOTOR_CÁLCULO'!K218</f>
        <v>1</v>
      </c>
      <c r="G631" s="56">
        <f>'04_MOTOR_CÁLCULO'!K218-1</f>
        <v>0</v>
      </c>
      <c r="H631" s="57" t="str">
        <f>'04_MOTOR_CÁLCULO'!M218</f>
        <v>Médio</v>
      </c>
    </row>
    <row r="632" spans="1:8" ht="13.5" customHeight="1" x14ac:dyDescent="0.25">
      <c r="A632" s="24" t="str">
        <f>'04_MOTOR_CÁLCULO'!A219</f>
        <v>1096-1/00</v>
      </c>
      <c r="B632" s="38" t="str">
        <f>'04_MOTOR_CÁLCULO'!B219</f>
        <v>C</v>
      </c>
      <c r="C632" s="100" t="str">
        <f>'04_MOTOR_CÁLCULO'!C219</f>
        <v>Fabricação de alimentos e pratos prontos</v>
      </c>
      <c r="D632" s="25" t="str">
        <f>'04_MOTOR_CÁLCULO'!D219</f>
        <v>FABRICAÇÃO DE PR</v>
      </c>
      <c r="E632" s="78" t="str">
        <f>'04_MOTOR_CÁLCULO'!N219</f>
        <v>CNAE-STG</v>
      </c>
      <c r="F632" s="55">
        <f>'04_MOTOR_CÁLCULO'!K219</f>
        <v>1</v>
      </c>
      <c r="G632" s="56">
        <f>'04_MOTOR_CÁLCULO'!K219-1</f>
        <v>0</v>
      </c>
      <c r="H632" s="57" t="str">
        <f>'04_MOTOR_CÁLCULO'!M219</f>
        <v>Médio</v>
      </c>
    </row>
    <row r="633" spans="1:8" ht="13.5" customHeight="1" x14ac:dyDescent="0.25">
      <c r="A633" s="13" t="str">
        <f>'04_MOTOR_CÁLCULO'!A220</f>
        <v>1099-6/01</v>
      </c>
      <c r="B633" s="49" t="str">
        <f>'04_MOTOR_CÁLCULO'!B220</f>
        <v>C</v>
      </c>
      <c r="C633" s="101" t="str">
        <f>'04_MOTOR_CÁLCULO'!C220</f>
        <v>Fabricação de vinagres</v>
      </c>
      <c r="D633" s="14" t="str">
        <f>'04_MOTOR_CÁLCULO'!D220</f>
        <v>FABRICAÇÃO DE PR</v>
      </c>
      <c r="E633" s="78" t="str">
        <f>'04_MOTOR_CÁLCULO'!N220</f>
        <v>CNAE-STG</v>
      </c>
      <c r="F633" s="55">
        <f>'04_MOTOR_CÁLCULO'!K220</f>
        <v>1</v>
      </c>
      <c r="G633" s="56">
        <f>'04_MOTOR_CÁLCULO'!K220-1</f>
        <v>0</v>
      </c>
      <c r="H633" s="57" t="str">
        <f>'04_MOTOR_CÁLCULO'!M220</f>
        <v>Médio</v>
      </c>
    </row>
    <row r="634" spans="1:8" ht="13.5" customHeight="1" x14ac:dyDescent="0.25">
      <c r="A634" s="24" t="str">
        <f>'04_MOTOR_CÁLCULO'!A221</f>
        <v>1099-6/02</v>
      </c>
      <c r="B634" s="38" t="str">
        <f>'04_MOTOR_CÁLCULO'!B221</f>
        <v>C</v>
      </c>
      <c r="C634" s="100" t="str">
        <f>'04_MOTOR_CÁLCULO'!C221</f>
        <v>Fabricação de pós-alimentícios</v>
      </c>
      <c r="D634" s="25" t="str">
        <f>'04_MOTOR_CÁLCULO'!D221</f>
        <v>FABRICAÇÃO DE PR</v>
      </c>
      <c r="E634" s="78" t="str">
        <f>'04_MOTOR_CÁLCULO'!N221</f>
        <v>CNAE-STG</v>
      </c>
      <c r="F634" s="55">
        <f>'04_MOTOR_CÁLCULO'!K221</f>
        <v>1</v>
      </c>
      <c r="G634" s="56">
        <f>'04_MOTOR_CÁLCULO'!K221-1</f>
        <v>0</v>
      </c>
      <c r="H634" s="57" t="str">
        <f>'04_MOTOR_CÁLCULO'!M221</f>
        <v>Médio</v>
      </c>
    </row>
    <row r="635" spans="1:8" ht="13.5" customHeight="1" x14ac:dyDescent="0.25">
      <c r="A635" s="13" t="str">
        <f>'04_MOTOR_CÁLCULO'!A222</f>
        <v>1099-6/03</v>
      </c>
      <c r="B635" s="49" t="str">
        <f>'04_MOTOR_CÁLCULO'!B222</f>
        <v>C</v>
      </c>
      <c r="C635" s="101" t="str">
        <f>'04_MOTOR_CÁLCULO'!C222</f>
        <v>Fabricação de fermentos e leveduras</v>
      </c>
      <c r="D635" s="14" t="str">
        <f>'04_MOTOR_CÁLCULO'!D222</f>
        <v>FABRICAÇÃO DE PR</v>
      </c>
      <c r="E635" s="78" t="str">
        <f>'04_MOTOR_CÁLCULO'!N222</f>
        <v>CNAE-STG</v>
      </c>
      <c r="F635" s="55">
        <f>'04_MOTOR_CÁLCULO'!K222</f>
        <v>1</v>
      </c>
      <c r="G635" s="56">
        <f>'04_MOTOR_CÁLCULO'!K222-1</f>
        <v>0</v>
      </c>
      <c r="H635" s="57" t="str">
        <f>'04_MOTOR_CÁLCULO'!M222</f>
        <v>Médio</v>
      </c>
    </row>
    <row r="636" spans="1:8" ht="13.5" customHeight="1" x14ac:dyDescent="0.25">
      <c r="A636" s="24" t="str">
        <f>'04_MOTOR_CÁLCULO'!A223</f>
        <v>1099-6/04</v>
      </c>
      <c r="B636" s="38" t="str">
        <f>'04_MOTOR_CÁLCULO'!B223</f>
        <v>C</v>
      </c>
      <c r="C636" s="100" t="str">
        <f>'04_MOTOR_CÁLCULO'!C223</f>
        <v>Fabricação de gelo comum</v>
      </c>
      <c r="D636" s="25" t="str">
        <f>'04_MOTOR_CÁLCULO'!D223</f>
        <v>FABRICAÇÃO DE PR</v>
      </c>
      <c r="E636" s="78" t="str">
        <f>'04_MOTOR_CÁLCULO'!N223</f>
        <v>CNAE-STG</v>
      </c>
      <c r="F636" s="55">
        <f>'04_MOTOR_CÁLCULO'!K223</f>
        <v>1</v>
      </c>
      <c r="G636" s="56">
        <f>'04_MOTOR_CÁLCULO'!K223-1</f>
        <v>0</v>
      </c>
      <c r="H636" s="57" t="str">
        <f>'04_MOTOR_CÁLCULO'!M223</f>
        <v>Médio</v>
      </c>
    </row>
    <row r="637" spans="1:8" ht="13.5" customHeight="1" x14ac:dyDescent="0.25">
      <c r="A637" s="13" t="str">
        <f>'04_MOTOR_CÁLCULO'!A224</f>
        <v>1099-6/05</v>
      </c>
      <c r="B637" s="49" t="str">
        <f>'04_MOTOR_CÁLCULO'!B224</f>
        <v>C</v>
      </c>
      <c r="C637" s="101" t="str">
        <f>'04_MOTOR_CÁLCULO'!C224</f>
        <v>Fabricação de produtos para infusão (chá, mate, etc.)</v>
      </c>
      <c r="D637" s="14" t="str">
        <f>'04_MOTOR_CÁLCULO'!D224</f>
        <v>FABRICAÇÃO DE PR</v>
      </c>
      <c r="E637" s="78" t="str">
        <f>'04_MOTOR_CÁLCULO'!N224</f>
        <v>CNAE-STG</v>
      </c>
      <c r="F637" s="55">
        <f>'04_MOTOR_CÁLCULO'!K224</f>
        <v>1</v>
      </c>
      <c r="G637" s="56">
        <f>'04_MOTOR_CÁLCULO'!K224-1</f>
        <v>0</v>
      </c>
      <c r="H637" s="57" t="str">
        <f>'04_MOTOR_CÁLCULO'!M224</f>
        <v>Médio</v>
      </c>
    </row>
    <row r="638" spans="1:8" ht="13.5" customHeight="1" x14ac:dyDescent="0.25">
      <c r="A638" s="24" t="str">
        <f>'04_MOTOR_CÁLCULO'!A225</f>
        <v>1099-6/06</v>
      </c>
      <c r="B638" s="38" t="str">
        <f>'04_MOTOR_CÁLCULO'!B225</f>
        <v>C</v>
      </c>
      <c r="C638" s="100" t="str">
        <f>'04_MOTOR_CÁLCULO'!C225</f>
        <v>Fabricação de adoçantes naturais e artificiais</v>
      </c>
      <c r="D638" s="25" t="str">
        <f>'04_MOTOR_CÁLCULO'!D225</f>
        <v>FABRICAÇÃO DE PR</v>
      </c>
      <c r="E638" s="78" t="str">
        <f>'04_MOTOR_CÁLCULO'!N225</f>
        <v>CNAE-STG</v>
      </c>
      <c r="F638" s="55">
        <f>'04_MOTOR_CÁLCULO'!K225</f>
        <v>1</v>
      </c>
      <c r="G638" s="56">
        <f>'04_MOTOR_CÁLCULO'!K225-1</f>
        <v>0</v>
      </c>
      <c r="H638" s="57" t="str">
        <f>'04_MOTOR_CÁLCULO'!M225</f>
        <v>Médio</v>
      </c>
    </row>
    <row r="639" spans="1:8" ht="13.5" customHeight="1" x14ac:dyDescent="0.25">
      <c r="A639" s="13" t="str">
        <f>'04_MOTOR_CÁLCULO'!A226</f>
        <v>1099-6/07</v>
      </c>
      <c r="B639" s="49" t="str">
        <f>'04_MOTOR_CÁLCULO'!B226</f>
        <v>C</v>
      </c>
      <c r="C639" s="101" t="str">
        <f>'04_MOTOR_CÁLCULO'!C226</f>
        <v>Fabricação de alimentos dietéticos e complementos alimentares</v>
      </c>
      <c r="D639" s="14" t="str">
        <f>'04_MOTOR_CÁLCULO'!D226</f>
        <v>FABRICAÇÃO DE PR</v>
      </c>
      <c r="E639" s="78" t="str">
        <f>'04_MOTOR_CÁLCULO'!N226</f>
        <v>CNAE-STG</v>
      </c>
      <c r="F639" s="55">
        <f>'04_MOTOR_CÁLCULO'!K226</f>
        <v>1</v>
      </c>
      <c r="G639" s="56">
        <f>'04_MOTOR_CÁLCULO'!K226-1</f>
        <v>0</v>
      </c>
      <c r="H639" s="57" t="str">
        <f>'04_MOTOR_CÁLCULO'!M226</f>
        <v>Médio</v>
      </c>
    </row>
    <row r="640" spans="1:8" ht="13.5" customHeight="1" x14ac:dyDescent="0.25">
      <c r="A640" s="24" t="str">
        <f>'04_MOTOR_CÁLCULO'!A227</f>
        <v>1099-6/99</v>
      </c>
      <c r="B640" s="38" t="str">
        <f>'04_MOTOR_CÁLCULO'!B227</f>
        <v>C</v>
      </c>
      <c r="C640" s="100" t="str">
        <f>'04_MOTOR_CÁLCULO'!C227</f>
        <v>Fabricação de outros produtos alimentícios não especificados anteriormente</v>
      </c>
      <c r="D640" s="25" t="str">
        <f>'04_MOTOR_CÁLCULO'!D227</f>
        <v>FABRICAÇÃO DE PR</v>
      </c>
      <c r="E640" s="78" t="str">
        <f>'04_MOTOR_CÁLCULO'!N227</f>
        <v>CNAE-STG</v>
      </c>
      <c r="F640" s="55">
        <f>'04_MOTOR_CÁLCULO'!K227</f>
        <v>1</v>
      </c>
      <c r="G640" s="56">
        <f>'04_MOTOR_CÁLCULO'!K227-1</f>
        <v>0</v>
      </c>
      <c r="H640" s="57" t="str">
        <f>'04_MOTOR_CÁLCULO'!M227</f>
        <v>Médio</v>
      </c>
    </row>
    <row r="641" spans="1:8" ht="13.5" customHeight="1" x14ac:dyDescent="0.25">
      <c r="A641" s="13" t="str">
        <f>'04_MOTOR_CÁLCULO'!A228</f>
        <v>1111-9/01</v>
      </c>
      <c r="B641" s="49" t="str">
        <f>'04_MOTOR_CÁLCULO'!B228</f>
        <v>C</v>
      </c>
      <c r="C641" s="101" t="str">
        <f>'04_MOTOR_CÁLCULO'!C228</f>
        <v>Fabricação de aguardente de cana-de-açúcar</v>
      </c>
      <c r="D641" s="14" t="str">
        <f>'04_MOTOR_CÁLCULO'!D228</f>
        <v>FABRICAÇÃO DE BE</v>
      </c>
      <c r="E641" s="78" t="str">
        <f>'04_MOTOR_CÁLCULO'!N228</f>
        <v>CNAE-STG</v>
      </c>
      <c r="F641" s="55">
        <f>'04_MOTOR_CÁLCULO'!K228</f>
        <v>1</v>
      </c>
      <c r="G641" s="56">
        <f>'04_MOTOR_CÁLCULO'!K228-1</f>
        <v>0</v>
      </c>
      <c r="H641" s="57" t="str">
        <f>'04_MOTOR_CÁLCULO'!M228</f>
        <v>Médio</v>
      </c>
    </row>
    <row r="642" spans="1:8" ht="13.5" customHeight="1" x14ac:dyDescent="0.25">
      <c r="A642" s="24" t="str">
        <f>'04_MOTOR_CÁLCULO'!A229</f>
        <v>1111-9/02</v>
      </c>
      <c r="B642" s="38" t="str">
        <f>'04_MOTOR_CÁLCULO'!B229</f>
        <v>C</v>
      </c>
      <c r="C642" s="100" t="str">
        <f>'04_MOTOR_CÁLCULO'!C229</f>
        <v>Fabricação de outras aguardentes e bebidas destiladas</v>
      </c>
      <c r="D642" s="25" t="str">
        <f>'04_MOTOR_CÁLCULO'!D229</f>
        <v>FABRICAÇÃO DE BE</v>
      </c>
      <c r="E642" s="78" t="str">
        <f>'04_MOTOR_CÁLCULO'!N229</f>
        <v>CNAE-STG</v>
      </c>
      <c r="F642" s="55">
        <f>'04_MOTOR_CÁLCULO'!K229</f>
        <v>1</v>
      </c>
      <c r="G642" s="56">
        <f>'04_MOTOR_CÁLCULO'!K229-1</f>
        <v>0</v>
      </c>
      <c r="H642" s="57" t="str">
        <f>'04_MOTOR_CÁLCULO'!M229</f>
        <v>Médio</v>
      </c>
    </row>
    <row r="643" spans="1:8" ht="13.5" customHeight="1" x14ac:dyDescent="0.25">
      <c r="A643" s="13" t="str">
        <f>'04_MOTOR_CÁLCULO'!A230</f>
        <v>1112-7/00</v>
      </c>
      <c r="B643" s="49" t="str">
        <f>'04_MOTOR_CÁLCULO'!B230</f>
        <v>C</v>
      </c>
      <c r="C643" s="101" t="str">
        <f>'04_MOTOR_CÁLCULO'!C230</f>
        <v>Fabricação de vinho</v>
      </c>
      <c r="D643" s="14" t="str">
        <f>'04_MOTOR_CÁLCULO'!D230</f>
        <v>FABRICAÇÃO DE BE</v>
      </c>
      <c r="E643" s="78" t="str">
        <f>'04_MOTOR_CÁLCULO'!N230</f>
        <v>CNAE-STG</v>
      </c>
      <c r="F643" s="55">
        <f>'04_MOTOR_CÁLCULO'!K230</f>
        <v>1</v>
      </c>
      <c r="G643" s="56">
        <f>'04_MOTOR_CÁLCULO'!K230-1</f>
        <v>0</v>
      </c>
      <c r="H643" s="57" t="str">
        <f>'04_MOTOR_CÁLCULO'!M230</f>
        <v>Médio</v>
      </c>
    </row>
    <row r="644" spans="1:8" ht="13.5" customHeight="1" x14ac:dyDescent="0.25">
      <c r="A644" s="24" t="str">
        <f>'04_MOTOR_CÁLCULO'!A231</f>
        <v>1113-5/01</v>
      </c>
      <c r="B644" s="38" t="str">
        <f>'04_MOTOR_CÁLCULO'!B231</f>
        <v>C</v>
      </c>
      <c r="C644" s="100" t="str">
        <f>'04_MOTOR_CÁLCULO'!C231</f>
        <v>Fabricação de malte, inclusive malte uísque</v>
      </c>
      <c r="D644" s="25" t="str">
        <f>'04_MOTOR_CÁLCULO'!D231</f>
        <v>FABRICAÇÃO DE BE</v>
      </c>
      <c r="E644" s="78" t="str">
        <f>'04_MOTOR_CÁLCULO'!N231</f>
        <v>CNAE-STG</v>
      </c>
      <c r="F644" s="55">
        <f>'04_MOTOR_CÁLCULO'!K231</f>
        <v>1</v>
      </c>
      <c r="G644" s="56">
        <f>'04_MOTOR_CÁLCULO'!K231-1</f>
        <v>0</v>
      </c>
      <c r="H644" s="57" t="str">
        <f>'04_MOTOR_CÁLCULO'!M231</f>
        <v>Médio</v>
      </c>
    </row>
    <row r="645" spans="1:8" ht="13.5" customHeight="1" x14ac:dyDescent="0.25">
      <c r="A645" s="13" t="str">
        <f>'04_MOTOR_CÁLCULO'!A232</f>
        <v>1113-5/02</v>
      </c>
      <c r="B645" s="49" t="str">
        <f>'04_MOTOR_CÁLCULO'!B232</f>
        <v>C</v>
      </c>
      <c r="C645" s="101" t="str">
        <f>'04_MOTOR_CÁLCULO'!C232</f>
        <v>Fabricação de cervejas e chopes</v>
      </c>
      <c r="D645" s="14" t="str">
        <f>'04_MOTOR_CÁLCULO'!D232</f>
        <v>FABRICAÇÃO DE BE</v>
      </c>
      <c r="E645" s="78" t="str">
        <f>'04_MOTOR_CÁLCULO'!N232</f>
        <v>CNAE-STG</v>
      </c>
      <c r="F645" s="55">
        <f>'04_MOTOR_CÁLCULO'!K232</f>
        <v>1</v>
      </c>
      <c r="G645" s="56">
        <f>'04_MOTOR_CÁLCULO'!K232-1</f>
        <v>0</v>
      </c>
      <c r="H645" s="57" t="str">
        <f>'04_MOTOR_CÁLCULO'!M232</f>
        <v>Médio</v>
      </c>
    </row>
    <row r="646" spans="1:8" ht="13.5" customHeight="1" x14ac:dyDescent="0.25">
      <c r="A646" s="24" t="str">
        <f>'04_MOTOR_CÁLCULO'!A233</f>
        <v>1121-6/00</v>
      </c>
      <c r="B646" s="38" t="str">
        <f>'04_MOTOR_CÁLCULO'!B233</f>
        <v>C</v>
      </c>
      <c r="C646" s="100" t="str">
        <f>'04_MOTOR_CÁLCULO'!C233</f>
        <v>Fabricação de águas envasadas</v>
      </c>
      <c r="D646" s="25" t="str">
        <f>'04_MOTOR_CÁLCULO'!D233</f>
        <v>FABRICAÇÃO DE BE</v>
      </c>
      <c r="E646" s="78" t="str">
        <f>'04_MOTOR_CÁLCULO'!N233</f>
        <v>CNAE-STG</v>
      </c>
      <c r="F646" s="55">
        <f>'04_MOTOR_CÁLCULO'!K233</f>
        <v>1</v>
      </c>
      <c r="G646" s="56">
        <f>'04_MOTOR_CÁLCULO'!K233-1</f>
        <v>0</v>
      </c>
      <c r="H646" s="57" t="str">
        <f>'04_MOTOR_CÁLCULO'!M233</f>
        <v>Médio</v>
      </c>
    </row>
    <row r="647" spans="1:8" ht="13.5" customHeight="1" x14ac:dyDescent="0.25">
      <c r="A647" s="13" t="str">
        <f>'04_MOTOR_CÁLCULO'!A234</f>
        <v>1122-4/01</v>
      </c>
      <c r="B647" s="49" t="str">
        <f>'04_MOTOR_CÁLCULO'!B234</f>
        <v>C</v>
      </c>
      <c r="C647" s="101" t="str">
        <f>'04_MOTOR_CÁLCULO'!C234</f>
        <v>Fabricação de refrigerantes</v>
      </c>
      <c r="D647" s="14" t="str">
        <f>'04_MOTOR_CÁLCULO'!D234</f>
        <v>FABRICAÇÃO DE BE</v>
      </c>
      <c r="E647" s="78" t="str">
        <f>'04_MOTOR_CÁLCULO'!N234</f>
        <v>CNAE-STG</v>
      </c>
      <c r="F647" s="55">
        <f>'04_MOTOR_CÁLCULO'!K234</f>
        <v>1</v>
      </c>
      <c r="G647" s="56">
        <f>'04_MOTOR_CÁLCULO'!K234-1</f>
        <v>0</v>
      </c>
      <c r="H647" s="57" t="str">
        <f>'04_MOTOR_CÁLCULO'!M234</f>
        <v>Médio</v>
      </c>
    </row>
    <row r="648" spans="1:8" ht="13.5" customHeight="1" x14ac:dyDescent="0.25">
      <c r="A648" s="24" t="str">
        <f>'04_MOTOR_CÁLCULO'!A235</f>
        <v>1122-4/02</v>
      </c>
      <c r="B648" s="38" t="str">
        <f>'04_MOTOR_CÁLCULO'!B235</f>
        <v>C</v>
      </c>
      <c r="C648" s="100" t="str">
        <f>'04_MOTOR_CÁLCULO'!C235</f>
        <v>Fabricação de chá mate e outros chás prontos para consumo</v>
      </c>
      <c r="D648" s="25" t="str">
        <f>'04_MOTOR_CÁLCULO'!D235</f>
        <v>FABRICAÇÃO DE BE</v>
      </c>
      <c r="E648" s="78" t="str">
        <f>'04_MOTOR_CÁLCULO'!N235</f>
        <v>CNAE-STG</v>
      </c>
      <c r="F648" s="55">
        <f>'04_MOTOR_CÁLCULO'!K235</f>
        <v>1</v>
      </c>
      <c r="G648" s="56">
        <f>'04_MOTOR_CÁLCULO'!K235-1</f>
        <v>0</v>
      </c>
      <c r="H648" s="57" t="str">
        <f>'04_MOTOR_CÁLCULO'!M235</f>
        <v>Médio</v>
      </c>
    </row>
    <row r="649" spans="1:8" ht="13.5" customHeight="1" x14ac:dyDescent="0.25">
      <c r="A649" s="13" t="str">
        <f>'04_MOTOR_CÁLCULO'!A236</f>
        <v>1122-4/03</v>
      </c>
      <c r="B649" s="49" t="str">
        <f>'04_MOTOR_CÁLCULO'!B236</f>
        <v>C</v>
      </c>
      <c r="C649" s="101" t="str">
        <f>'04_MOTOR_CÁLCULO'!C236</f>
        <v>Fabricação de refrescos, xaropes e pós para refrescos, exceto refrescos de frutas</v>
      </c>
      <c r="D649" s="14" t="str">
        <f>'04_MOTOR_CÁLCULO'!D236</f>
        <v>FABRICAÇÃO DE BE</v>
      </c>
      <c r="E649" s="78" t="str">
        <f>'04_MOTOR_CÁLCULO'!N236</f>
        <v>CNAE-STG</v>
      </c>
      <c r="F649" s="55">
        <f>'04_MOTOR_CÁLCULO'!K236</f>
        <v>1</v>
      </c>
      <c r="G649" s="56">
        <f>'04_MOTOR_CÁLCULO'!K236-1</f>
        <v>0</v>
      </c>
      <c r="H649" s="57" t="str">
        <f>'04_MOTOR_CÁLCULO'!M236</f>
        <v>Médio</v>
      </c>
    </row>
    <row r="650" spans="1:8" ht="13.5" customHeight="1" x14ac:dyDescent="0.25">
      <c r="A650" s="24" t="str">
        <f>'04_MOTOR_CÁLCULO'!A237</f>
        <v>1122-4/04</v>
      </c>
      <c r="B650" s="38" t="str">
        <f>'04_MOTOR_CÁLCULO'!B237</f>
        <v>C</v>
      </c>
      <c r="C650" s="100" t="str">
        <f>'04_MOTOR_CÁLCULO'!C237</f>
        <v>Fabricação de bebidas isotônicas</v>
      </c>
      <c r="D650" s="25" t="str">
        <f>'04_MOTOR_CÁLCULO'!D237</f>
        <v>FABRICAÇÃO DE BE</v>
      </c>
      <c r="E650" s="78" t="str">
        <f>'04_MOTOR_CÁLCULO'!N237</f>
        <v>CNAE-STG</v>
      </c>
      <c r="F650" s="55">
        <f>'04_MOTOR_CÁLCULO'!K237</f>
        <v>1</v>
      </c>
      <c r="G650" s="56">
        <f>'04_MOTOR_CÁLCULO'!K237-1</f>
        <v>0</v>
      </c>
      <c r="H650" s="57" t="str">
        <f>'04_MOTOR_CÁLCULO'!M237</f>
        <v>Médio</v>
      </c>
    </row>
    <row r="651" spans="1:8" ht="13.5" customHeight="1" x14ac:dyDescent="0.25">
      <c r="A651" s="13" t="str">
        <f>'04_MOTOR_CÁLCULO'!A238</f>
        <v>1122-4/99</v>
      </c>
      <c r="B651" s="49" t="str">
        <f>'04_MOTOR_CÁLCULO'!B238</f>
        <v>C</v>
      </c>
      <c r="C651" s="101" t="str">
        <f>'04_MOTOR_CÁLCULO'!C238</f>
        <v>Fabricação de outras bebidas não alcoólicas não especificadas anteriormente</v>
      </c>
      <c r="D651" s="14" t="str">
        <f>'04_MOTOR_CÁLCULO'!D238</f>
        <v>FABRICAÇÃO DE BE</v>
      </c>
      <c r="E651" s="78" t="str">
        <f>'04_MOTOR_CÁLCULO'!N238</f>
        <v>CNAE-STG</v>
      </c>
      <c r="F651" s="55">
        <f>'04_MOTOR_CÁLCULO'!K238</f>
        <v>1</v>
      </c>
      <c r="G651" s="56">
        <f>'04_MOTOR_CÁLCULO'!K238-1</f>
        <v>0</v>
      </c>
      <c r="H651" s="57" t="str">
        <f>'04_MOTOR_CÁLCULO'!M238</f>
        <v>Médio</v>
      </c>
    </row>
    <row r="652" spans="1:8" ht="13.5" customHeight="1" x14ac:dyDescent="0.25">
      <c r="A652" s="24" t="str">
        <f>'04_MOTOR_CÁLCULO'!A239</f>
        <v>1210-7/00</v>
      </c>
      <c r="B652" s="38" t="str">
        <f>'04_MOTOR_CÁLCULO'!B239</f>
        <v>C</v>
      </c>
      <c r="C652" s="100" t="str">
        <f>'04_MOTOR_CÁLCULO'!C239</f>
        <v>Processamento industrial do fumo</v>
      </c>
      <c r="D652" s="25" t="str">
        <f>'04_MOTOR_CÁLCULO'!D239</f>
        <v>FABRICAÇÃO DE PR</v>
      </c>
      <c r="E652" s="78" t="str">
        <f>'04_MOTOR_CÁLCULO'!N239</f>
        <v>CNAE-STG</v>
      </c>
      <c r="F652" s="55">
        <f>'04_MOTOR_CÁLCULO'!K239</f>
        <v>1</v>
      </c>
      <c r="G652" s="56">
        <f>'04_MOTOR_CÁLCULO'!K239-1</f>
        <v>0</v>
      </c>
      <c r="H652" s="57" t="str">
        <f>'04_MOTOR_CÁLCULO'!M239</f>
        <v>Médio</v>
      </c>
    </row>
    <row r="653" spans="1:8" ht="13.5" customHeight="1" x14ac:dyDescent="0.25">
      <c r="A653" s="13" t="str">
        <f>'04_MOTOR_CÁLCULO'!A240</f>
        <v>1220-4/01</v>
      </c>
      <c r="B653" s="49" t="str">
        <f>'04_MOTOR_CÁLCULO'!B240</f>
        <v>C</v>
      </c>
      <c r="C653" s="101" t="str">
        <f>'04_MOTOR_CÁLCULO'!C240</f>
        <v>Fabricação de cigarros</v>
      </c>
      <c r="D653" s="14" t="str">
        <f>'04_MOTOR_CÁLCULO'!D240</f>
        <v>FABRICAÇÃO DE PR</v>
      </c>
      <c r="E653" s="78" t="str">
        <f>'04_MOTOR_CÁLCULO'!N240</f>
        <v>CNAE-STG</v>
      </c>
      <c r="F653" s="55">
        <f>'04_MOTOR_CÁLCULO'!K240</f>
        <v>1</v>
      </c>
      <c r="G653" s="56">
        <f>'04_MOTOR_CÁLCULO'!K240-1</f>
        <v>0</v>
      </c>
      <c r="H653" s="57" t="str">
        <f>'04_MOTOR_CÁLCULO'!M240</f>
        <v>Médio</v>
      </c>
    </row>
    <row r="654" spans="1:8" ht="13.5" customHeight="1" x14ac:dyDescent="0.25">
      <c r="A654" s="24" t="str">
        <f>'04_MOTOR_CÁLCULO'!A241</f>
        <v>1220-4/02</v>
      </c>
      <c r="B654" s="38" t="str">
        <f>'04_MOTOR_CÁLCULO'!B241</f>
        <v>C</v>
      </c>
      <c r="C654" s="100" t="str">
        <f>'04_MOTOR_CÁLCULO'!C241</f>
        <v>Fabricação de cigarrilhas e charutos</v>
      </c>
      <c r="D654" s="25" t="str">
        <f>'04_MOTOR_CÁLCULO'!D241</f>
        <v>FABRICAÇÃO DE PR</v>
      </c>
      <c r="E654" s="78" t="str">
        <f>'04_MOTOR_CÁLCULO'!N241</f>
        <v>CNAE-STG</v>
      </c>
      <c r="F654" s="55">
        <f>'04_MOTOR_CÁLCULO'!K241</f>
        <v>1</v>
      </c>
      <c r="G654" s="56">
        <f>'04_MOTOR_CÁLCULO'!K241-1</f>
        <v>0</v>
      </c>
      <c r="H654" s="57" t="str">
        <f>'04_MOTOR_CÁLCULO'!M241</f>
        <v>Médio</v>
      </c>
    </row>
    <row r="655" spans="1:8" ht="13.5" customHeight="1" x14ac:dyDescent="0.25">
      <c r="A655" s="13" t="str">
        <f>'04_MOTOR_CÁLCULO'!A242</f>
        <v>1220-4/03</v>
      </c>
      <c r="B655" s="49" t="str">
        <f>'04_MOTOR_CÁLCULO'!B242</f>
        <v>C</v>
      </c>
      <c r="C655" s="101" t="str">
        <f>'04_MOTOR_CÁLCULO'!C242</f>
        <v>Fabricação de filtros para cigarros</v>
      </c>
      <c r="D655" s="14" t="str">
        <f>'04_MOTOR_CÁLCULO'!D242</f>
        <v>FABRICAÇÃO DE PR</v>
      </c>
      <c r="E655" s="78" t="str">
        <f>'04_MOTOR_CÁLCULO'!N242</f>
        <v>CNAE-STG</v>
      </c>
      <c r="F655" s="55">
        <f>'04_MOTOR_CÁLCULO'!K242</f>
        <v>1</v>
      </c>
      <c r="G655" s="56">
        <f>'04_MOTOR_CÁLCULO'!K242-1</f>
        <v>0</v>
      </c>
      <c r="H655" s="57" t="str">
        <f>'04_MOTOR_CÁLCULO'!M242</f>
        <v>Médio</v>
      </c>
    </row>
    <row r="656" spans="1:8" ht="13.5" customHeight="1" x14ac:dyDescent="0.25">
      <c r="A656" s="24" t="str">
        <f>'04_MOTOR_CÁLCULO'!A243</f>
        <v>1220-4/99</v>
      </c>
      <c r="B656" s="38" t="str">
        <f>'04_MOTOR_CÁLCULO'!B243</f>
        <v>C</v>
      </c>
      <c r="C656" s="100" t="str">
        <f>'04_MOTOR_CÁLCULO'!C243</f>
        <v>Fabricação de outros produtos do fumo, exceto cigarros, cigarrilhas e charutos</v>
      </c>
      <c r="D656" s="25" t="str">
        <f>'04_MOTOR_CÁLCULO'!D243</f>
        <v>FABRICAÇÃO DE PR</v>
      </c>
      <c r="E656" s="78" t="str">
        <f>'04_MOTOR_CÁLCULO'!N243</f>
        <v>CNAE-STG</v>
      </c>
      <c r="F656" s="55">
        <f>'04_MOTOR_CÁLCULO'!K243</f>
        <v>1</v>
      </c>
      <c r="G656" s="56">
        <f>'04_MOTOR_CÁLCULO'!K243-1</f>
        <v>0</v>
      </c>
      <c r="H656" s="57" t="str">
        <f>'04_MOTOR_CÁLCULO'!M243</f>
        <v>Médio</v>
      </c>
    </row>
    <row r="657" spans="1:8" ht="13.5" customHeight="1" x14ac:dyDescent="0.25">
      <c r="A657" s="13" t="str">
        <f>'04_MOTOR_CÁLCULO'!A244</f>
        <v>1311-1/00</v>
      </c>
      <c r="B657" s="49" t="str">
        <f>'04_MOTOR_CÁLCULO'!B244</f>
        <v>C</v>
      </c>
      <c r="C657" s="101" t="str">
        <f>'04_MOTOR_CÁLCULO'!C244</f>
        <v>Preparação e fiação de fibras de algodão</v>
      </c>
      <c r="D657" s="14" t="str">
        <f>'04_MOTOR_CÁLCULO'!D244</f>
        <v>FABRICAÇÃO DE PR</v>
      </c>
      <c r="E657" s="78" t="str">
        <f>'04_MOTOR_CÁLCULO'!N244</f>
        <v>CNAE-STG</v>
      </c>
      <c r="F657" s="55">
        <f>'04_MOTOR_CÁLCULO'!K244</f>
        <v>1</v>
      </c>
      <c r="G657" s="56">
        <f>'04_MOTOR_CÁLCULO'!K244-1</f>
        <v>0</v>
      </c>
      <c r="H657" s="57" t="str">
        <f>'04_MOTOR_CÁLCULO'!M244</f>
        <v>Médio</v>
      </c>
    </row>
    <row r="658" spans="1:8" ht="13.5" customHeight="1" x14ac:dyDescent="0.25">
      <c r="A658" s="24" t="str">
        <f>'04_MOTOR_CÁLCULO'!A245</f>
        <v>1312-0/00</v>
      </c>
      <c r="B658" s="38" t="str">
        <f>'04_MOTOR_CÁLCULO'!B245</f>
        <v>C</v>
      </c>
      <c r="C658" s="100" t="str">
        <f>'04_MOTOR_CÁLCULO'!C245</f>
        <v>Preparação e fiação de fibras têxteis naturais, exceto algodão</v>
      </c>
      <c r="D658" s="25" t="str">
        <f>'04_MOTOR_CÁLCULO'!D245</f>
        <v>FABRICAÇÃO DE PR</v>
      </c>
      <c r="E658" s="78" t="str">
        <f>'04_MOTOR_CÁLCULO'!N245</f>
        <v>CNAE-STG</v>
      </c>
      <c r="F658" s="55">
        <f>'04_MOTOR_CÁLCULO'!K245</f>
        <v>1</v>
      </c>
      <c r="G658" s="56">
        <f>'04_MOTOR_CÁLCULO'!K245-1</f>
        <v>0</v>
      </c>
      <c r="H658" s="57" t="str">
        <f>'04_MOTOR_CÁLCULO'!M245</f>
        <v>Médio</v>
      </c>
    </row>
    <row r="659" spans="1:8" ht="13.5" customHeight="1" x14ac:dyDescent="0.25">
      <c r="A659" s="13" t="str">
        <f>'04_MOTOR_CÁLCULO'!A246</f>
        <v>1313-8/00</v>
      </c>
      <c r="B659" s="49" t="str">
        <f>'04_MOTOR_CÁLCULO'!B246</f>
        <v>C</v>
      </c>
      <c r="C659" s="101" t="str">
        <f>'04_MOTOR_CÁLCULO'!C246</f>
        <v>Fiação de fibras artificiais e sintéticas</v>
      </c>
      <c r="D659" s="14" t="str">
        <f>'04_MOTOR_CÁLCULO'!D246</f>
        <v>FABRICAÇÃO DE PR</v>
      </c>
      <c r="E659" s="78" t="str">
        <f>'04_MOTOR_CÁLCULO'!N246</f>
        <v>CNAE-STG</v>
      </c>
      <c r="F659" s="55">
        <f>'04_MOTOR_CÁLCULO'!K246</f>
        <v>1</v>
      </c>
      <c r="G659" s="56">
        <f>'04_MOTOR_CÁLCULO'!K246-1</f>
        <v>0</v>
      </c>
      <c r="H659" s="57" t="str">
        <f>'04_MOTOR_CÁLCULO'!M246</f>
        <v>Médio</v>
      </c>
    </row>
    <row r="660" spans="1:8" ht="13.5" customHeight="1" x14ac:dyDescent="0.25">
      <c r="A660" s="24" t="str">
        <f>'04_MOTOR_CÁLCULO'!A247</f>
        <v>1314-6/00</v>
      </c>
      <c r="B660" s="38" t="str">
        <f>'04_MOTOR_CÁLCULO'!B247</f>
        <v>C</v>
      </c>
      <c r="C660" s="100" t="str">
        <f>'04_MOTOR_CÁLCULO'!C247</f>
        <v>Fabricação de linhas para costurar e bordar</v>
      </c>
      <c r="D660" s="25" t="str">
        <f>'04_MOTOR_CÁLCULO'!D247</f>
        <v>FABRICAÇÃO DE PR</v>
      </c>
      <c r="E660" s="78" t="str">
        <f>'04_MOTOR_CÁLCULO'!N247</f>
        <v>CNAE-STG</v>
      </c>
      <c r="F660" s="55">
        <f>'04_MOTOR_CÁLCULO'!K247</f>
        <v>1</v>
      </c>
      <c r="G660" s="56">
        <f>'04_MOTOR_CÁLCULO'!K247-1</f>
        <v>0</v>
      </c>
      <c r="H660" s="57" t="str">
        <f>'04_MOTOR_CÁLCULO'!M247</f>
        <v>Médio</v>
      </c>
    </row>
    <row r="661" spans="1:8" ht="13.5" customHeight="1" x14ac:dyDescent="0.25">
      <c r="A661" s="13" t="str">
        <f>'04_MOTOR_CÁLCULO'!A248</f>
        <v>1321-9/00</v>
      </c>
      <c r="B661" s="49" t="str">
        <f>'04_MOTOR_CÁLCULO'!B248</f>
        <v>C</v>
      </c>
      <c r="C661" s="101" t="str">
        <f>'04_MOTOR_CÁLCULO'!C248</f>
        <v>Tecelagem de fios de algodão</v>
      </c>
      <c r="D661" s="14" t="str">
        <f>'04_MOTOR_CÁLCULO'!D248</f>
        <v>FABRICAÇÃO DE PR</v>
      </c>
      <c r="E661" s="78" t="str">
        <f>'04_MOTOR_CÁLCULO'!N248</f>
        <v>CNAE-STG</v>
      </c>
      <c r="F661" s="55">
        <f>'04_MOTOR_CÁLCULO'!K248</f>
        <v>1</v>
      </c>
      <c r="G661" s="56">
        <f>'04_MOTOR_CÁLCULO'!K248-1</f>
        <v>0</v>
      </c>
      <c r="H661" s="57" t="str">
        <f>'04_MOTOR_CÁLCULO'!M248</f>
        <v>Médio</v>
      </c>
    </row>
    <row r="662" spans="1:8" ht="13.5" customHeight="1" x14ac:dyDescent="0.25">
      <c r="A662" s="24" t="str">
        <f>'04_MOTOR_CÁLCULO'!A249</f>
        <v>1322-7/00</v>
      </c>
      <c r="B662" s="38" t="str">
        <f>'04_MOTOR_CÁLCULO'!B249</f>
        <v>C</v>
      </c>
      <c r="C662" s="100" t="str">
        <f>'04_MOTOR_CÁLCULO'!C249</f>
        <v>Tecelagem de fios de fibras têxteis naturais, exceto algodão</v>
      </c>
      <c r="D662" s="25" t="str">
        <f>'04_MOTOR_CÁLCULO'!D249</f>
        <v>FABRICAÇÃO DE PR</v>
      </c>
      <c r="E662" s="78" t="str">
        <f>'04_MOTOR_CÁLCULO'!N249</f>
        <v>CNAE-STG</v>
      </c>
      <c r="F662" s="55">
        <f>'04_MOTOR_CÁLCULO'!K249</f>
        <v>1</v>
      </c>
      <c r="G662" s="56">
        <f>'04_MOTOR_CÁLCULO'!K249-1</f>
        <v>0</v>
      </c>
      <c r="H662" s="57" t="str">
        <f>'04_MOTOR_CÁLCULO'!M249</f>
        <v>Médio</v>
      </c>
    </row>
    <row r="663" spans="1:8" ht="13.5" customHeight="1" x14ac:dyDescent="0.25">
      <c r="A663" s="13" t="str">
        <f>'04_MOTOR_CÁLCULO'!A250</f>
        <v>1323-5/00</v>
      </c>
      <c r="B663" s="49" t="str">
        <f>'04_MOTOR_CÁLCULO'!B250</f>
        <v>C</v>
      </c>
      <c r="C663" s="101" t="str">
        <f>'04_MOTOR_CÁLCULO'!C250</f>
        <v>Tecelagem de fios de fibras artificiais e sintéticas</v>
      </c>
      <c r="D663" s="14" t="str">
        <f>'04_MOTOR_CÁLCULO'!D250</f>
        <v>FABRICAÇÃO DE PR</v>
      </c>
      <c r="E663" s="78" t="str">
        <f>'04_MOTOR_CÁLCULO'!N250</f>
        <v>CNAE-STG</v>
      </c>
      <c r="F663" s="55">
        <f>'04_MOTOR_CÁLCULO'!K250</f>
        <v>1</v>
      </c>
      <c r="G663" s="56">
        <f>'04_MOTOR_CÁLCULO'!K250-1</f>
        <v>0</v>
      </c>
      <c r="H663" s="57" t="str">
        <f>'04_MOTOR_CÁLCULO'!M250</f>
        <v>Médio</v>
      </c>
    </row>
    <row r="664" spans="1:8" ht="13.5" customHeight="1" x14ac:dyDescent="0.25">
      <c r="A664" s="24" t="str">
        <f>'04_MOTOR_CÁLCULO'!A251</f>
        <v>1330-8/00</v>
      </c>
      <c r="B664" s="38" t="str">
        <f>'04_MOTOR_CÁLCULO'!B251</f>
        <v>C</v>
      </c>
      <c r="C664" s="100" t="str">
        <f>'04_MOTOR_CÁLCULO'!C251</f>
        <v>Fabricação de tecidos de malha</v>
      </c>
      <c r="D664" s="25" t="str">
        <f>'04_MOTOR_CÁLCULO'!D251</f>
        <v>FABRICAÇÃO DE PR</v>
      </c>
      <c r="E664" s="78" t="str">
        <f>'04_MOTOR_CÁLCULO'!N251</f>
        <v>CNAE-STG</v>
      </c>
      <c r="F664" s="55">
        <f>'04_MOTOR_CÁLCULO'!K251</f>
        <v>1</v>
      </c>
      <c r="G664" s="56">
        <f>'04_MOTOR_CÁLCULO'!K251-1</f>
        <v>0</v>
      </c>
      <c r="H664" s="57" t="str">
        <f>'04_MOTOR_CÁLCULO'!M251</f>
        <v>Médio</v>
      </c>
    </row>
    <row r="665" spans="1:8" ht="13.5" customHeight="1" x14ac:dyDescent="0.25">
      <c r="A665" s="13" t="str">
        <f>'04_MOTOR_CÁLCULO'!A252</f>
        <v>1340-5/01</v>
      </c>
      <c r="B665" s="49" t="str">
        <f>'04_MOTOR_CÁLCULO'!B252</f>
        <v>C</v>
      </c>
      <c r="C665" s="101" t="str">
        <f>'04_MOTOR_CÁLCULO'!C252</f>
        <v>Estamparia e texturização em fios, tecidos, artefatos têxteis e peças do vestuário</v>
      </c>
      <c r="D665" s="14" t="str">
        <f>'04_MOTOR_CÁLCULO'!D252</f>
        <v>FABRICAÇÃO DE PR</v>
      </c>
      <c r="E665" s="78" t="str">
        <f>'04_MOTOR_CÁLCULO'!N252</f>
        <v>CNAE-STG</v>
      </c>
      <c r="F665" s="55">
        <f>'04_MOTOR_CÁLCULO'!K252</f>
        <v>1</v>
      </c>
      <c r="G665" s="56">
        <f>'04_MOTOR_CÁLCULO'!K252-1</f>
        <v>0</v>
      </c>
      <c r="H665" s="57" t="str">
        <f>'04_MOTOR_CÁLCULO'!M252</f>
        <v>Médio</v>
      </c>
    </row>
    <row r="666" spans="1:8" ht="13.5" customHeight="1" x14ac:dyDescent="0.25">
      <c r="A666" s="24" t="str">
        <f>'04_MOTOR_CÁLCULO'!A253</f>
        <v>1340-5/02</v>
      </c>
      <c r="B666" s="38" t="str">
        <f>'04_MOTOR_CÁLCULO'!B253</f>
        <v>C</v>
      </c>
      <c r="C666" s="100" t="str">
        <f>'04_MOTOR_CÁLCULO'!C253</f>
        <v>Alvejamento, tingimento e torção em fios, tecidos, artefatos têxteis e peças do vestuário</v>
      </c>
      <c r="D666" s="25" t="str">
        <f>'04_MOTOR_CÁLCULO'!D253</f>
        <v>FABRICAÇÃO DE PR</v>
      </c>
      <c r="E666" s="78" t="str">
        <f>'04_MOTOR_CÁLCULO'!N253</f>
        <v>CNAE-STG</v>
      </c>
      <c r="F666" s="55">
        <f>'04_MOTOR_CÁLCULO'!K253</f>
        <v>1</v>
      </c>
      <c r="G666" s="56">
        <f>'04_MOTOR_CÁLCULO'!K253-1</f>
        <v>0</v>
      </c>
      <c r="H666" s="57" t="str">
        <f>'04_MOTOR_CÁLCULO'!M253</f>
        <v>Médio</v>
      </c>
    </row>
    <row r="667" spans="1:8" ht="13.5" customHeight="1" x14ac:dyDescent="0.25">
      <c r="A667" s="13" t="str">
        <f>'04_MOTOR_CÁLCULO'!A254</f>
        <v>1340-5/99</v>
      </c>
      <c r="B667" s="49" t="str">
        <f>'04_MOTOR_CÁLCULO'!B254</f>
        <v>C</v>
      </c>
      <c r="C667" s="101" t="str">
        <f>'04_MOTOR_CÁLCULO'!C254</f>
        <v>Outros serviços de acabamento em fios, tecidos, artefatos têxteis e peças do vestuário</v>
      </c>
      <c r="D667" s="14" t="str">
        <f>'04_MOTOR_CÁLCULO'!D254</f>
        <v>FABRICAÇÃO DE PR</v>
      </c>
      <c r="E667" s="78" t="str">
        <f>'04_MOTOR_CÁLCULO'!N254</f>
        <v>CNAE-STG</v>
      </c>
      <c r="F667" s="55">
        <f>'04_MOTOR_CÁLCULO'!K254</f>
        <v>1</v>
      </c>
      <c r="G667" s="56">
        <f>'04_MOTOR_CÁLCULO'!K254-1</f>
        <v>0</v>
      </c>
      <c r="H667" s="57" t="str">
        <f>'04_MOTOR_CÁLCULO'!M254</f>
        <v>Médio</v>
      </c>
    </row>
    <row r="668" spans="1:8" ht="13.5" customHeight="1" x14ac:dyDescent="0.25">
      <c r="A668" s="24" t="str">
        <f>'04_MOTOR_CÁLCULO'!A255</f>
        <v>1351-1/00</v>
      </c>
      <c r="B668" s="38" t="str">
        <f>'04_MOTOR_CÁLCULO'!B255</f>
        <v>C</v>
      </c>
      <c r="C668" s="100" t="str">
        <f>'04_MOTOR_CÁLCULO'!C255</f>
        <v>Fabricação de artefatos têxteis para uso doméstico</v>
      </c>
      <c r="D668" s="25" t="str">
        <f>'04_MOTOR_CÁLCULO'!D255</f>
        <v>FABRICAÇÃO DE PR</v>
      </c>
      <c r="E668" s="78" t="str">
        <f>'04_MOTOR_CÁLCULO'!N255</f>
        <v>CNAE-STG</v>
      </c>
      <c r="F668" s="55">
        <f>'04_MOTOR_CÁLCULO'!K255</f>
        <v>1</v>
      </c>
      <c r="G668" s="56">
        <f>'04_MOTOR_CÁLCULO'!K255-1</f>
        <v>0</v>
      </c>
      <c r="H668" s="57" t="str">
        <f>'04_MOTOR_CÁLCULO'!M255</f>
        <v>Médio</v>
      </c>
    </row>
    <row r="669" spans="1:8" ht="13.5" customHeight="1" x14ac:dyDescent="0.25">
      <c r="A669" s="13" t="str">
        <f>'04_MOTOR_CÁLCULO'!A256</f>
        <v>1352-9/00</v>
      </c>
      <c r="B669" s="49" t="str">
        <f>'04_MOTOR_CÁLCULO'!B256</f>
        <v>C</v>
      </c>
      <c r="C669" s="101" t="str">
        <f>'04_MOTOR_CÁLCULO'!C256</f>
        <v>Fabricação de artefatos de tapeçaria</v>
      </c>
      <c r="D669" s="14" t="str">
        <f>'04_MOTOR_CÁLCULO'!D256</f>
        <v>FABRICAÇÃO DE PR</v>
      </c>
      <c r="E669" s="78" t="str">
        <f>'04_MOTOR_CÁLCULO'!N256</f>
        <v>CNAE-STG</v>
      </c>
      <c r="F669" s="55">
        <f>'04_MOTOR_CÁLCULO'!K256</f>
        <v>1</v>
      </c>
      <c r="G669" s="56">
        <f>'04_MOTOR_CÁLCULO'!K256-1</f>
        <v>0</v>
      </c>
      <c r="H669" s="57" t="str">
        <f>'04_MOTOR_CÁLCULO'!M256</f>
        <v>Médio</v>
      </c>
    </row>
    <row r="670" spans="1:8" ht="13.5" customHeight="1" x14ac:dyDescent="0.25">
      <c r="A670" s="24" t="str">
        <f>'04_MOTOR_CÁLCULO'!A257</f>
        <v>1353-7/00</v>
      </c>
      <c r="B670" s="38" t="str">
        <f>'04_MOTOR_CÁLCULO'!B257</f>
        <v>C</v>
      </c>
      <c r="C670" s="100" t="str">
        <f>'04_MOTOR_CÁLCULO'!C257</f>
        <v>Fabricação de artefatos de cordoaria</v>
      </c>
      <c r="D670" s="25" t="str">
        <f>'04_MOTOR_CÁLCULO'!D257</f>
        <v>FABRICAÇÃO DE PR</v>
      </c>
      <c r="E670" s="78" t="str">
        <f>'04_MOTOR_CÁLCULO'!N257</f>
        <v>CNAE-STG</v>
      </c>
      <c r="F670" s="55">
        <f>'04_MOTOR_CÁLCULO'!K257</f>
        <v>1</v>
      </c>
      <c r="G670" s="56">
        <f>'04_MOTOR_CÁLCULO'!K257-1</f>
        <v>0</v>
      </c>
      <c r="H670" s="57" t="str">
        <f>'04_MOTOR_CÁLCULO'!M257</f>
        <v>Médio</v>
      </c>
    </row>
    <row r="671" spans="1:8" ht="13.5" customHeight="1" x14ac:dyDescent="0.25">
      <c r="A671" s="13" t="str">
        <f>'04_MOTOR_CÁLCULO'!A258</f>
        <v>1354-5/00</v>
      </c>
      <c r="B671" s="49" t="str">
        <f>'04_MOTOR_CÁLCULO'!B258</f>
        <v>C</v>
      </c>
      <c r="C671" s="101" t="str">
        <f>'04_MOTOR_CÁLCULO'!C258</f>
        <v>Fabricação de tecidos especiais, inclusive artefatos</v>
      </c>
      <c r="D671" s="14" t="str">
        <f>'04_MOTOR_CÁLCULO'!D258</f>
        <v>FABRICAÇÃO DE PR</v>
      </c>
      <c r="E671" s="78" t="str">
        <f>'04_MOTOR_CÁLCULO'!N258</f>
        <v>CNAE-STG</v>
      </c>
      <c r="F671" s="55">
        <f>'04_MOTOR_CÁLCULO'!K258</f>
        <v>1</v>
      </c>
      <c r="G671" s="56">
        <f>'04_MOTOR_CÁLCULO'!K258-1</f>
        <v>0</v>
      </c>
      <c r="H671" s="57" t="str">
        <f>'04_MOTOR_CÁLCULO'!M258</f>
        <v>Médio</v>
      </c>
    </row>
    <row r="672" spans="1:8" ht="13.5" customHeight="1" x14ac:dyDescent="0.25">
      <c r="A672" s="24" t="str">
        <f>'04_MOTOR_CÁLCULO'!A259</f>
        <v>1359-6/00</v>
      </c>
      <c r="B672" s="38" t="str">
        <f>'04_MOTOR_CÁLCULO'!B259</f>
        <v>C</v>
      </c>
      <c r="C672" s="100" t="str">
        <f>'04_MOTOR_CÁLCULO'!C259</f>
        <v>Fabricação de outros produtos têxteis não especificados anteriormente</v>
      </c>
      <c r="D672" s="25" t="str">
        <f>'04_MOTOR_CÁLCULO'!D259</f>
        <v>FABRICAÇÃO DE PR</v>
      </c>
      <c r="E672" s="78" t="str">
        <f>'04_MOTOR_CÁLCULO'!N259</f>
        <v>CNAE-STG</v>
      </c>
      <c r="F672" s="55">
        <f>'04_MOTOR_CÁLCULO'!K259</f>
        <v>1</v>
      </c>
      <c r="G672" s="56">
        <f>'04_MOTOR_CÁLCULO'!K259-1</f>
        <v>0</v>
      </c>
      <c r="H672" s="57" t="str">
        <f>'04_MOTOR_CÁLCULO'!M259</f>
        <v>Médio</v>
      </c>
    </row>
    <row r="673" spans="1:8" ht="13.5" customHeight="1" x14ac:dyDescent="0.25">
      <c r="A673" s="13" t="str">
        <f>'04_MOTOR_CÁLCULO'!A272</f>
        <v>1521-1/00</v>
      </c>
      <c r="B673" s="49" t="str">
        <f>'04_MOTOR_CÁLCULO'!B272</f>
        <v>C</v>
      </c>
      <c r="C673" s="101" t="str">
        <f>'04_MOTOR_CÁLCULO'!C272</f>
        <v>Fabricação de artigos para viagem, bolsas e semelhantes de qualquer material</v>
      </c>
      <c r="D673" s="14" t="str">
        <f>'04_MOTOR_CÁLCULO'!D272</f>
        <v>PREPARAÇÃO DE CO</v>
      </c>
      <c r="E673" s="78" t="str">
        <f>'04_MOTOR_CÁLCULO'!N272</f>
        <v>CNAE-STG</v>
      </c>
      <c r="F673" s="55">
        <f>'04_MOTOR_CÁLCULO'!K272</f>
        <v>1</v>
      </c>
      <c r="G673" s="56">
        <f>'04_MOTOR_CÁLCULO'!K272-1</f>
        <v>0</v>
      </c>
      <c r="H673" s="57" t="str">
        <f>'04_MOTOR_CÁLCULO'!M272</f>
        <v>Médio</v>
      </c>
    </row>
    <row r="674" spans="1:8" ht="13.5" customHeight="1" x14ac:dyDescent="0.25">
      <c r="A674" s="24" t="str">
        <f>'04_MOTOR_CÁLCULO'!A273</f>
        <v>1529-7/00</v>
      </c>
      <c r="B674" s="38" t="str">
        <f>'04_MOTOR_CÁLCULO'!B273</f>
        <v>C</v>
      </c>
      <c r="C674" s="100" t="str">
        <f>'04_MOTOR_CÁLCULO'!C273</f>
        <v>Fabricação de artefatos de couro não especificados anteriormente</v>
      </c>
      <c r="D674" s="25" t="str">
        <f>'04_MOTOR_CÁLCULO'!D273</f>
        <v>PREPARAÇÃO DE CO</v>
      </c>
      <c r="E674" s="78" t="str">
        <f>'04_MOTOR_CÁLCULO'!N273</f>
        <v>CNAE-STG</v>
      </c>
      <c r="F674" s="55">
        <f>'04_MOTOR_CÁLCULO'!K273</f>
        <v>1</v>
      </c>
      <c r="G674" s="56">
        <f>'04_MOTOR_CÁLCULO'!K273-1</f>
        <v>0</v>
      </c>
      <c r="H674" s="57" t="str">
        <f>'04_MOTOR_CÁLCULO'!M273</f>
        <v>Médio</v>
      </c>
    </row>
    <row r="675" spans="1:8" ht="13.5" customHeight="1" x14ac:dyDescent="0.25">
      <c r="A675" s="13" t="str">
        <f>'04_MOTOR_CÁLCULO'!A274</f>
        <v>1531-9/01</v>
      </c>
      <c r="B675" s="49" t="str">
        <f>'04_MOTOR_CÁLCULO'!B274</f>
        <v>C</v>
      </c>
      <c r="C675" s="101" t="str">
        <f>'04_MOTOR_CÁLCULO'!C274</f>
        <v>Fabricação de calçados de couro</v>
      </c>
      <c r="D675" s="14" t="str">
        <f>'04_MOTOR_CÁLCULO'!D274</f>
        <v>PREPARAÇÃO DE CO</v>
      </c>
      <c r="E675" s="78" t="str">
        <f>'04_MOTOR_CÁLCULO'!N274</f>
        <v>CNAE-STG</v>
      </c>
      <c r="F675" s="55">
        <f>'04_MOTOR_CÁLCULO'!K274</f>
        <v>1</v>
      </c>
      <c r="G675" s="56">
        <f>'04_MOTOR_CÁLCULO'!K274-1</f>
        <v>0</v>
      </c>
      <c r="H675" s="57" t="str">
        <f>'04_MOTOR_CÁLCULO'!M274</f>
        <v>Médio</v>
      </c>
    </row>
    <row r="676" spans="1:8" ht="13.5" customHeight="1" x14ac:dyDescent="0.25">
      <c r="A676" s="24" t="str">
        <f>'04_MOTOR_CÁLCULO'!A275</f>
        <v>1531-9/02</v>
      </c>
      <c r="B676" s="38" t="str">
        <f>'04_MOTOR_CÁLCULO'!B275</f>
        <v>C</v>
      </c>
      <c r="C676" s="100" t="str">
        <f>'04_MOTOR_CÁLCULO'!C275</f>
        <v>Acabamento de calçados de couro sob contrato</v>
      </c>
      <c r="D676" s="25" t="str">
        <f>'04_MOTOR_CÁLCULO'!D275</f>
        <v>PREPARAÇÃO DE CO</v>
      </c>
      <c r="E676" s="78" t="str">
        <f>'04_MOTOR_CÁLCULO'!N275</f>
        <v>CNAE-STG</v>
      </c>
      <c r="F676" s="55">
        <f>'04_MOTOR_CÁLCULO'!K275</f>
        <v>1</v>
      </c>
      <c r="G676" s="56">
        <f>'04_MOTOR_CÁLCULO'!K275-1</f>
        <v>0</v>
      </c>
      <c r="H676" s="57" t="str">
        <f>'04_MOTOR_CÁLCULO'!M275</f>
        <v>Médio</v>
      </c>
    </row>
    <row r="677" spans="1:8" ht="13.5" customHeight="1" x14ac:dyDescent="0.25">
      <c r="A677" s="13" t="str">
        <f>'04_MOTOR_CÁLCULO'!A276</f>
        <v>1532-7/00</v>
      </c>
      <c r="B677" s="49" t="str">
        <f>'04_MOTOR_CÁLCULO'!B276</f>
        <v>C</v>
      </c>
      <c r="C677" s="101" t="str">
        <f>'04_MOTOR_CÁLCULO'!C276</f>
        <v>Fabricação de tênis de qualquer material</v>
      </c>
      <c r="D677" s="14" t="str">
        <f>'04_MOTOR_CÁLCULO'!D276</f>
        <v>PREPARAÇÃO DE CO</v>
      </c>
      <c r="E677" s="78" t="str">
        <f>'04_MOTOR_CÁLCULO'!N276</f>
        <v>CNAE-STG</v>
      </c>
      <c r="F677" s="55">
        <f>'04_MOTOR_CÁLCULO'!K276</f>
        <v>1</v>
      </c>
      <c r="G677" s="56">
        <f>'04_MOTOR_CÁLCULO'!K276-1</f>
        <v>0</v>
      </c>
      <c r="H677" s="57" t="str">
        <f>'04_MOTOR_CÁLCULO'!M276</f>
        <v>Médio</v>
      </c>
    </row>
    <row r="678" spans="1:8" ht="13.5" customHeight="1" x14ac:dyDescent="0.25">
      <c r="A678" s="24" t="str">
        <f>'04_MOTOR_CÁLCULO'!A277</f>
        <v>1533-5/00</v>
      </c>
      <c r="B678" s="38" t="str">
        <f>'04_MOTOR_CÁLCULO'!B277</f>
        <v>C</v>
      </c>
      <c r="C678" s="100" t="str">
        <f>'04_MOTOR_CÁLCULO'!C277</f>
        <v>Fabricação de calçados de material sintético</v>
      </c>
      <c r="D678" s="25" t="str">
        <f>'04_MOTOR_CÁLCULO'!D277</f>
        <v>PREPARAÇÃO DE CO</v>
      </c>
      <c r="E678" s="78" t="str">
        <f>'04_MOTOR_CÁLCULO'!N277</f>
        <v>CNAE-STG</v>
      </c>
      <c r="F678" s="55">
        <f>'04_MOTOR_CÁLCULO'!K277</f>
        <v>1</v>
      </c>
      <c r="G678" s="56">
        <f>'04_MOTOR_CÁLCULO'!K277-1</f>
        <v>0</v>
      </c>
      <c r="H678" s="57" t="str">
        <f>'04_MOTOR_CÁLCULO'!M277</f>
        <v>Médio</v>
      </c>
    </row>
    <row r="679" spans="1:8" ht="13.5" customHeight="1" x14ac:dyDescent="0.25">
      <c r="A679" s="13" t="str">
        <f>'04_MOTOR_CÁLCULO'!A278</f>
        <v>1539-4/00</v>
      </c>
      <c r="B679" s="49" t="str">
        <f>'04_MOTOR_CÁLCULO'!B278</f>
        <v>C</v>
      </c>
      <c r="C679" s="101" t="str">
        <f>'04_MOTOR_CÁLCULO'!C278</f>
        <v>Fabricação de calçados de materiais não especificados
anteriormente</v>
      </c>
      <c r="D679" s="14" t="str">
        <f>'04_MOTOR_CÁLCULO'!D278</f>
        <v>PREPARAÇÃO DE CO</v>
      </c>
      <c r="E679" s="78" t="str">
        <f>'04_MOTOR_CÁLCULO'!N278</f>
        <v>CNAE-STG</v>
      </c>
      <c r="F679" s="55">
        <f>'04_MOTOR_CÁLCULO'!K278</f>
        <v>1</v>
      </c>
      <c r="G679" s="56">
        <f>'04_MOTOR_CÁLCULO'!K278-1</f>
        <v>0</v>
      </c>
      <c r="H679" s="57" t="str">
        <f>'04_MOTOR_CÁLCULO'!M278</f>
        <v>Médio</v>
      </c>
    </row>
    <row r="680" spans="1:8" ht="13.5" customHeight="1" x14ac:dyDescent="0.25">
      <c r="A680" s="24" t="str">
        <f>'04_MOTOR_CÁLCULO'!A279</f>
        <v>1540-8/00</v>
      </c>
      <c r="B680" s="38" t="str">
        <f>'04_MOTOR_CÁLCULO'!B279</f>
        <v>C</v>
      </c>
      <c r="C680" s="100" t="str">
        <f>'04_MOTOR_CÁLCULO'!C279</f>
        <v>Fabricação de partes para calçados, de qualquer material</v>
      </c>
      <c r="D680" s="25" t="str">
        <f>'04_MOTOR_CÁLCULO'!D279</f>
        <v>PREPARAÇÃO DE CO</v>
      </c>
      <c r="E680" s="78" t="str">
        <f>'04_MOTOR_CÁLCULO'!N279</f>
        <v>CNAE-STG</v>
      </c>
      <c r="F680" s="55">
        <f>'04_MOTOR_CÁLCULO'!K279</f>
        <v>1</v>
      </c>
      <c r="G680" s="56">
        <f>'04_MOTOR_CÁLCULO'!K279-1</f>
        <v>0</v>
      </c>
      <c r="H680" s="57" t="str">
        <f>'04_MOTOR_CÁLCULO'!M279</f>
        <v>Médio</v>
      </c>
    </row>
    <row r="681" spans="1:8" ht="13.5" customHeight="1" x14ac:dyDescent="0.25">
      <c r="A681" s="13" t="str">
        <f>'04_MOTOR_CÁLCULO'!A291</f>
        <v>1721-4/00</v>
      </c>
      <c r="B681" s="49" t="str">
        <f>'04_MOTOR_CÁLCULO'!B291</f>
        <v>C</v>
      </c>
      <c r="C681" s="101" t="str">
        <f>'04_MOTOR_CÁLCULO'!C291</f>
        <v>Fabricação de papel</v>
      </c>
      <c r="D681" s="14" t="str">
        <f>'04_MOTOR_CÁLCULO'!D291</f>
        <v>FABRICAÇÃO DE CE</v>
      </c>
      <c r="E681" s="78" t="str">
        <f>'04_MOTOR_CÁLCULO'!N291</f>
        <v>CNAE-STG</v>
      </c>
      <c r="F681" s="55">
        <f>'04_MOTOR_CÁLCULO'!K291</f>
        <v>1</v>
      </c>
      <c r="G681" s="56">
        <f>'04_MOTOR_CÁLCULO'!K291-1</f>
        <v>0</v>
      </c>
      <c r="H681" s="57" t="str">
        <f>'04_MOTOR_CÁLCULO'!M291</f>
        <v>Médio</v>
      </c>
    </row>
    <row r="682" spans="1:8" ht="13.5" customHeight="1" x14ac:dyDescent="0.25">
      <c r="A682" s="24" t="str">
        <f>'04_MOTOR_CÁLCULO'!A292</f>
        <v>1722-2/00</v>
      </c>
      <c r="B682" s="38" t="str">
        <f>'04_MOTOR_CÁLCULO'!B292</f>
        <v>C</v>
      </c>
      <c r="C682" s="100" t="str">
        <f>'04_MOTOR_CÁLCULO'!C292</f>
        <v>Fabricação de cartolina e papel-cartão</v>
      </c>
      <c r="D682" s="25" t="str">
        <f>'04_MOTOR_CÁLCULO'!D292</f>
        <v>FABRICAÇÃO DE CE</v>
      </c>
      <c r="E682" s="78" t="str">
        <f>'04_MOTOR_CÁLCULO'!N292</f>
        <v>CNAE-STG</v>
      </c>
      <c r="F682" s="55">
        <f>'04_MOTOR_CÁLCULO'!K292</f>
        <v>1</v>
      </c>
      <c r="G682" s="56">
        <f>'04_MOTOR_CÁLCULO'!K292-1</f>
        <v>0</v>
      </c>
      <c r="H682" s="57" t="str">
        <f>'04_MOTOR_CÁLCULO'!M292</f>
        <v>Médio</v>
      </c>
    </row>
    <row r="683" spans="1:8" ht="13.5" customHeight="1" x14ac:dyDescent="0.25">
      <c r="A683" s="13" t="str">
        <f>'04_MOTOR_CÁLCULO'!A293</f>
        <v>1731-1/00</v>
      </c>
      <c r="B683" s="49" t="str">
        <f>'04_MOTOR_CÁLCULO'!B293</f>
        <v>C</v>
      </c>
      <c r="C683" s="101" t="str">
        <f>'04_MOTOR_CÁLCULO'!C293</f>
        <v>Fabricação de embalagens de papel</v>
      </c>
      <c r="D683" s="14" t="str">
        <f>'04_MOTOR_CÁLCULO'!D293</f>
        <v>FABRICAÇÃO DE CE</v>
      </c>
      <c r="E683" s="78" t="str">
        <f>'04_MOTOR_CÁLCULO'!N293</f>
        <v>CNAE-STG</v>
      </c>
      <c r="F683" s="55">
        <f>'04_MOTOR_CÁLCULO'!K293</f>
        <v>1</v>
      </c>
      <c r="G683" s="56">
        <f>'04_MOTOR_CÁLCULO'!K293-1</f>
        <v>0</v>
      </c>
      <c r="H683" s="57" t="str">
        <f>'04_MOTOR_CÁLCULO'!M293</f>
        <v>Médio</v>
      </c>
    </row>
    <row r="684" spans="1:8" ht="13.5" customHeight="1" x14ac:dyDescent="0.25">
      <c r="A684" s="24" t="str">
        <f>'04_MOTOR_CÁLCULO'!A294</f>
        <v>1732-0/00</v>
      </c>
      <c r="B684" s="38" t="str">
        <f>'04_MOTOR_CÁLCULO'!B294</f>
        <v>C</v>
      </c>
      <c r="C684" s="100" t="str">
        <f>'04_MOTOR_CÁLCULO'!C294</f>
        <v>Fabricação de embalagens de cartolina e papel-cartão</v>
      </c>
      <c r="D684" s="25" t="str">
        <f>'04_MOTOR_CÁLCULO'!D294</f>
        <v>FABRICAÇÃO DE CE</v>
      </c>
      <c r="E684" s="78" t="str">
        <f>'04_MOTOR_CÁLCULO'!N294</f>
        <v>CNAE-STG</v>
      </c>
      <c r="F684" s="55">
        <f>'04_MOTOR_CÁLCULO'!K294</f>
        <v>1</v>
      </c>
      <c r="G684" s="56">
        <f>'04_MOTOR_CÁLCULO'!K294-1</f>
        <v>0</v>
      </c>
      <c r="H684" s="57" t="str">
        <f>'04_MOTOR_CÁLCULO'!M294</f>
        <v>Médio</v>
      </c>
    </row>
    <row r="685" spans="1:8" ht="13.5" customHeight="1" x14ac:dyDescent="0.25">
      <c r="A685" s="13" t="str">
        <f>'04_MOTOR_CÁLCULO'!A295</f>
        <v>1733-8/00</v>
      </c>
      <c r="B685" s="49" t="str">
        <f>'04_MOTOR_CÁLCULO'!B295</f>
        <v>C</v>
      </c>
      <c r="C685" s="101" t="str">
        <f>'04_MOTOR_CÁLCULO'!C295</f>
        <v>Fabricação de chapas e de embalagens de papelão ondulado</v>
      </c>
      <c r="D685" s="14" t="str">
        <f>'04_MOTOR_CÁLCULO'!D295</f>
        <v>FABRICAÇÃO DE CE</v>
      </c>
      <c r="E685" s="78" t="str">
        <f>'04_MOTOR_CÁLCULO'!N295</f>
        <v>CNAE-STG</v>
      </c>
      <c r="F685" s="55">
        <f>'04_MOTOR_CÁLCULO'!K295</f>
        <v>1</v>
      </c>
      <c r="G685" s="56">
        <f>'04_MOTOR_CÁLCULO'!K295-1</f>
        <v>0</v>
      </c>
      <c r="H685" s="57" t="str">
        <f>'04_MOTOR_CÁLCULO'!M295</f>
        <v>Médio</v>
      </c>
    </row>
    <row r="686" spans="1:8" ht="13.5" customHeight="1" x14ac:dyDescent="0.25">
      <c r="A686" s="24" t="str">
        <f>'04_MOTOR_CÁLCULO'!A296</f>
        <v>1741-9/01</v>
      </c>
      <c r="B686" s="38" t="str">
        <f>'04_MOTOR_CÁLCULO'!B296</f>
        <v>C</v>
      </c>
      <c r="C686" s="100" t="str">
        <f>'04_MOTOR_CÁLCULO'!C296</f>
        <v>Fabricação de formulários contínuos</v>
      </c>
      <c r="D686" s="25" t="str">
        <f>'04_MOTOR_CÁLCULO'!D296</f>
        <v>FABRICAÇÃO DE CE</v>
      </c>
      <c r="E686" s="78" t="str">
        <f>'04_MOTOR_CÁLCULO'!N296</f>
        <v>CNAE-STG</v>
      </c>
      <c r="F686" s="55">
        <f>'04_MOTOR_CÁLCULO'!K296</f>
        <v>1</v>
      </c>
      <c r="G686" s="56">
        <f>'04_MOTOR_CÁLCULO'!K296-1</f>
        <v>0</v>
      </c>
      <c r="H686" s="57" t="str">
        <f>'04_MOTOR_CÁLCULO'!M296</f>
        <v>Médio</v>
      </c>
    </row>
    <row r="687" spans="1:8" ht="13.5" customHeight="1" x14ac:dyDescent="0.25">
      <c r="A687" s="13" t="str">
        <f>'04_MOTOR_CÁLCULO'!A297</f>
        <v>1741-9/02</v>
      </c>
      <c r="B687" s="49" t="str">
        <f>'04_MOTOR_CÁLCULO'!B297</f>
        <v>C</v>
      </c>
      <c r="C687" s="101" t="str">
        <f>'04_MOTOR_CÁLCULO'!C297</f>
        <v>Fabricação de produtos de papel, cartolina, papel-cartão e papelão ondulado para uso comercial e de escritório</v>
      </c>
      <c r="D687" s="14" t="str">
        <f>'04_MOTOR_CÁLCULO'!D297</f>
        <v>FABRICAÇÃO DE CE</v>
      </c>
      <c r="E687" s="78" t="str">
        <f>'04_MOTOR_CÁLCULO'!N297</f>
        <v>CNAE-STG</v>
      </c>
      <c r="F687" s="55">
        <f>'04_MOTOR_CÁLCULO'!K297</f>
        <v>1</v>
      </c>
      <c r="G687" s="56">
        <f>'04_MOTOR_CÁLCULO'!K297-1</f>
        <v>0</v>
      </c>
      <c r="H687" s="57" t="str">
        <f>'04_MOTOR_CÁLCULO'!M297</f>
        <v>Médio</v>
      </c>
    </row>
    <row r="688" spans="1:8" ht="13.5" customHeight="1" x14ac:dyDescent="0.25">
      <c r="A688" s="24" t="str">
        <f>'04_MOTOR_CÁLCULO'!A298</f>
        <v>1742-7/01</v>
      </c>
      <c r="B688" s="38" t="str">
        <f>'04_MOTOR_CÁLCULO'!B298</f>
        <v>C</v>
      </c>
      <c r="C688" s="100" t="str">
        <f>'04_MOTOR_CÁLCULO'!C298</f>
        <v>Fabricação de fraldas descartáveis</v>
      </c>
      <c r="D688" s="25" t="str">
        <f>'04_MOTOR_CÁLCULO'!D298</f>
        <v>FABRICAÇÃO DE CE</v>
      </c>
      <c r="E688" s="78" t="str">
        <f>'04_MOTOR_CÁLCULO'!N298</f>
        <v>CNAE-STG</v>
      </c>
      <c r="F688" s="55">
        <f>'04_MOTOR_CÁLCULO'!K298</f>
        <v>1</v>
      </c>
      <c r="G688" s="56">
        <f>'04_MOTOR_CÁLCULO'!K298-1</f>
        <v>0</v>
      </c>
      <c r="H688" s="57" t="str">
        <f>'04_MOTOR_CÁLCULO'!M298</f>
        <v>Médio</v>
      </c>
    </row>
    <row r="689" spans="1:8" ht="13.5" customHeight="1" x14ac:dyDescent="0.25">
      <c r="A689" s="13" t="str">
        <f>'04_MOTOR_CÁLCULO'!A299</f>
        <v>1742-7/02</v>
      </c>
      <c r="B689" s="49" t="str">
        <f>'04_MOTOR_CÁLCULO'!B299</f>
        <v>C</v>
      </c>
      <c r="C689" s="101" t="str">
        <f>'04_MOTOR_CÁLCULO'!C299</f>
        <v>Fabricação de absorventes higiênicos</v>
      </c>
      <c r="D689" s="14" t="str">
        <f>'04_MOTOR_CÁLCULO'!D299</f>
        <v>FABRICAÇÃO DE CE</v>
      </c>
      <c r="E689" s="78" t="str">
        <f>'04_MOTOR_CÁLCULO'!N299</f>
        <v>CNAE-STG</v>
      </c>
      <c r="F689" s="55">
        <f>'04_MOTOR_CÁLCULO'!K299</f>
        <v>1</v>
      </c>
      <c r="G689" s="56">
        <f>'04_MOTOR_CÁLCULO'!K299-1</f>
        <v>0</v>
      </c>
      <c r="H689" s="57" t="str">
        <f>'04_MOTOR_CÁLCULO'!M299</f>
        <v>Médio</v>
      </c>
    </row>
    <row r="690" spans="1:8" ht="13.5" customHeight="1" x14ac:dyDescent="0.25">
      <c r="A690" s="24" t="str">
        <f>'04_MOTOR_CÁLCULO'!A300</f>
        <v>1742-7/99</v>
      </c>
      <c r="B690" s="38" t="str">
        <f>'04_MOTOR_CÁLCULO'!B300</f>
        <v>C</v>
      </c>
      <c r="C690" s="100" t="str">
        <f>'04_MOTOR_CÁLCULO'!C300</f>
        <v>Fabricação de produtos de papel para uso doméstico e higiênico-sanitário não especificados anteriormente</v>
      </c>
      <c r="D690" s="25" t="str">
        <f>'04_MOTOR_CÁLCULO'!D300</f>
        <v>FABRICAÇÃO DE CE</v>
      </c>
      <c r="E690" s="78" t="str">
        <f>'04_MOTOR_CÁLCULO'!N300</f>
        <v>CNAE-STG</v>
      </c>
      <c r="F690" s="55">
        <f>'04_MOTOR_CÁLCULO'!K300</f>
        <v>1</v>
      </c>
      <c r="G690" s="56">
        <f>'04_MOTOR_CÁLCULO'!K300-1</f>
        <v>0</v>
      </c>
      <c r="H690" s="57" t="str">
        <f>'04_MOTOR_CÁLCULO'!M300</f>
        <v>Médio</v>
      </c>
    </row>
    <row r="691" spans="1:8" ht="13.5" customHeight="1" x14ac:dyDescent="0.25">
      <c r="A691" s="13" t="str">
        <f>'04_MOTOR_CÁLCULO'!A301</f>
        <v>1749-4/00</v>
      </c>
      <c r="B691" s="49" t="str">
        <f>'04_MOTOR_CÁLCULO'!B301</f>
        <v>C</v>
      </c>
      <c r="C691" s="101" t="str">
        <f>'04_MOTOR_CÁLCULO'!C301</f>
        <v>Fabricação de produtos de pastas celulósicas, papel, cartolina, papel-cartão e papelão ondulado não especificados anteriormente</v>
      </c>
      <c r="D691" s="14" t="str">
        <f>'04_MOTOR_CÁLCULO'!D301</f>
        <v>FABRICAÇÃO DE CE</v>
      </c>
      <c r="E691" s="78" t="str">
        <f>'04_MOTOR_CÁLCULO'!N301</f>
        <v>CNAE-STG</v>
      </c>
      <c r="F691" s="55">
        <f>'04_MOTOR_CÁLCULO'!K301</f>
        <v>1</v>
      </c>
      <c r="G691" s="56">
        <f>'04_MOTOR_CÁLCULO'!K301-1</f>
        <v>0</v>
      </c>
      <c r="H691" s="57" t="str">
        <f>'04_MOTOR_CÁLCULO'!M301</f>
        <v>Médio</v>
      </c>
    </row>
    <row r="692" spans="1:8" ht="13.5" customHeight="1" x14ac:dyDescent="0.25">
      <c r="A692" s="24" t="str">
        <f>'04_MOTOR_CÁLCULO'!A350</f>
        <v>2110-6/00</v>
      </c>
      <c r="B692" s="38" t="str">
        <f>'04_MOTOR_CÁLCULO'!B350</f>
        <v>C</v>
      </c>
      <c r="C692" s="100" t="str">
        <f>'04_MOTOR_CÁLCULO'!C350</f>
        <v>Fabricação de produtos farmoquímicos</v>
      </c>
      <c r="D692" s="25" t="str">
        <f>'04_MOTOR_CÁLCULO'!D350</f>
        <v>FABRICAÇÃO DE PR</v>
      </c>
      <c r="E692" s="78" t="str">
        <f>'04_MOTOR_CÁLCULO'!N350</f>
        <v>CNAE-STG</v>
      </c>
      <c r="F692" s="55">
        <f>'04_MOTOR_CÁLCULO'!K350</f>
        <v>1</v>
      </c>
      <c r="G692" s="56">
        <f>'04_MOTOR_CÁLCULO'!K350-1</f>
        <v>0</v>
      </c>
      <c r="H692" s="57" t="str">
        <f>'04_MOTOR_CÁLCULO'!M350</f>
        <v>Médio</v>
      </c>
    </row>
    <row r="693" spans="1:8" ht="13.5" customHeight="1" x14ac:dyDescent="0.25">
      <c r="A693" s="13" t="str">
        <f>'04_MOTOR_CÁLCULO'!A351</f>
        <v>2121-1/01</v>
      </c>
      <c r="B693" s="49" t="str">
        <f>'04_MOTOR_CÁLCULO'!B351</f>
        <v>C</v>
      </c>
      <c r="C693" s="101" t="str">
        <f>'04_MOTOR_CÁLCULO'!C351</f>
        <v>Fabricação de medicamentos alopáticos para uso humano</v>
      </c>
      <c r="D693" s="14" t="str">
        <f>'04_MOTOR_CÁLCULO'!D351</f>
        <v>FABRICAÇÃO DE PR</v>
      </c>
      <c r="E693" s="78" t="str">
        <f>'04_MOTOR_CÁLCULO'!N351</f>
        <v>CNAE-STG</v>
      </c>
      <c r="F693" s="55">
        <f>'04_MOTOR_CÁLCULO'!K351</f>
        <v>1</v>
      </c>
      <c r="G693" s="56">
        <f>'04_MOTOR_CÁLCULO'!K351-1</f>
        <v>0</v>
      </c>
      <c r="H693" s="57" t="str">
        <f>'04_MOTOR_CÁLCULO'!M351</f>
        <v>Médio</v>
      </c>
    </row>
    <row r="694" spans="1:8" ht="13.5" customHeight="1" x14ac:dyDescent="0.25">
      <c r="A694" s="24" t="str">
        <f>'04_MOTOR_CÁLCULO'!A352</f>
        <v>2121-1/02</v>
      </c>
      <c r="B694" s="38" t="str">
        <f>'04_MOTOR_CÁLCULO'!B352</f>
        <v>C</v>
      </c>
      <c r="C694" s="100" t="str">
        <f>'04_MOTOR_CÁLCULO'!C352</f>
        <v>Fabricação de medicamentos homeopáticos para uso humano</v>
      </c>
      <c r="D694" s="25" t="str">
        <f>'04_MOTOR_CÁLCULO'!D352</f>
        <v>FABRICAÇÃO DE PR</v>
      </c>
      <c r="E694" s="78" t="str">
        <f>'04_MOTOR_CÁLCULO'!N352</f>
        <v>CNAE-STG</v>
      </c>
      <c r="F694" s="55">
        <f>'04_MOTOR_CÁLCULO'!K352</f>
        <v>1</v>
      </c>
      <c r="G694" s="56">
        <f>'04_MOTOR_CÁLCULO'!K352-1</f>
        <v>0</v>
      </c>
      <c r="H694" s="57" t="str">
        <f>'04_MOTOR_CÁLCULO'!M352</f>
        <v>Médio</v>
      </c>
    </row>
    <row r="695" spans="1:8" ht="13.5" customHeight="1" x14ac:dyDescent="0.25">
      <c r="A695" s="13" t="str">
        <f>'04_MOTOR_CÁLCULO'!A353</f>
        <v>2121-1/03</v>
      </c>
      <c r="B695" s="49" t="str">
        <f>'04_MOTOR_CÁLCULO'!B353</f>
        <v>C</v>
      </c>
      <c r="C695" s="101" t="str">
        <f>'04_MOTOR_CÁLCULO'!C353</f>
        <v>Fabricação de medicamentos fitoterápicos para uso humano</v>
      </c>
      <c r="D695" s="14" t="str">
        <f>'04_MOTOR_CÁLCULO'!D353</f>
        <v>FABRICAÇÃO DE PR</v>
      </c>
      <c r="E695" s="78" t="str">
        <f>'04_MOTOR_CÁLCULO'!N353</f>
        <v>CNAE-STG</v>
      </c>
      <c r="F695" s="55">
        <f>'04_MOTOR_CÁLCULO'!K353</f>
        <v>1</v>
      </c>
      <c r="G695" s="56">
        <f>'04_MOTOR_CÁLCULO'!K353-1</f>
        <v>0</v>
      </c>
      <c r="H695" s="57" t="str">
        <f>'04_MOTOR_CÁLCULO'!M353</f>
        <v>Médio</v>
      </c>
    </row>
    <row r="696" spans="1:8" ht="13.5" customHeight="1" x14ac:dyDescent="0.25">
      <c r="A696" s="24" t="str">
        <f>'04_MOTOR_CÁLCULO'!A354</f>
        <v>2122-0/00</v>
      </c>
      <c r="B696" s="38" t="str">
        <f>'04_MOTOR_CÁLCULO'!B354</f>
        <v>C</v>
      </c>
      <c r="C696" s="100" t="str">
        <f>'04_MOTOR_CÁLCULO'!C354</f>
        <v>Fabricação de medicamentos para uso veterinário</v>
      </c>
      <c r="D696" s="25" t="str">
        <f>'04_MOTOR_CÁLCULO'!D354</f>
        <v>FABRICAÇÃO DE PR</v>
      </c>
      <c r="E696" s="78" t="str">
        <f>'04_MOTOR_CÁLCULO'!N354</f>
        <v>CNAE-STG</v>
      </c>
      <c r="F696" s="55">
        <f>'04_MOTOR_CÁLCULO'!K354</f>
        <v>1</v>
      </c>
      <c r="G696" s="56">
        <f>'04_MOTOR_CÁLCULO'!K354-1</f>
        <v>0</v>
      </c>
      <c r="H696" s="57" t="str">
        <f>'04_MOTOR_CÁLCULO'!M354</f>
        <v>Médio</v>
      </c>
    </row>
    <row r="697" spans="1:8" ht="13.5" customHeight="1" x14ac:dyDescent="0.25">
      <c r="A697" s="13" t="str">
        <f>'04_MOTOR_CÁLCULO'!A355</f>
        <v>2123-8/00</v>
      </c>
      <c r="B697" s="49" t="str">
        <f>'04_MOTOR_CÁLCULO'!B355</f>
        <v>C</v>
      </c>
      <c r="C697" s="101" t="str">
        <f>'04_MOTOR_CÁLCULO'!C355</f>
        <v>Fabricação de preparações farmacêuticas</v>
      </c>
      <c r="D697" s="14" t="str">
        <f>'04_MOTOR_CÁLCULO'!D355</f>
        <v>FABRICAÇÃO DE PR</v>
      </c>
      <c r="E697" s="78" t="str">
        <f>'04_MOTOR_CÁLCULO'!N355</f>
        <v>CNAE-STG</v>
      </c>
      <c r="F697" s="55">
        <f>'04_MOTOR_CÁLCULO'!K355</f>
        <v>1</v>
      </c>
      <c r="G697" s="56">
        <f>'04_MOTOR_CÁLCULO'!K355-1</f>
        <v>0</v>
      </c>
      <c r="H697" s="57" t="str">
        <f>'04_MOTOR_CÁLCULO'!M355</f>
        <v>Médio</v>
      </c>
    </row>
    <row r="698" spans="1:8" ht="13.5" customHeight="1" x14ac:dyDescent="0.25">
      <c r="A698" s="24" t="str">
        <f>'04_MOTOR_CÁLCULO'!A356</f>
        <v>2211-1/00</v>
      </c>
      <c r="B698" s="38" t="str">
        <f>'04_MOTOR_CÁLCULO'!B356</f>
        <v>C</v>
      </c>
      <c r="C698" s="100" t="str">
        <f>'04_MOTOR_CÁLCULO'!C356</f>
        <v>Fabricação de pneumáticos e de câmaras-de-ar</v>
      </c>
      <c r="D698" s="25" t="str">
        <f>'04_MOTOR_CÁLCULO'!D356</f>
        <v>FABRICAÇÃO DE PR</v>
      </c>
      <c r="E698" s="78" t="str">
        <f>'04_MOTOR_CÁLCULO'!N356</f>
        <v>CNAE-STG</v>
      </c>
      <c r="F698" s="55">
        <f>'04_MOTOR_CÁLCULO'!K356</f>
        <v>1</v>
      </c>
      <c r="G698" s="56">
        <f>'04_MOTOR_CÁLCULO'!K356-1</f>
        <v>0</v>
      </c>
      <c r="H698" s="57" t="str">
        <f>'04_MOTOR_CÁLCULO'!M356</f>
        <v>Médio</v>
      </c>
    </row>
    <row r="699" spans="1:8" ht="13.5" customHeight="1" x14ac:dyDescent="0.25">
      <c r="A699" s="13" t="str">
        <f>'04_MOTOR_CÁLCULO'!A357</f>
        <v>2212-9/00</v>
      </c>
      <c r="B699" s="49" t="str">
        <f>'04_MOTOR_CÁLCULO'!B357</f>
        <v>C</v>
      </c>
      <c r="C699" s="101" t="str">
        <f>'04_MOTOR_CÁLCULO'!C357</f>
        <v>Reforma de pneumáticos usados</v>
      </c>
      <c r="D699" s="14" t="str">
        <f>'04_MOTOR_CÁLCULO'!D357</f>
        <v>FABRICAÇÃO DE PR</v>
      </c>
      <c r="E699" s="78" t="str">
        <f>'04_MOTOR_CÁLCULO'!N357</f>
        <v>CNAE-STG</v>
      </c>
      <c r="F699" s="55">
        <f>'04_MOTOR_CÁLCULO'!K357</f>
        <v>1</v>
      </c>
      <c r="G699" s="56">
        <f>'04_MOTOR_CÁLCULO'!K357-1</f>
        <v>0</v>
      </c>
      <c r="H699" s="57" t="str">
        <f>'04_MOTOR_CÁLCULO'!M357</f>
        <v>Médio</v>
      </c>
    </row>
    <row r="700" spans="1:8" ht="13.5" customHeight="1" x14ac:dyDescent="0.25">
      <c r="A700" s="24" t="str">
        <f>'04_MOTOR_CÁLCULO'!A358</f>
        <v>2219-6/00</v>
      </c>
      <c r="B700" s="38" t="str">
        <f>'04_MOTOR_CÁLCULO'!B358</f>
        <v>C</v>
      </c>
      <c r="C700" s="100" t="str">
        <f>'04_MOTOR_CÁLCULO'!C358</f>
        <v>Fabricação de artefatos de borracha não especificados 
anteriormente</v>
      </c>
      <c r="D700" s="25" t="str">
        <f>'04_MOTOR_CÁLCULO'!D358</f>
        <v>FABRICAÇÃO DE PR</v>
      </c>
      <c r="E700" s="78" t="str">
        <f>'04_MOTOR_CÁLCULO'!N358</f>
        <v>CNAE-STG</v>
      </c>
      <c r="F700" s="55">
        <f>'04_MOTOR_CÁLCULO'!K358</f>
        <v>1</v>
      </c>
      <c r="G700" s="56">
        <f>'04_MOTOR_CÁLCULO'!K358-1</f>
        <v>0</v>
      </c>
      <c r="H700" s="57" t="str">
        <f>'04_MOTOR_CÁLCULO'!M358</f>
        <v>Médio</v>
      </c>
    </row>
    <row r="701" spans="1:8" ht="13.5" customHeight="1" x14ac:dyDescent="0.25">
      <c r="A701" s="13" t="str">
        <f>'04_MOTOR_CÁLCULO'!A359</f>
        <v>2221-8/00</v>
      </c>
      <c r="B701" s="49" t="str">
        <f>'04_MOTOR_CÁLCULO'!B359</f>
        <v>C</v>
      </c>
      <c r="C701" s="101" t="str">
        <f>'04_MOTOR_CÁLCULO'!C359</f>
        <v>Fabricação de laminados planos e tubulares de material plástico</v>
      </c>
      <c r="D701" s="14" t="str">
        <f>'04_MOTOR_CÁLCULO'!D359</f>
        <v>FABRICAÇÃO DE PR</v>
      </c>
      <c r="E701" s="78" t="str">
        <f>'04_MOTOR_CÁLCULO'!N359</f>
        <v>CNAE-STG</v>
      </c>
      <c r="F701" s="55">
        <f>'04_MOTOR_CÁLCULO'!K359</f>
        <v>1</v>
      </c>
      <c r="G701" s="56">
        <f>'04_MOTOR_CÁLCULO'!K359-1</f>
        <v>0</v>
      </c>
      <c r="H701" s="57" t="str">
        <f>'04_MOTOR_CÁLCULO'!M359</f>
        <v>Médio</v>
      </c>
    </row>
    <row r="702" spans="1:8" ht="13.5" customHeight="1" x14ac:dyDescent="0.25">
      <c r="A702" s="24" t="str">
        <f>'04_MOTOR_CÁLCULO'!A360</f>
        <v>2222-6/00</v>
      </c>
      <c r="B702" s="38" t="str">
        <f>'04_MOTOR_CÁLCULO'!B360</f>
        <v>C</v>
      </c>
      <c r="C702" s="100" t="str">
        <f>'04_MOTOR_CÁLCULO'!C360</f>
        <v>Fabricação de embalagens de material plástico</v>
      </c>
      <c r="D702" s="25" t="str">
        <f>'04_MOTOR_CÁLCULO'!D360</f>
        <v>FABRICAÇÃO DE PR</v>
      </c>
      <c r="E702" s="78" t="str">
        <f>'04_MOTOR_CÁLCULO'!N360</f>
        <v>CNAE-STG</v>
      </c>
      <c r="F702" s="55">
        <f>'04_MOTOR_CÁLCULO'!K360</f>
        <v>1</v>
      </c>
      <c r="G702" s="56">
        <f>'04_MOTOR_CÁLCULO'!K360-1</f>
        <v>0</v>
      </c>
      <c r="H702" s="57" t="str">
        <f>'04_MOTOR_CÁLCULO'!M360</f>
        <v>Médio</v>
      </c>
    </row>
    <row r="703" spans="1:8" ht="13.5" customHeight="1" x14ac:dyDescent="0.25">
      <c r="A703" s="13" t="str">
        <f>'04_MOTOR_CÁLCULO'!A361</f>
        <v>2223-4/00</v>
      </c>
      <c r="B703" s="49" t="str">
        <f>'04_MOTOR_CÁLCULO'!B361</f>
        <v>C</v>
      </c>
      <c r="C703" s="101" t="str">
        <f>'04_MOTOR_CÁLCULO'!C361</f>
        <v>Fabricação de tubos e acessórios de material plástico para uso na construção</v>
      </c>
      <c r="D703" s="14" t="str">
        <f>'04_MOTOR_CÁLCULO'!D361</f>
        <v>FABRICAÇÃO DE PR</v>
      </c>
      <c r="E703" s="78" t="str">
        <f>'04_MOTOR_CÁLCULO'!N361</f>
        <v>CNAE-STG</v>
      </c>
      <c r="F703" s="55">
        <f>'04_MOTOR_CÁLCULO'!K361</f>
        <v>1</v>
      </c>
      <c r="G703" s="56">
        <f>'04_MOTOR_CÁLCULO'!K361-1</f>
        <v>0</v>
      </c>
      <c r="H703" s="57" t="str">
        <f>'04_MOTOR_CÁLCULO'!M361</f>
        <v>Médio</v>
      </c>
    </row>
    <row r="704" spans="1:8" ht="13.5" customHeight="1" x14ac:dyDescent="0.25">
      <c r="A704" s="24" t="str">
        <f>'04_MOTOR_CÁLCULO'!A362</f>
        <v>2229-3/01</v>
      </c>
      <c r="B704" s="38" t="str">
        <f>'04_MOTOR_CÁLCULO'!B362</f>
        <v>C</v>
      </c>
      <c r="C704" s="100" t="str">
        <f>'04_MOTOR_CÁLCULO'!C362</f>
        <v>Fabricação de artefatos de material plástico para uso pessoal e doméstico</v>
      </c>
      <c r="D704" s="25" t="str">
        <f>'04_MOTOR_CÁLCULO'!D362</f>
        <v>FABRICAÇÃO DE PR</v>
      </c>
      <c r="E704" s="78" t="str">
        <f>'04_MOTOR_CÁLCULO'!N362</f>
        <v>CNAE-STG</v>
      </c>
      <c r="F704" s="55">
        <f>'04_MOTOR_CÁLCULO'!K362</f>
        <v>1</v>
      </c>
      <c r="G704" s="56">
        <f>'04_MOTOR_CÁLCULO'!K362-1</f>
        <v>0</v>
      </c>
      <c r="H704" s="57" t="str">
        <f>'04_MOTOR_CÁLCULO'!M362</f>
        <v>Médio</v>
      </c>
    </row>
    <row r="705" spans="1:8" ht="13.5" customHeight="1" x14ac:dyDescent="0.25">
      <c r="A705" s="13" t="str">
        <f>'04_MOTOR_CÁLCULO'!A363</f>
        <v>2229-3/02</v>
      </c>
      <c r="B705" s="49" t="str">
        <f>'04_MOTOR_CÁLCULO'!B363</f>
        <v>C</v>
      </c>
      <c r="C705" s="101" t="str">
        <f>'04_MOTOR_CÁLCULO'!C363</f>
        <v>Fabricação de artefatos de material plástico para usos industriais</v>
      </c>
      <c r="D705" s="14" t="str">
        <f>'04_MOTOR_CÁLCULO'!D363</f>
        <v>FABRICAÇÃO DE PR</v>
      </c>
      <c r="E705" s="78" t="str">
        <f>'04_MOTOR_CÁLCULO'!N363</f>
        <v>CNAE-STG</v>
      </c>
      <c r="F705" s="55">
        <f>'04_MOTOR_CÁLCULO'!K363</f>
        <v>1</v>
      </c>
      <c r="G705" s="56">
        <f>'04_MOTOR_CÁLCULO'!K363-1</f>
        <v>0</v>
      </c>
      <c r="H705" s="57" t="str">
        <f>'04_MOTOR_CÁLCULO'!M363</f>
        <v>Médio</v>
      </c>
    </row>
    <row r="706" spans="1:8" ht="13.5" customHeight="1" x14ac:dyDescent="0.25">
      <c r="A706" s="24" t="str">
        <f>'04_MOTOR_CÁLCULO'!A364</f>
        <v>2229-3/03</v>
      </c>
      <c r="B706" s="38" t="str">
        <f>'04_MOTOR_CÁLCULO'!B364</f>
        <v>C</v>
      </c>
      <c r="C706" s="100" t="str">
        <f>'04_MOTOR_CÁLCULO'!C364</f>
        <v>Fabricação de artefatos de material plástico para uso na construção, exceto tubos e acessórios</v>
      </c>
      <c r="D706" s="25" t="str">
        <f>'04_MOTOR_CÁLCULO'!D364</f>
        <v>FABRICAÇÃO DE PR</v>
      </c>
      <c r="E706" s="78" t="str">
        <f>'04_MOTOR_CÁLCULO'!N364</f>
        <v>CNAE-STG</v>
      </c>
      <c r="F706" s="55">
        <f>'04_MOTOR_CÁLCULO'!K364</f>
        <v>1</v>
      </c>
      <c r="G706" s="56">
        <f>'04_MOTOR_CÁLCULO'!K364-1</f>
        <v>0</v>
      </c>
      <c r="H706" s="57" t="str">
        <f>'04_MOTOR_CÁLCULO'!M364</f>
        <v>Médio</v>
      </c>
    </row>
    <row r="707" spans="1:8" ht="13.5" customHeight="1" x14ac:dyDescent="0.25">
      <c r="A707" s="13" t="str">
        <f>'04_MOTOR_CÁLCULO'!A365</f>
        <v>2229-3/99</v>
      </c>
      <c r="B707" s="49" t="str">
        <f>'04_MOTOR_CÁLCULO'!B365</f>
        <v>C</v>
      </c>
      <c r="C707" s="101" t="str">
        <f>'04_MOTOR_CÁLCULO'!C365</f>
        <v>Fabricação de artefatos de material plástico para outros usos não especificados anteriormente</v>
      </c>
      <c r="D707" s="14" t="str">
        <f>'04_MOTOR_CÁLCULO'!D365</f>
        <v>FABRICAÇÃO DE PR</v>
      </c>
      <c r="E707" s="78" t="str">
        <f>'04_MOTOR_CÁLCULO'!N365</f>
        <v>CNAE-STG</v>
      </c>
      <c r="F707" s="55">
        <f>'04_MOTOR_CÁLCULO'!K365</f>
        <v>1</v>
      </c>
      <c r="G707" s="56">
        <f>'04_MOTOR_CÁLCULO'!K365-1</f>
        <v>0</v>
      </c>
      <c r="H707" s="57" t="str">
        <f>'04_MOTOR_CÁLCULO'!M365</f>
        <v>Médio</v>
      </c>
    </row>
    <row r="708" spans="1:8" ht="13.5" customHeight="1" x14ac:dyDescent="0.25">
      <c r="A708" s="24" t="str">
        <f>'04_MOTOR_CÁLCULO'!A444</f>
        <v>2710-4/01</v>
      </c>
      <c r="B708" s="38" t="str">
        <f>'04_MOTOR_CÁLCULO'!B444</f>
        <v>C</v>
      </c>
      <c r="C708" s="100" t="str">
        <f>'04_MOTOR_CÁLCULO'!C444</f>
        <v>Fabricação de geradores de corrente contínua e alternada, peças e acessórios</v>
      </c>
      <c r="D708" s="25" t="str">
        <f>'04_MOTOR_CÁLCULO'!D444</f>
        <v>FABRICAÇÃO DE MÁ</v>
      </c>
      <c r="E708" s="78" t="str">
        <f>'04_MOTOR_CÁLCULO'!N444</f>
        <v>CNAE-STG</v>
      </c>
      <c r="F708" s="55">
        <f>'04_MOTOR_CÁLCULO'!K444</f>
        <v>1</v>
      </c>
      <c r="G708" s="56">
        <f>'04_MOTOR_CÁLCULO'!K444-1</f>
        <v>0</v>
      </c>
      <c r="H708" s="57" t="str">
        <f>'04_MOTOR_CÁLCULO'!M444</f>
        <v>Médio</v>
      </c>
    </row>
    <row r="709" spans="1:8" ht="13.5" customHeight="1" x14ac:dyDescent="0.25">
      <c r="A709" s="13" t="str">
        <f>'04_MOTOR_CÁLCULO'!A445</f>
        <v>2710-4/02</v>
      </c>
      <c r="B709" s="49" t="str">
        <f>'04_MOTOR_CÁLCULO'!B445</f>
        <v>C</v>
      </c>
      <c r="C709" s="101" t="str">
        <f>'04_MOTOR_CÁLCULO'!C445</f>
        <v>Fabricação de transformadores, indutores, conversores, sincronizadores e semelhantes, peças e acessórios</v>
      </c>
      <c r="D709" s="14" t="str">
        <f>'04_MOTOR_CÁLCULO'!D445</f>
        <v>FABRICAÇÃO DE MÁ</v>
      </c>
      <c r="E709" s="78" t="str">
        <f>'04_MOTOR_CÁLCULO'!N445</f>
        <v>CNAE-STG</v>
      </c>
      <c r="F709" s="55">
        <f>'04_MOTOR_CÁLCULO'!K445</f>
        <v>1</v>
      </c>
      <c r="G709" s="56">
        <f>'04_MOTOR_CÁLCULO'!K445-1</f>
        <v>0</v>
      </c>
      <c r="H709" s="57" t="str">
        <f>'04_MOTOR_CÁLCULO'!M445</f>
        <v>Médio</v>
      </c>
    </row>
    <row r="710" spans="1:8" ht="13.5" customHeight="1" x14ac:dyDescent="0.25">
      <c r="A710" s="24" t="str">
        <f>'04_MOTOR_CÁLCULO'!A446</f>
        <v>2710-4/03</v>
      </c>
      <c r="B710" s="38" t="str">
        <f>'04_MOTOR_CÁLCULO'!B446</f>
        <v>C</v>
      </c>
      <c r="C710" s="100" t="str">
        <f>'04_MOTOR_CÁLCULO'!C446</f>
        <v>Fabricação de motores elétricos, peças e acessórios</v>
      </c>
      <c r="D710" s="25" t="str">
        <f>'04_MOTOR_CÁLCULO'!D446</f>
        <v>FABRICAÇÃO DE MÁ</v>
      </c>
      <c r="E710" s="78" t="str">
        <f>'04_MOTOR_CÁLCULO'!N446</f>
        <v>CNAE-STG</v>
      </c>
      <c r="F710" s="55">
        <f>'04_MOTOR_CÁLCULO'!K446</f>
        <v>1</v>
      </c>
      <c r="G710" s="56">
        <f>'04_MOTOR_CÁLCULO'!K446-1</f>
        <v>0</v>
      </c>
      <c r="H710" s="57" t="str">
        <f>'04_MOTOR_CÁLCULO'!M446</f>
        <v>Médio</v>
      </c>
    </row>
    <row r="711" spans="1:8" ht="13.5" customHeight="1" x14ac:dyDescent="0.25">
      <c r="A711" s="13" t="str">
        <f>'04_MOTOR_CÁLCULO'!A447</f>
        <v>2721-0/00</v>
      </c>
      <c r="B711" s="49" t="str">
        <f>'04_MOTOR_CÁLCULO'!B447</f>
        <v>C</v>
      </c>
      <c r="C711" s="101" t="str">
        <f>'04_MOTOR_CÁLCULO'!C447</f>
        <v>Fabricação de pilhas, baterias e acumuladores elétricos, exceto para veículos automotores</v>
      </c>
      <c r="D711" s="14" t="str">
        <f>'04_MOTOR_CÁLCULO'!D447</f>
        <v>FABRICAÇÃO DE MÁ</v>
      </c>
      <c r="E711" s="78" t="str">
        <f>'04_MOTOR_CÁLCULO'!N447</f>
        <v>CNAE-STG</v>
      </c>
      <c r="F711" s="55">
        <f>'04_MOTOR_CÁLCULO'!K447</f>
        <v>1</v>
      </c>
      <c r="G711" s="56">
        <f>'04_MOTOR_CÁLCULO'!K447-1</f>
        <v>0</v>
      </c>
      <c r="H711" s="57" t="str">
        <f>'04_MOTOR_CÁLCULO'!M447</f>
        <v>Médio</v>
      </c>
    </row>
    <row r="712" spans="1:8" ht="13.5" customHeight="1" x14ac:dyDescent="0.25">
      <c r="A712" s="24" t="str">
        <f>'04_MOTOR_CÁLCULO'!A448</f>
        <v>2722-8/01</v>
      </c>
      <c r="B712" s="38" t="str">
        <f>'04_MOTOR_CÁLCULO'!B448</f>
        <v>C</v>
      </c>
      <c r="C712" s="100" t="str">
        <f>'04_MOTOR_CÁLCULO'!C448</f>
        <v>Fabricação de baterias e acumuladores para veículos automotores</v>
      </c>
      <c r="D712" s="25" t="str">
        <f>'04_MOTOR_CÁLCULO'!D448</f>
        <v>FABRICAÇÃO DE MÁ</v>
      </c>
      <c r="E712" s="78" t="str">
        <f>'04_MOTOR_CÁLCULO'!N448</f>
        <v>CNAE-STG</v>
      </c>
      <c r="F712" s="55">
        <f>'04_MOTOR_CÁLCULO'!K448</f>
        <v>1</v>
      </c>
      <c r="G712" s="56">
        <f>'04_MOTOR_CÁLCULO'!K448-1</f>
        <v>0</v>
      </c>
      <c r="H712" s="57" t="str">
        <f>'04_MOTOR_CÁLCULO'!M448</f>
        <v>Médio</v>
      </c>
    </row>
    <row r="713" spans="1:8" ht="13.5" customHeight="1" x14ac:dyDescent="0.25">
      <c r="A713" s="13" t="str">
        <f>'04_MOTOR_CÁLCULO'!A449</f>
        <v>2722-8/02</v>
      </c>
      <c r="B713" s="49" t="str">
        <f>'04_MOTOR_CÁLCULO'!B449</f>
        <v>C</v>
      </c>
      <c r="C713" s="101" t="str">
        <f>'04_MOTOR_CÁLCULO'!C449</f>
        <v>Recondicionamento de baterias e acumuladores para veículos automotores</v>
      </c>
      <c r="D713" s="14" t="str">
        <f>'04_MOTOR_CÁLCULO'!D449</f>
        <v>FABRICAÇÃO DE MÁ</v>
      </c>
      <c r="E713" s="78" t="str">
        <f>'04_MOTOR_CÁLCULO'!N449</f>
        <v>CNAE-STG</v>
      </c>
      <c r="F713" s="55">
        <f>'04_MOTOR_CÁLCULO'!K449</f>
        <v>1</v>
      </c>
      <c r="G713" s="56">
        <f>'04_MOTOR_CÁLCULO'!K449-1</f>
        <v>0</v>
      </c>
      <c r="H713" s="57" t="str">
        <f>'04_MOTOR_CÁLCULO'!M449</f>
        <v>Médio</v>
      </c>
    </row>
    <row r="714" spans="1:8" ht="13.5" customHeight="1" x14ac:dyDescent="0.25">
      <c r="A714" s="24" t="str">
        <f>'04_MOTOR_CÁLCULO'!A450</f>
        <v>2731-7/00</v>
      </c>
      <c r="B714" s="38" t="str">
        <f>'04_MOTOR_CÁLCULO'!B450</f>
        <v>C</v>
      </c>
      <c r="C714" s="100" t="str">
        <f>'04_MOTOR_CÁLCULO'!C450</f>
        <v>Fabricação de aparelhos e equipamentos para distribuição e controle de energia elétrica</v>
      </c>
      <c r="D714" s="25" t="str">
        <f>'04_MOTOR_CÁLCULO'!D450</f>
        <v>FABRICAÇÃO DE MÁ</v>
      </c>
      <c r="E714" s="78" t="str">
        <f>'04_MOTOR_CÁLCULO'!N450</f>
        <v>CNAE-STG</v>
      </c>
      <c r="F714" s="55">
        <f>'04_MOTOR_CÁLCULO'!K450</f>
        <v>1</v>
      </c>
      <c r="G714" s="56">
        <f>'04_MOTOR_CÁLCULO'!K450-1</f>
        <v>0</v>
      </c>
      <c r="H714" s="57" t="str">
        <f>'04_MOTOR_CÁLCULO'!M450</f>
        <v>Médio</v>
      </c>
    </row>
    <row r="715" spans="1:8" ht="13.5" customHeight="1" x14ac:dyDescent="0.25">
      <c r="A715" s="13" t="str">
        <f>'04_MOTOR_CÁLCULO'!A451</f>
        <v>2732-5/00</v>
      </c>
      <c r="B715" s="49" t="str">
        <f>'04_MOTOR_CÁLCULO'!B451</f>
        <v>C</v>
      </c>
      <c r="C715" s="101" t="str">
        <f>'04_MOTOR_CÁLCULO'!C451</f>
        <v>Fabricação de material elétrico para instalações em circuito de consumo</v>
      </c>
      <c r="D715" s="14" t="str">
        <f>'04_MOTOR_CÁLCULO'!D451</f>
        <v>FABRICAÇÃO DE MÁ</v>
      </c>
      <c r="E715" s="78" t="str">
        <f>'04_MOTOR_CÁLCULO'!N451</f>
        <v>CNAE-STG</v>
      </c>
      <c r="F715" s="55">
        <f>'04_MOTOR_CÁLCULO'!K451</f>
        <v>1</v>
      </c>
      <c r="G715" s="56">
        <f>'04_MOTOR_CÁLCULO'!K451-1</f>
        <v>0</v>
      </c>
      <c r="H715" s="57" t="str">
        <f>'04_MOTOR_CÁLCULO'!M451</f>
        <v>Médio</v>
      </c>
    </row>
    <row r="716" spans="1:8" ht="13.5" customHeight="1" x14ac:dyDescent="0.25">
      <c r="A716" s="24" t="str">
        <f>'04_MOTOR_CÁLCULO'!A452</f>
        <v>2733-3/00</v>
      </c>
      <c r="B716" s="38" t="str">
        <f>'04_MOTOR_CÁLCULO'!B452</f>
        <v>C</v>
      </c>
      <c r="C716" s="100" t="str">
        <f>'04_MOTOR_CÁLCULO'!C452</f>
        <v>Fabricação de fios, cabos e condutores elétricos isolados</v>
      </c>
      <c r="D716" s="25" t="str">
        <f>'04_MOTOR_CÁLCULO'!D452</f>
        <v>FABRICAÇÃO DE MÁ</v>
      </c>
      <c r="E716" s="78" t="str">
        <f>'04_MOTOR_CÁLCULO'!N452</f>
        <v>CNAE-STG</v>
      </c>
      <c r="F716" s="55">
        <f>'04_MOTOR_CÁLCULO'!K452</f>
        <v>1</v>
      </c>
      <c r="G716" s="56">
        <f>'04_MOTOR_CÁLCULO'!K452-1</f>
        <v>0</v>
      </c>
      <c r="H716" s="57" t="str">
        <f>'04_MOTOR_CÁLCULO'!M452</f>
        <v>Médio</v>
      </c>
    </row>
    <row r="717" spans="1:8" ht="13.5" customHeight="1" x14ac:dyDescent="0.25">
      <c r="A717" s="13" t="str">
        <f>'04_MOTOR_CÁLCULO'!A453</f>
        <v>2740-6/01</v>
      </c>
      <c r="B717" s="49" t="str">
        <f>'04_MOTOR_CÁLCULO'!B453</f>
        <v>C</v>
      </c>
      <c r="C717" s="101" t="str">
        <f>'04_MOTOR_CÁLCULO'!C453</f>
        <v>Fabricação de lâmpadas</v>
      </c>
      <c r="D717" s="14" t="str">
        <f>'04_MOTOR_CÁLCULO'!D453</f>
        <v>FABRICAÇÃO DE MÁ</v>
      </c>
      <c r="E717" s="78" t="str">
        <f>'04_MOTOR_CÁLCULO'!N453</f>
        <v>CNAE-STG</v>
      </c>
      <c r="F717" s="55">
        <f>'04_MOTOR_CÁLCULO'!K453</f>
        <v>1</v>
      </c>
      <c r="G717" s="56">
        <f>'04_MOTOR_CÁLCULO'!K453-1</f>
        <v>0</v>
      </c>
      <c r="H717" s="57" t="str">
        <f>'04_MOTOR_CÁLCULO'!M453</f>
        <v>Médio</v>
      </c>
    </row>
    <row r="718" spans="1:8" ht="13.5" customHeight="1" x14ac:dyDescent="0.25">
      <c r="A718" s="24" t="str">
        <f>'04_MOTOR_CÁLCULO'!A454</f>
        <v>2740-6/02</v>
      </c>
      <c r="B718" s="38" t="str">
        <f>'04_MOTOR_CÁLCULO'!B454</f>
        <v>C</v>
      </c>
      <c r="C718" s="100" t="str">
        <f>'04_MOTOR_CÁLCULO'!C454</f>
        <v>Fabricação de luminárias e outros equipamentos de iluminação</v>
      </c>
      <c r="D718" s="25" t="str">
        <f>'04_MOTOR_CÁLCULO'!D454</f>
        <v>FABRICAÇÃO DE MÁ</v>
      </c>
      <c r="E718" s="78" t="str">
        <f>'04_MOTOR_CÁLCULO'!N454</f>
        <v>CNAE-STG</v>
      </c>
      <c r="F718" s="55">
        <f>'04_MOTOR_CÁLCULO'!K454</f>
        <v>1</v>
      </c>
      <c r="G718" s="56">
        <f>'04_MOTOR_CÁLCULO'!K454-1</f>
        <v>0</v>
      </c>
      <c r="H718" s="57" t="str">
        <f>'04_MOTOR_CÁLCULO'!M454</f>
        <v>Médio</v>
      </c>
    </row>
    <row r="719" spans="1:8" ht="13.5" customHeight="1" x14ac:dyDescent="0.25">
      <c r="A719" s="13" t="str">
        <f>'04_MOTOR_CÁLCULO'!A455</f>
        <v>2751-1/00</v>
      </c>
      <c r="B719" s="49" t="str">
        <f>'04_MOTOR_CÁLCULO'!B455</f>
        <v>C</v>
      </c>
      <c r="C719" s="101" t="str">
        <f>'04_MOTOR_CÁLCULO'!C455</f>
        <v>Fabricação de fogões, refrigeradores e máquinas de lavar e secar para uso doméstico, peças e acessórios</v>
      </c>
      <c r="D719" s="14" t="str">
        <f>'04_MOTOR_CÁLCULO'!D455</f>
        <v>FABRICAÇÃO DE MÁ</v>
      </c>
      <c r="E719" s="78" t="str">
        <f>'04_MOTOR_CÁLCULO'!N455</f>
        <v>CNAE-STG</v>
      </c>
      <c r="F719" s="55">
        <f>'04_MOTOR_CÁLCULO'!K455</f>
        <v>1</v>
      </c>
      <c r="G719" s="56">
        <f>'04_MOTOR_CÁLCULO'!K455-1</f>
        <v>0</v>
      </c>
      <c r="H719" s="57" t="str">
        <f>'04_MOTOR_CÁLCULO'!M455</f>
        <v>Médio</v>
      </c>
    </row>
    <row r="720" spans="1:8" ht="13.5" customHeight="1" x14ac:dyDescent="0.25">
      <c r="A720" s="24" t="str">
        <f>'04_MOTOR_CÁLCULO'!A456</f>
        <v>2759-7/01</v>
      </c>
      <c r="B720" s="38" t="str">
        <f>'04_MOTOR_CÁLCULO'!B456</f>
        <v>C</v>
      </c>
      <c r="C720" s="100" t="str">
        <f>'04_MOTOR_CÁLCULO'!C456</f>
        <v>Fabricação de aparelhos elétricos de uso pessoal, peças e acessórios</v>
      </c>
      <c r="D720" s="25" t="str">
        <f>'04_MOTOR_CÁLCULO'!D456</f>
        <v>FABRICAÇÃO DE MÁ</v>
      </c>
      <c r="E720" s="78" t="str">
        <f>'04_MOTOR_CÁLCULO'!N456</f>
        <v>CNAE-STG</v>
      </c>
      <c r="F720" s="55">
        <f>'04_MOTOR_CÁLCULO'!K456</f>
        <v>1</v>
      </c>
      <c r="G720" s="56">
        <f>'04_MOTOR_CÁLCULO'!K456-1</f>
        <v>0</v>
      </c>
      <c r="H720" s="57" t="str">
        <f>'04_MOTOR_CÁLCULO'!M456</f>
        <v>Médio</v>
      </c>
    </row>
    <row r="721" spans="1:8" ht="13.5" customHeight="1" x14ac:dyDescent="0.25">
      <c r="A721" s="13" t="str">
        <f>'04_MOTOR_CÁLCULO'!A457</f>
        <v>2759-7/99</v>
      </c>
      <c r="B721" s="49" t="str">
        <f>'04_MOTOR_CÁLCULO'!B457</f>
        <v>C</v>
      </c>
      <c r="C721" s="101" t="str">
        <f>'04_MOTOR_CÁLCULO'!C457</f>
        <v>Fabricação de outros aparelhos eletrodomésticos não especificados anteriormente, peças e acessórios</v>
      </c>
      <c r="D721" s="14" t="str">
        <f>'04_MOTOR_CÁLCULO'!D457</f>
        <v>FABRICAÇÃO DE MÁ</v>
      </c>
      <c r="E721" s="78" t="str">
        <f>'04_MOTOR_CÁLCULO'!N457</f>
        <v>CNAE-STG</v>
      </c>
      <c r="F721" s="55">
        <f>'04_MOTOR_CÁLCULO'!K457</f>
        <v>1</v>
      </c>
      <c r="G721" s="56">
        <f>'04_MOTOR_CÁLCULO'!K457-1</f>
        <v>0</v>
      </c>
      <c r="H721" s="57" t="str">
        <f>'04_MOTOR_CÁLCULO'!M457</f>
        <v>Médio</v>
      </c>
    </row>
    <row r="722" spans="1:8" ht="13.5" customHeight="1" x14ac:dyDescent="0.25">
      <c r="A722" s="24" t="str">
        <f>'04_MOTOR_CÁLCULO'!A458</f>
        <v>2790-2/01</v>
      </c>
      <c r="B722" s="38" t="str">
        <f>'04_MOTOR_CÁLCULO'!B458</f>
        <v>C</v>
      </c>
      <c r="C722" s="100" t="str">
        <f>'04_MOTOR_CÁLCULO'!C458</f>
        <v>Fabricação de eletrodos, contatos e outros artigos de carvão e grafita para uso elétrico, eletroímãs e isoladores</v>
      </c>
      <c r="D722" s="25" t="str">
        <f>'04_MOTOR_CÁLCULO'!D458</f>
        <v>FABRICAÇÃO DE MÁ</v>
      </c>
      <c r="E722" s="78" t="str">
        <f>'04_MOTOR_CÁLCULO'!N458</f>
        <v>CNAE-STG</v>
      </c>
      <c r="F722" s="55">
        <f>'04_MOTOR_CÁLCULO'!K458</f>
        <v>1</v>
      </c>
      <c r="G722" s="56">
        <f>'04_MOTOR_CÁLCULO'!K458-1</f>
        <v>0</v>
      </c>
      <c r="H722" s="57" t="str">
        <f>'04_MOTOR_CÁLCULO'!M458</f>
        <v>Médio</v>
      </c>
    </row>
    <row r="723" spans="1:8" ht="13.5" customHeight="1" x14ac:dyDescent="0.25">
      <c r="A723" s="13" t="str">
        <f>'04_MOTOR_CÁLCULO'!A459</f>
        <v>2790-2/02</v>
      </c>
      <c r="B723" s="49" t="str">
        <f>'04_MOTOR_CÁLCULO'!B459</f>
        <v>C</v>
      </c>
      <c r="C723" s="101" t="str">
        <f>'04_MOTOR_CÁLCULO'!C459</f>
        <v>Fabricação de equipamentos para sinalização e alarme</v>
      </c>
      <c r="D723" s="14" t="str">
        <f>'04_MOTOR_CÁLCULO'!D459</f>
        <v>FABRICAÇÃO DE MÁ</v>
      </c>
      <c r="E723" s="78" t="str">
        <f>'04_MOTOR_CÁLCULO'!N459</f>
        <v>CNAE-STG</v>
      </c>
      <c r="F723" s="55">
        <f>'04_MOTOR_CÁLCULO'!K459</f>
        <v>1</v>
      </c>
      <c r="G723" s="56">
        <f>'04_MOTOR_CÁLCULO'!K459-1</f>
        <v>0</v>
      </c>
      <c r="H723" s="57" t="str">
        <f>'04_MOTOR_CÁLCULO'!M459</f>
        <v>Médio</v>
      </c>
    </row>
    <row r="724" spans="1:8" ht="13.5" customHeight="1" x14ac:dyDescent="0.25">
      <c r="A724" s="24" t="str">
        <f>'04_MOTOR_CÁLCULO'!A460</f>
        <v>2790-2/99</v>
      </c>
      <c r="B724" s="38" t="str">
        <f>'04_MOTOR_CÁLCULO'!B460</f>
        <v>C</v>
      </c>
      <c r="C724" s="100" t="str">
        <f>'04_MOTOR_CÁLCULO'!C460</f>
        <v>Fabricação de outros equipamentos e aparelhos elétricos não especificados anteriormente</v>
      </c>
      <c r="D724" s="25" t="str">
        <f>'04_MOTOR_CÁLCULO'!D460</f>
        <v>FABRICAÇÃO DE MÁ</v>
      </c>
      <c r="E724" s="78" t="str">
        <f>'04_MOTOR_CÁLCULO'!N460</f>
        <v>CNAE-STG</v>
      </c>
      <c r="F724" s="55">
        <f>'04_MOTOR_CÁLCULO'!K460</f>
        <v>1</v>
      </c>
      <c r="G724" s="56">
        <f>'04_MOTOR_CÁLCULO'!K460-1</f>
        <v>0</v>
      </c>
      <c r="H724" s="57" t="str">
        <f>'04_MOTOR_CÁLCULO'!M460</f>
        <v>Médio</v>
      </c>
    </row>
    <row r="725" spans="1:8" ht="13.5" customHeight="1" x14ac:dyDescent="0.25">
      <c r="A725" s="13" t="str">
        <f>'04_MOTOR_CÁLCULO'!A461</f>
        <v>2811-9/00</v>
      </c>
      <c r="B725" s="49" t="str">
        <f>'04_MOTOR_CÁLCULO'!B461</f>
        <v>C</v>
      </c>
      <c r="C725" s="101" t="str">
        <f>'04_MOTOR_CÁLCULO'!C461</f>
        <v>Fabricação de motores e turbinas, peças e acessórios, exceto para aviões e veículos rodoviários</v>
      </c>
      <c r="D725" s="14" t="str">
        <f>'04_MOTOR_CÁLCULO'!D461</f>
        <v>FABRICAÇÃO DE MÁ</v>
      </c>
      <c r="E725" s="78" t="str">
        <f>'04_MOTOR_CÁLCULO'!N461</f>
        <v>CNAE-STG</v>
      </c>
      <c r="F725" s="55">
        <f>'04_MOTOR_CÁLCULO'!K461</f>
        <v>1</v>
      </c>
      <c r="G725" s="56">
        <f>'04_MOTOR_CÁLCULO'!K461-1</f>
        <v>0</v>
      </c>
      <c r="H725" s="57" t="str">
        <f>'04_MOTOR_CÁLCULO'!M461</f>
        <v>Médio</v>
      </c>
    </row>
    <row r="726" spans="1:8" ht="13.5" customHeight="1" x14ac:dyDescent="0.25">
      <c r="A726" s="24" t="str">
        <f>'04_MOTOR_CÁLCULO'!A462</f>
        <v>2812-7/00</v>
      </c>
      <c r="B726" s="38" t="str">
        <f>'04_MOTOR_CÁLCULO'!B462</f>
        <v>C</v>
      </c>
      <c r="C726" s="100" t="str">
        <f>'04_MOTOR_CÁLCULO'!C462</f>
        <v>Fabricação de equipamentos hidráulicos e pneumáticos, peças e acessórios, exceto válvulas</v>
      </c>
      <c r="D726" s="25" t="str">
        <f>'04_MOTOR_CÁLCULO'!D462</f>
        <v>FABRICAÇÃO DE MÁ</v>
      </c>
      <c r="E726" s="78" t="str">
        <f>'04_MOTOR_CÁLCULO'!N462</f>
        <v>CNAE-STG</v>
      </c>
      <c r="F726" s="55">
        <f>'04_MOTOR_CÁLCULO'!K462</f>
        <v>1</v>
      </c>
      <c r="G726" s="56">
        <f>'04_MOTOR_CÁLCULO'!K462-1</f>
        <v>0</v>
      </c>
      <c r="H726" s="57" t="str">
        <f>'04_MOTOR_CÁLCULO'!M462</f>
        <v>Médio</v>
      </c>
    </row>
    <row r="727" spans="1:8" ht="13.5" customHeight="1" x14ac:dyDescent="0.25">
      <c r="A727" s="13" t="str">
        <f>'04_MOTOR_CÁLCULO'!A463</f>
        <v>2813-5/00</v>
      </c>
      <c r="B727" s="49" t="str">
        <f>'04_MOTOR_CÁLCULO'!B463</f>
        <v>C</v>
      </c>
      <c r="C727" s="101" t="str">
        <f>'04_MOTOR_CÁLCULO'!C463</f>
        <v>Fabricação de válvulas, registros e dispositivos semelhantes, peças e acessórios</v>
      </c>
      <c r="D727" s="14" t="str">
        <f>'04_MOTOR_CÁLCULO'!D463</f>
        <v>FABRICAÇÃO DE MÁ</v>
      </c>
      <c r="E727" s="78" t="str">
        <f>'04_MOTOR_CÁLCULO'!N463</f>
        <v>CNAE-STG</v>
      </c>
      <c r="F727" s="55">
        <f>'04_MOTOR_CÁLCULO'!K463</f>
        <v>1</v>
      </c>
      <c r="G727" s="56">
        <f>'04_MOTOR_CÁLCULO'!K463-1</f>
        <v>0</v>
      </c>
      <c r="H727" s="57" t="str">
        <f>'04_MOTOR_CÁLCULO'!M463</f>
        <v>Médio</v>
      </c>
    </row>
    <row r="728" spans="1:8" ht="13.5" customHeight="1" x14ac:dyDescent="0.25">
      <c r="A728" s="24" t="str">
        <f>'04_MOTOR_CÁLCULO'!A464</f>
        <v>2814-3/01</v>
      </c>
      <c r="B728" s="38" t="str">
        <f>'04_MOTOR_CÁLCULO'!B464</f>
        <v>C</v>
      </c>
      <c r="C728" s="100" t="str">
        <f>'04_MOTOR_CÁLCULO'!C464</f>
        <v>Fabricação de compressores para uso industrial, peças e acessórios</v>
      </c>
      <c r="D728" s="25" t="str">
        <f>'04_MOTOR_CÁLCULO'!D464</f>
        <v>FABRICAÇÃO DE MÁ</v>
      </c>
      <c r="E728" s="78" t="str">
        <f>'04_MOTOR_CÁLCULO'!N464</f>
        <v>CNAE-STG</v>
      </c>
      <c r="F728" s="55">
        <f>'04_MOTOR_CÁLCULO'!K464</f>
        <v>1</v>
      </c>
      <c r="G728" s="56">
        <f>'04_MOTOR_CÁLCULO'!K464-1</f>
        <v>0</v>
      </c>
      <c r="H728" s="57" t="str">
        <f>'04_MOTOR_CÁLCULO'!M464</f>
        <v>Médio</v>
      </c>
    </row>
    <row r="729" spans="1:8" ht="13.5" customHeight="1" x14ac:dyDescent="0.25">
      <c r="A729" s="13" t="str">
        <f>'04_MOTOR_CÁLCULO'!A465</f>
        <v>2814-3/02</v>
      </c>
      <c r="B729" s="49" t="str">
        <f>'04_MOTOR_CÁLCULO'!B465</f>
        <v>C</v>
      </c>
      <c r="C729" s="101" t="str">
        <f>'04_MOTOR_CÁLCULO'!C465</f>
        <v>Fabricação de compressores para uso não industrial, peças e acessórios</v>
      </c>
      <c r="D729" s="14" t="str">
        <f>'04_MOTOR_CÁLCULO'!D465</f>
        <v>FABRICAÇÃO DE MÁ</v>
      </c>
      <c r="E729" s="78" t="str">
        <f>'04_MOTOR_CÁLCULO'!N465</f>
        <v>CNAE-STG</v>
      </c>
      <c r="F729" s="55">
        <f>'04_MOTOR_CÁLCULO'!K465</f>
        <v>1</v>
      </c>
      <c r="G729" s="56">
        <f>'04_MOTOR_CÁLCULO'!K465-1</f>
        <v>0</v>
      </c>
      <c r="H729" s="57" t="str">
        <f>'04_MOTOR_CÁLCULO'!M465</f>
        <v>Médio</v>
      </c>
    </row>
    <row r="730" spans="1:8" ht="13.5" customHeight="1" x14ac:dyDescent="0.25">
      <c r="A730" s="24" t="str">
        <f>'04_MOTOR_CÁLCULO'!A466</f>
        <v>2815-1/01</v>
      </c>
      <c r="B730" s="38" t="str">
        <f>'04_MOTOR_CÁLCULO'!B466</f>
        <v>C</v>
      </c>
      <c r="C730" s="100" t="str">
        <f>'04_MOTOR_CÁLCULO'!C466</f>
        <v>Fabricação de rolamentos para fins industriais</v>
      </c>
      <c r="D730" s="25" t="str">
        <f>'04_MOTOR_CÁLCULO'!D466</f>
        <v>FABRICAÇÃO DE MÁ</v>
      </c>
      <c r="E730" s="78" t="str">
        <f>'04_MOTOR_CÁLCULO'!N466</f>
        <v>CNAE-STG</v>
      </c>
      <c r="F730" s="55">
        <f>'04_MOTOR_CÁLCULO'!K466</f>
        <v>1</v>
      </c>
      <c r="G730" s="56">
        <f>'04_MOTOR_CÁLCULO'!K466-1</f>
        <v>0</v>
      </c>
      <c r="H730" s="57" t="str">
        <f>'04_MOTOR_CÁLCULO'!M466</f>
        <v>Médio</v>
      </c>
    </row>
    <row r="731" spans="1:8" ht="13.5" customHeight="1" x14ac:dyDescent="0.25">
      <c r="A731" s="13" t="str">
        <f>'04_MOTOR_CÁLCULO'!A467</f>
        <v>2815-1/02</v>
      </c>
      <c r="B731" s="49" t="str">
        <f>'04_MOTOR_CÁLCULO'!B467</f>
        <v>C</v>
      </c>
      <c r="C731" s="101" t="str">
        <f>'04_MOTOR_CÁLCULO'!C467</f>
        <v>Fabricação de equipamentos de transmissão para fins industriais, exceto rolamentos</v>
      </c>
      <c r="D731" s="14" t="str">
        <f>'04_MOTOR_CÁLCULO'!D467</f>
        <v>FABRICAÇÃO DE MÁ</v>
      </c>
      <c r="E731" s="78" t="str">
        <f>'04_MOTOR_CÁLCULO'!N467</f>
        <v>CNAE-STG</v>
      </c>
      <c r="F731" s="55">
        <f>'04_MOTOR_CÁLCULO'!K467</f>
        <v>1</v>
      </c>
      <c r="G731" s="56">
        <f>'04_MOTOR_CÁLCULO'!K467-1</f>
        <v>0</v>
      </c>
      <c r="H731" s="57" t="str">
        <f>'04_MOTOR_CÁLCULO'!M467</f>
        <v>Médio</v>
      </c>
    </row>
    <row r="732" spans="1:8" ht="13.5" customHeight="1" x14ac:dyDescent="0.25">
      <c r="A732" s="24" t="str">
        <f>'04_MOTOR_CÁLCULO'!A468</f>
        <v>2821-6/01</v>
      </c>
      <c r="B732" s="38" t="str">
        <f>'04_MOTOR_CÁLCULO'!B468</f>
        <v>C</v>
      </c>
      <c r="C732" s="100" t="str">
        <f>'04_MOTOR_CÁLCULO'!C468</f>
        <v>Fabricação de fornos industriais, aparelhos e equipamentos não elétricos para instalações térmicas, peças e acessórios</v>
      </c>
      <c r="D732" s="25" t="str">
        <f>'04_MOTOR_CÁLCULO'!D468</f>
        <v>FABRICAÇÃO DE MÁ</v>
      </c>
      <c r="E732" s="78" t="str">
        <f>'04_MOTOR_CÁLCULO'!N468</f>
        <v>CNAE-STG</v>
      </c>
      <c r="F732" s="55">
        <f>'04_MOTOR_CÁLCULO'!K468</f>
        <v>1</v>
      </c>
      <c r="G732" s="56">
        <f>'04_MOTOR_CÁLCULO'!K468-1</f>
        <v>0</v>
      </c>
      <c r="H732" s="57" t="str">
        <f>'04_MOTOR_CÁLCULO'!M468</f>
        <v>Médio</v>
      </c>
    </row>
    <row r="733" spans="1:8" ht="13.5" customHeight="1" x14ac:dyDescent="0.25">
      <c r="A733" s="13" t="str">
        <f>'04_MOTOR_CÁLCULO'!A469</f>
        <v>2821-6/02</v>
      </c>
      <c r="B733" s="49" t="str">
        <f>'04_MOTOR_CÁLCULO'!B469</f>
        <v>C</v>
      </c>
      <c r="C733" s="101" t="str">
        <f>'04_MOTOR_CÁLCULO'!C469</f>
        <v>Fabricação de estufas e fornos elétricos para fins industriais, peças e acessórios</v>
      </c>
      <c r="D733" s="14" t="str">
        <f>'04_MOTOR_CÁLCULO'!D469</f>
        <v>FABRICAÇÃO DE MÁ</v>
      </c>
      <c r="E733" s="78" t="str">
        <f>'04_MOTOR_CÁLCULO'!N469</f>
        <v>CNAE-STG</v>
      </c>
      <c r="F733" s="55">
        <f>'04_MOTOR_CÁLCULO'!K469</f>
        <v>1</v>
      </c>
      <c r="G733" s="56">
        <f>'04_MOTOR_CÁLCULO'!K469-1</f>
        <v>0</v>
      </c>
      <c r="H733" s="57" t="str">
        <f>'04_MOTOR_CÁLCULO'!M469</f>
        <v>Médio</v>
      </c>
    </row>
    <row r="734" spans="1:8" ht="13.5" customHeight="1" x14ac:dyDescent="0.25">
      <c r="A734" s="24" t="str">
        <f>'04_MOTOR_CÁLCULO'!A470</f>
        <v>2822-4/01</v>
      </c>
      <c r="B734" s="38" t="str">
        <f>'04_MOTOR_CÁLCULO'!B470</f>
        <v>C</v>
      </c>
      <c r="C734" s="100" t="str">
        <f>'04_MOTOR_CÁLCULO'!C470</f>
        <v>Fabricação de máquinas, equipamentos e aparelhos para transporte e elevação de pessoas, peças e acessórios</v>
      </c>
      <c r="D734" s="25" t="str">
        <f>'04_MOTOR_CÁLCULO'!D470</f>
        <v>FABRICAÇÃO DE MÁ</v>
      </c>
      <c r="E734" s="78" t="str">
        <f>'04_MOTOR_CÁLCULO'!N470</f>
        <v>CNAE-STG</v>
      </c>
      <c r="F734" s="55">
        <f>'04_MOTOR_CÁLCULO'!K470</f>
        <v>1</v>
      </c>
      <c r="G734" s="56">
        <f>'04_MOTOR_CÁLCULO'!K470-1</f>
        <v>0</v>
      </c>
      <c r="H734" s="57" t="str">
        <f>'04_MOTOR_CÁLCULO'!M470</f>
        <v>Médio</v>
      </c>
    </row>
    <row r="735" spans="1:8" ht="13.5" customHeight="1" x14ac:dyDescent="0.25">
      <c r="A735" s="13" t="str">
        <f>'04_MOTOR_CÁLCULO'!A471</f>
        <v>2822-4/02</v>
      </c>
      <c r="B735" s="49" t="str">
        <f>'04_MOTOR_CÁLCULO'!B471</f>
        <v>C</v>
      </c>
      <c r="C735" s="101" t="str">
        <f>'04_MOTOR_CÁLCULO'!C471</f>
        <v>Fabricação de máquinas, equipamentos e aparelhos para transporte e elevação de cargas, peças e acessórios</v>
      </c>
      <c r="D735" s="14" t="str">
        <f>'04_MOTOR_CÁLCULO'!D471</f>
        <v>FABRICAÇÃO DE MÁ</v>
      </c>
      <c r="E735" s="78" t="str">
        <f>'04_MOTOR_CÁLCULO'!N471</f>
        <v>CNAE-STG</v>
      </c>
      <c r="F735" s="55">
        <f>'04_MOTOR_CÁLCULO'!K471</f>
        <v>1</v>
      </c>
      <c r="G735" s="56">
        <f>'04_MOTOR_CÁLCULO'!K471-1</f>
        <v>0</v>
      </c>
      <c r="H735" s="57" t="str">
        <f>'04_MOTOR_CÁLCULO'!M471</f>
        <v>Médio</v>
      </c>
    </row>
    <row r="736" spans="1:8" ht="13.5" customHeight="1" x14ac:dyDescent="0.25">
      <c r="A736" s="24" t="str">
        <f>'04_MOTOR_CÁLCULO'!A472</f>
        <v>2823-2/00</v>
      </c>
      <c r="B736" s="38" t="str">
        <f>'04_MOTOR_CÁLCULO'!B472</f>
        <v>C</v>
      </c>
      <c r="C736" s="100" t="str">
        <f>'04_MOTOR_CÁLCULO'!C472</f>
        <v>Fabricação de máquinas e aparelhos de refrigeração e ventilação para uso industrial e comercial, peças e acessórios</v>
      </c>
      <c r="D736" s="25" t="str">
        <f>'04_MOTOR_CÁLCULO'!D472</f>
        <v>FABRICAÇÃO DE MÁ</v>
      </c>
      <c r="E736" s="78" t="str">
        <f>'04_MOTOR_CÁLCULO'!N472</f>
        <v>CNAE-STG</v>
      </c>
      <c r="F736" s="55">
        <f>'04_MOTOR_CÁLCULO'!K472</f>
        <v>1</v>
      </c>
      <c r="G736" s="56">
        <f>'04_MOTOR_CÁLCULO'!K472-1</f>
        <v>0</v>
      </c>
      <c r="H736" s="57" t="str">
        <f>'04_MOTOR_CÁLCULO'!M472</f>
        <v>Médio</v>
      </c>
    </row>
    <row r="737" spans="1:8" ht="13.5" customHeight="1" x14ac:dyDescent="0.25">
      <c r="A737" s="13" t="str">
        <f>'04_MOTOR_CÁLCULO'!A473</f>
        <v>2824-1/01</v>
      </c>
      <c r="B737" s="49" t="str">
        <f>'04_MOTOR_CÁLCULO'!B473</f>
        <v>C</v>
      </c>
      <c r="C737" s="101" t="str">
        <f>'04_MOTOR_CÁLCULO'!C473</f>
        <v>Fabricação de aparelhos e equipamentos de ar condicionado para uso industrial</v>
      </c>
      <c r="D737" s="14" t="str">
        <f>'04_MOTOR_CÁLCULO'!D473</f>
        <v>FABRICAÇÃO DE MÁ</v>
      </c>
      <c r="E737" s="78" t="str">
        <f>'04_MOTOR_CÁLCULO'!N473</f>
        <v>CNAE-STG</v>
      </c>
      <c r="F737" s="55">
        <f>'04_MOTOR_CÁLCULO'!K473</f>
        <v>1</v>
      </c>
      <c r="G737" s="56">
        <f>'04_MOTOR_CÁLCULO'!K473-1</f>
        <v>0</v>
      </c>
      <c r="H737" s="57" t="str">
        <f>'04_MOTOR_CÁLCULO'!M473</f>
        <v>Médio</v>
      </c>
    </row>
    <row r="738" spans="1:8" ht="13.5" customHeight="1" x14ac:dyDescent="0.25">
      <c r="A738" s="24" t="str">
        <f>'04_MOTOR_CÁLCULO'!A474</f>
        <v>2824-1/02</v>
      </c>
      <c r="B738" s="38" t="str">
        <f>'04_MOTOR_CÁLCULO'!B474</f>
        <v>C</v>
      </c>
      <c r="C738" s="100" t="str">
        <f>'04_MOTOR_CÁLCULO'!C474</f>
        <v>Fabricação de aparelhos e equipamentos de ar condicionado para uso não industrial</v>
      </c>
      <c r="D738" s="25" t="str">
        <f>'04_MOTOR_CÁLCULO'!D474</f>
        <v>FABRICAÇÃO DE MÁ</v>
      </c>
      <c r="E738" s="78" t="str">
        <f>'04_MOTOR_CÁLCULO'!N474</f>
        <v>CNAE-STG</v>
      </c>
      <c r="F738" s="55">
        <f>'04_MOTOR_CÁLCULO'!K474</f>
        <v>1</v>
      </c>
      <c r="G738" s="56">
        <f>'04_MOTOR_CÁLCULO'!K474-1</f>
        <v>0</v>
      </c>
      <c r="H738" s="57" t="str">
        <f>'04_MOTOR_CÁLCULO'!M474</f>
        <v>Médio</v>
      </c>
    </row>
    <row r="739" spans="1:8" ht="13.5" customHeight="1" x14ac:dyDescent="0.25">
      <c r="A739" s="13" t="str">
        <f>'04_MOTOR_CÁLCULO'!A475</f>
        <v>2825-9/00</v>
      </c>
      <c r="B739" s="49" t="str">
        <f>'04_MOTOR_CÁLCULO'!B475</f>
        <v>C</v>
      </c>
      <c r="C739" s="101" t="str">
        <f>'04_MOTOR_CÁLCULO'!C475</f>
        <v>Fabricação de máquinas e equipamentos para saneamento básico e ambiental, peças e acessórios</v>
      </c>
      <c r="D739" s="14" t="str">
        <f>'04_MOTOR_CÁLCULO'!D475</f>
        <v>FABRICAÇÃO DE MÁ</v>
      </c>
      <c r="E739" s="78" t="str">
        <f>'04_MOTOR_CÁLCULO'!N475</f>
        <v>CNAE-STG</v>
      </c>
      <c r="F739" s="55">
        <f>'04_MOTOR_CÁLCULO'!K475</f>
        <v>1</v>
      </c>
      <c r="G739" s="56">
        <f>'04_MOTOR_CÁLCULO'!K475-1</f>
        <v>0</v>
      </c>
      <c r="H739" s="57" t="str">
        <f>'04_MOTOR_CÁLCULO'!M475</f>
        <v>Médio</v>
      </c>
    </row>
    <row r="740" spans="1:8" ht="13.5" customHeight="1" x14ac:dyDescent="0.25">
      <c r="A740" s="24" t="str">
        <f>'04_MOTOR_CÁLCULO'!A476</f>
        <v>2829-1/01</v>
      </c>
      <c r="B740" s="38" t="str">
        <f>'04_MOTOR_CÁLCULO'!B476</f>
        <v>C</v>
      </c>
      <c r="C740" s="100" t="str">
        <f>'04_MOTOR_CÁLCULO'!C476</f>
        <v>Fabricação de máquinas de escrever, calcular e outros equipamentos não eletrônicos para escritório, peças e acessórios</v>
      </c>
      <c r="D740" s="25" t="str">
        <f>'04_MOTOR_CÁLCULO'!D476</f>
        <v>FABRICAÇÃO DE MÁ</v>
      </c>
      <c r="E740" s="78" t="str">
        <f>'04_MOTOR_CÁLCULO'!N476</f>
        <v>CNAE-STG</v>
      </c>
      <c r="F740" s="55">
        <f>'04_MOTOR_CÁLCULO'!K476</f>
        <v>1</v>
      </c>
      <c r="G740" s="56">
        <f>'04_MOTOR_CÁLCULO'!K476-1</f>
        <v>0</v>
      </c>
      <c r="H740" s="57" t="str">
        <f>'04_MOTOR_CÁLCULO'!M476</f>
        <v>Médio</v>
      </c>
    </row>
    <row r="741" spans="1:8" ht="13.5" customHeight="1" x14ac:dyDescent="0.25">
      <c r="A741" s="13" t="str">
        <f>'04_MOTOR_CÁLCULO'!A477</f>
        <v>2829-1/99</v>
      </c>
      <c r="B741" s="49" t="str">
        <f>'04_MOTOR_CÁLCULO'!B477</f>
        <v>C</v>
      </c>
      <c r="C741" s="101" t="str">
        <f>'04_MOTOR_CÁLCULO'!C477</f>
        <v>Fabricação de outras máquinas e equipamentos de uso geral não especificados anteriormente, peças e acessórios</v>
      </c>
      <c r="D741" s="14" t="str">
        <f>'04_MOTOR_CÁLCULO'!D477</f>
        <v>FABRICAÇÃO DE MÁ</v>
      </c>
      <c r="E741" s="78" t="str">
        <f>'04_MOTOR_CÁLCULO'!N477</f>
        <v>CNAE-STG</v>
      </c>
      <c r="F741" s="55">
        <f>'04_MOTOR_CÁLCULO'!K477</f>
        <v>1</v>
      </c>
      <c r="G741" s="56">
        <f>'04_MOTOR_CÁLCULO'!K477-1</f>
        <v>0</v>
      </c>
      <c r="H741" s="57" t="str">
        <f>'04_MOTOR_CÁLCULO'!M477</f>
        <v>Médio</v>
      </c>
    </row>
    <row r="742" spans="1:8" ht="13.5" customHeight="1" x14ac:dyDescent="0.25">
      <c r="A742" s="24" t="str">
        <f>'04_MOTOR_CÁLCULO'!A478</f>
        <v>2831-3/00</v>
      </c>
      <c r="B742" s="38" t="str">
        <f>'04_MOTOR_CÁLCULO'!B478</f>
        <v>C</v>
      </c>
      <c r="C742" s="100" t="str">
        <f>'04_MOTOR_CÁLCULO'!C478</f>
        <v>Fabricação de tratores agrícolas, peças e acessórios</v>
      </c>
      <c r="D742" s="25" t="str">
        <f>'04_MOTOR_CÁLCULO'!D478</f>
        <v>FABRICAÇÃO DE MÁ</v>
      </c>
      <c r="E742" s="78" t="str">
        <f>'04_MOTOR_CÁLCULO'!N478</f>
        <v>CNAE-STG</v>
      </c>
      <c r="F742" s="55">
        <f>'04_MOTOR_CÁLCULO'!K478</f>
        <v>1</v>
      </c>
      <c r="G742" s="56">
        <f>'04_MOTOR_CÁLCULO'!K478-1</f>
        <v>0</v>
      </c>
      <c r="H742" s="57" t="str">
        <f>'04_MOTOR_CÁLCULO'!M478</f>
        <v>Médio</v>
      </c>
    </row>
    <row r="743" spans="1:8" ht="13.5" customHeight="1" x14ac:dyDescent="0.25">
      <c r="A743" s="13" t="str">
        <f>'04_MOTOR_CÁLCULO'!A479</f>
        <v>2832-1/00</v>
      </c>
      <c r="B743" s="49" t="str">
        <f>'04_MOTOR_CÁLCULO'!B479</f>
        <v>C</v>
      </c>
      <c r="C743" s="101" t="str">
        <f>'04_MOTOR_CÁLCULO'!C479</f>
        <v>Fabricação de equipamentos para irrigação agrícola, peças e acessórios</v>
      </c>
      <c r="D743" s="14" t="str">
        <f>'04_MOTOR_CÁLCULO'!D479</f>
        <v>FABRICAÇÃO DE MÁ</v>
      </c>
      <c r="E743" s="78" t="str">
        <f>'04_MOTOR_CÁLCULO'!N479</f>
        <v>CNAE-STG</v>
      </c>
      <c r="F743" s="55">
        <f>'04_MOTOR_CÁLCULO'!K479</f>
        <v>1</v>
      </c>
      <c r="G743" s="56">
        <f>'04_MOTOR_CÁLCULO'!K479-1</f>
        <v>0</v>
      </c>
      <c r="H743" s="57" t="str">
        <f>'04_MOTOR_CÁLCULO'!M479</f>
        <v>Médio</v>
      </c>
    </row>
    <row r="744" spans="1:8" ht="13.5" customHeight="1" x14ac:dyDescent="0.25">
      <c r="A744" s="24" t="str">
        <f>'04_MOTOR_CÁLCULO'!A480</f>
        <v>2833-0/00</v>
      </c>
      <c r="B744" s="38" t="str">
        <f>'04_MOTOR_CÁLCULO'!B480</f>
        <v>C</v>
      </c>
      <c r="C744" s="100" t="str">
        <f>'04_MOTOR_CÁLCULO'!C480</f>
        <v>Fabricação de máquinas e equipamentos para a agricultura e pecuária, peças e acessórios, exceto para irrigação</v>
      </c>
      <c r="D744" s="25" t="str">
        <f>'04_MOTOR_CÁLCULO'!D480</f>
        <v>FABRICAÇÃO DE MÁ</v>
      </c>
      <c r="E744" s="78" t="str">
        <f>'04_MOTOR_CÁLCULO'!N480</f>
        <v>CNAE-STG</v>
      </c>
      <c r="F744" s="55">
        <f>'04_MOTOR_CÁLCULO'!K480</f>
        <v>1</v>
      </c>
      <c r="G744" s="56">
        <f>'04_MOTOR_CÁLCULO'!K480-1</f>
        <v>0</v>
      </c>
      <c r="H744" s="57" t="str">
        <f>'04_MOTOR_CÁLCULO'!M480</f>
        <v>Médio</v>
      </c>
    </row>
    <row r="745" spans="1:8" ht="13.5" customHeight="1" x14ac:dyDescent="0.25">
      <c r="A745" s="13" t="str">
        <f>'04_MOTOR_CÁLCULO'!A481</f>
        <v>2840-2/00</v>
      </c>
      <c r="B745" s="49" t="str">
        <f>'04_MOTOR_CÁLCULO'!B481</f>
        <v>C</v>
      </c>
      <c r="C745" s="101" t="str">
        <f>'04_MOTOR_CÁLCULO'!C481</f>
        <v>Fabricação de máquinas-ferramenta, peças e acessórios</v>
      </c>
      <c r="D745" s="14" t="str">
        <f>'04_MOTOR_CÁLCULO'!D481</f>
        <v>FABRICAÇÃO DE MÁ</v>
      </c>
      <c r="E745" s="78" t="str">
        <f>'04_MOTOR_CÁLCULO'!N481</f>
        <v>CNAE-STG</v>
      </c>
      <c r="F745" s="55">
        <f>'04_MOTOR_CÁLCULO'!K481</f>
        <v>1</v>
      </c>
      <c r="G745" s="56">
        <f>'04_MOTOR_CÁLCULO'!K481-1</f>
        <v>0</v>
      </c>
      <c r="H745" s="57" t="str">
        <f>'04_MOTOR_CÁLCULO'!M481</f>
        <v>Médio</v>
      </c>
    </row>
    <row r="746" spans="1:8" ht="13.5" customHeight="1" x14ac:dyDescent="0.25">
      <c r="A746" s="24" t="str">
        <f>'04_MOTOR_CÁLCULO'!A486</f>
        <v>2861-5/00</v>
      </c>
      <c r="B746" s="38" t="str">
        <f>'04_MOTOR_CÁLCULO'!B486</f>
        <v>C</v>
      </c>
      <c r="C746" s="100" t="str">
        <f>'04_MOTOR_CÁLCULO'!C486</f>
        <v>Fabricação de máquinas para a indústria metalúrgica, peças e acessórios, exceto máquinas-ferramenta</v>
      </c>
      <c r="D746" s="25" t="str">
        <f>'04_MOTOR_CÁLCULO'!D486</f>
        <v>FABRICAÇÃO DE MÁ</v>
      </c>
      <c r="E746" s="78" t="str">
        <f>'04_MOTOR_CÁLCULO'!N486</f>
        <v>CNAE-STG</v>
      </c>
      <c r="F746" s="55">
        <f>'04_MOTOR_CÁLCULO'!K486</f>
        <v>1</v>
      </c>
      <c r="G746" s="56">
        <f>'04_MOTOR_CÁLCULO'!K486-1</f>
        <v>0</v>
      </c>
      <c r="H746" s="57" t="str">
        <f>'04_MOTOR_CÁLCULO'!M486</f>
        <v>Médio</v>
      </c>
    </row>
    <row r="747" spans="1:8" ht="13.5" customHeight="1" x14ac:dyDescent="0.25">
      <c r="A747" s="13" t="str">
        <f>'04_MOTOR_CÁLCULO'!A487</f>
        <v>2862-3/00</v>
      </c>
      <c r="B747" s="49" t="str">
        <f>'04_MOTOR_CÁLCULO'!B487</f>
        <v>C</v>
      </c>
      <c r="C747" s="101" t="str">
        <f>'04_MOTOR_CÁLCULO'!C487</f>
        <v>Fabricação de máquinas e equipamentos para as indústrias de alimentos, bebidas e fumo, peças e acessórios</v>
      </c>
      <c r="D747" s="14" t="str">
        <f>'04_MOTOR_CÁLCULO'!D487</f>
        <v>FABRICAÇÃO DE MÁ</v>
      </c>
      <c r="E747" s="78" t="str">
        <f>'04_MOTOR_CÁLCULO'!N487</f>
        <v>CNAE-STG</v>
      </c>
      <c r="F747" s="55">
        <f>'04_MOTOR_CÁLCULO'!K487</f>
        <v>1</v>
      </c>
      <c r="G747" s="56">
        <f>'04_MOTOR_CÁLCULO'!K487-1</f>
        <v>0</v>
      </c>
      <c r="H747" s="57" t="str">
        <f>'04_MOTOR_CÁLCULO'!M487</f>
        <v>Médio</v>
      </c>
    </row>
    <row r="748" spans="1:8" ht="13.5" customHeight="1" x14ac:dyDescent="0.25">
      <c r="A748" s="24" t="str">
        <f>'04_MOTOR_CÁLCULO'!A488</f>
        <v>2863-1/00</v>
      </c>
      <c r="B748" s="38" t="str">
        <f>'04_MOTOR_CÁLCULO'!B488</f>
        <v>C</v>
      </c>
      <c r="C748" s="100" t="str">
        <f>'04_MOTOR_CÁLCULO'!C488</f>
        <v>Fabricação de máquinas e equipamentos para a indústria têxtil, peças e acessórios</v>
      </c>
      <c r="D748" s="25" t="str">
        <f>'04_MOTOR_CÁLCULO'!D488</f>
        <v>FABRICAÇÃO DE MÁ</v>
      </c>
      <c r="E748" s="78" t="str">
        <f>'04_MOTOR_CÁLCULO'!N488</f>
        <v>CNAE-STG</v>
      </c>
      <c r="F748" s="55">
        <f>'04_MOTOR_CÁLCULO'!K488</f>
        <v>1</v>
      </c>
      <c r="G748" s="56">
        <f>'04_MOTOR_CÁLCULO'!K488-1</f>
        <v>0</v>
      </c>
      <c r="H748" s="57" t="str">
        <f>'04_MOTOR_CÁLCULO'!M488</f>
        <v>Médio</v>
      </c>
    </row>
    <row r="749" spans="1:8" ht="13.5" customHeight="1" x14ac:dyDescent="0.25">
      <c r="A749" s="13" t="str">
        <f>'04_MOTOR_CÁLCULO'!A489</f>
        <v>2864-0/00</v>
      </c>
      <c r="B749" s="49" t="str">
        <f>'04_MOTOR_CÁLCULO'!B489</f>
        <v>C</v>
      </c>
      <c r="C749" s="101" t="str">
        <f>'04_MOTOR_CÁLCULO'!C489</f>
        <v>Fabricação de máquinas e equipamentos para as indústrias do vestuário, do couro e de calçados, peças e acessórios</v>
      </c>
      <c r="D749" s="14" t="str">
        <f>'04_MOTOR_CÁLCULO'!D489</f>
        <v>FABRICAÇÃO DE MÁ</v>
      </c>
      <c r="E749" s="78" t="str">
        <f>'04_MOTOR_CÁLCULO'!N489</f>
        <v>CNAE-STG</v>
      </c>
      <c r="F749" s="55">
        <f>'04_MOTOR_CÁLCULO'!K489</f>
        <v>1</v>
      </c>
      <c r="G749" s="56">
        <f>'04_MOTOR_CÁLCULO'!K489-1</f>
        <v>0</v>
      </c>
      <c r="H749" s="57" t="str">
        <f>'04_MOTOR_CÁLCULO'!M489</f>
        <v>Médio</v>
      </c>
    </row>
    <row r="750" spans="1:8" ht="13.5" customHeight="1" x14ac:dyDescent="0.25">
      <c r="A750" s="24" t="str">
        <f>'04_MOTOR_CÁLCULO'!A490</f>
        <v>2865-8/00</v>
      </c>
      <c r="B750" s="38" t="str">
        <f>'04_MOTOR_CÁLCULO'!B490</f>
        <v>C</v>
      </c>
      <c r="C750" s="100" t="str">
        <f>'04_MOTOR_CÁLCULO'!C490</f>
        <v>Fabricação de máquinas e equipamentos para as indústrias de celulose, papel e papelão e artefatos, peças e acessórios</v>
      </c>
      <c r="D750" s="25" t="str">
        <f>'04_MOTOR_CÁLCULO'!D490</f>
        <v>FABRICAÇÃO DE MÁ</v>
      </c>
      <c r="E750" s="78" t="str">
        <f>'04_MOTOR_CÁLCULO'!N490</f>
        <v>CNAE-STG</v>
      </c>
      <c r="F750" s="55">
        <f>'04_MOTOR_CÁLCULO'!K490</f>
        <v>1</v>
      </c>
      <c r="G750" s="56">
        <f>'04_MOTOR_CÁLCULO'!K490-1</f>
        <v>0</v>
      </c>
      <c r="H750" s="57" t="str">
        <f>'04_MOTOR_CÁLCULO'!M490</f>
        <v>Médio</v>
      </c>
    </row>
    <row r="751" spans="1:8" ht="13.5" customHeight="1" x14ac:dyDescent="0.25">
      <c r="A751" s="13" t="str">
        <f>'04_MOTOR_CÁLCULO'!A491</f>
        <v>2866-6/00</v>
      </c>
      <c r="B751" s="49" t="str">
        <f>'04_MOTOR_CÁLCULO'!B491</f>
        <v>C</v>
      </c>
      <c r="C751" s="101" t="str">
        <f>'04_MOTOR_CÁLCULO'!C491</f>
        <v>Fabricação de máquinas e equipamentos para a indústria do plástico, peças e acessórios</v>
      </c>
      <c r="D751" s="14" t="str">
        <f>'04_MOTOR_CÁLCULO'!D491</f>
        <v>FABRICAÇÃO DE MÁ</v>
      </c>
      <c r="E751" s="78" t="str">
        <f>'04_MOTOR_CÁLCULO'!N491</f>
        <v>CNAE-STG</v>
      </c>
      <c r="F751" s="55">
        <f>'04_MOTOR_CÁLCULO'!K491</f>
        <v>1</v>
      </c>
      <c r="G751" s="56">
        <f>'04_MOTOR_CÁLCULO'!K491-1</f>
        <v>0</v>
      </c>
      <c r="H751" s="57" t="str">
        <f>'04_MOTOR_CÁLCULO'!M491</f>
        <v>Médio</v>
      </c>
    </row>
    <row r="752" spans="1:8" ht="13.5" customHeight="1" x14ac:dyDescent="0.25">
      <c r="A752" s="24" t="str">
        <f>'04_MOTOR_CÁLCULO'!A492</f>
        <v>2869-1/00</v>
      </c>
      <c r="B752" s="38" t="str">
        <f>'04_MOTOR_CÁLCULO'!B492</f>
        <v>C</v>
      </c>
      <c r="C752" s="100" t="str">
        <f>'04_MOTOR_CÁLCULO'!C492</f>
        <v>Fabricação de máquinas e equipamentos para uso industrial específico não especificados anteriormente, peças e acessórios</v>
      </c>
      <c r="D752" s="25" t="str">
        <f>'04_MOTOR_CÁLCULO'!D492</f>
        <v>FABRICAÇÃO DE MÁ</v>
      </c>
      <c r="E752" s="78" t="str">
        <f>'04_MOTOR_CÁLCULO'!N492</f>
        <v>CNAE-STG</v>
      </c>
      <c r="F752" s="55">
        <f>'04_MOTOR_CÁLCULO'!K492</f>
        <v>1</v>
      </c>
      <c r="G752" s="56">
        <f>'04_MOTOR_CÁLCULO'!K492-1</f>
        <v>0</v>
      </c>
      <c r="H752" s="57" t="str">
        <f>'04_MOTOR_CÁLCULO'!M492</f>
        <v>Médio</v>
      </c>
    </row>
    <row r="753" spans="1:8" ht="13.5" customHeight="1" x14ac:dyDescent="0.25">
      <c r="A753" s="13" t="str">
        <f>'04_MOTOR_CÁLCULO'!A493</f>
        <v>2910-7/01</v>
      </c>
      <c r="B753" s="49" t="str">
        <f>'04_MOTOR_CÁLCULO'!B493</f>
        <v>C</v>
      </c>
      <c r="C753" s="101" t="str">
        <f>'04_MOTOR_CÁLCULO'!C493</f>
        <v>Fabricação de automóveis, camionetas e utilitários</v>
      </c>
      <c r="D753" s="14" t="str">
        <f>'04_MOTOR_CÁLCULO'!D493</f>
        <v>FABRICAÇÃO DE VE</v>
      </c>
      <c r="E753" s="78" t="str">
        <f>'04_MOTOR_CÁLCULO'!N493</f>
        <v>CNAE-STG</v>
      </c>
      <c r="F753" s="55">
        <f>'04_MOTOR_CÁLCULO'!K493</f>
        <v>1</v>
      </c>
      <c r="G753" s="56">
        <f>'04_MOTOR_CÁLCULO'!K493-1</f>
        <v>0</v>
      </c>
      <c r="H753" s="57" t="str">
        <f>'04_MOTOR_CÁLCULO'!M493</f>
        <v>Médio</v>
      </c>
    </row>
    <row r="754" spans="1:8" ht="13.5" customHeight="1" x14ac:dyDescent="0.25">
      <c r="A754" s="24" t="str">
        <f>'04_MOTOR_CÁLCULO'!A494</f>
        <v>2910-7/02</v>
      </c>
      <c r="B754" s="38" t="str">
        <f>'04_MOTOR_CÁLCULO'!B494</f>
        <v>C</v>
      </c>
      <c r="C754" s="100" t="str">
        <f>'04_MOTOR_CÁLCULO'!C494</f>
        <v>Fabricação de chassis com motor para automóveis, camionetas e utilitários</v>
      </c>
      <c r="D754" s="25" t="str">
        <f>'04_MOTOR_CÁLCULO'!D494</f>
        <v>FABRICAÇÃO DE VE</v>
      </c>
      <c r="E754" s="78" t="str">
        <f>'04_MOTOR_CÁLCULO'!N494</f>
        <v>CNAE-STG</v>
      </c>
      <c r="F754" s="55">
        <f>'04_MOTOR_CÁLCULO'!K494</f>
        <v>1</v>
      </c>
      <c r="G754" s="56">
        <f>'04_MOTOR_CÁLCULO'!K494-1</f>
        <v>0</v>
      </c>
      <c r="H754" s="57" t="str">
        <f>'04_MOTOR_CÁLCULO'!M494</f>
        <v>Médio</v>
      </c>
    </row>
    <row r="755" spans="1:8" ht="13.5" customHeight="1" x14ac:dyDescent="0.25">
      <c r="A755" s="13" t="str">
        <f>'04_MOTOR_CÁLCULO'!A495</f>
        <v>2910-7/03</v>
      </c>
      <c r="B755" s="49" t="str">
        <f>'04_MOTOR_CÁLCULO'!B495</f>
        <v>C</v>
      </c>
      <c r="C755" s="101" t="str">
        <f>'04_MOTOR_CÁLCULO'!C495</f>
        <v>Fabricação de motores para automóveis, camionetas e utilitários</v>
      </c>
      <c r="D755" s="14" t="str">
        <f>'04_MOTOR_CÁLCULO'!D495</f>
        <v>FABRICAÇÃO DE VE</v>
      </c>
      <c r="E755" s="78" t="str">
        <f>'04_MOTOR_CÁLCULO'!N495</f>
        <v>CNAE-STG</v>
      </c>
      <c r="F755" s="55">
        <f>'04_MOTOR_CÁLCULO'!K495</f>
        <v>1</v>
      </c>
      <c r="G755" s="56">
        <f>'04_MOTOR_CÁLCULO'!K495-1</f>
        <v>0</v>
      </c>
      <c r="H755" s="57" t="str">
        <f>'04_MOTOR_CÁLCULO'!M495</f>
        <v>Médio</v>
      </c>
    </row>
    <row r="756" spans="1:8" ht="13.5" customHeight="1" x14ac:dyDescent="0.25">
      <c r="A756" s="24" t="str">
        <f>'04_MOTOR_CÁLCULO'!A496</f>
        <v>2920-4/01</v>
      </c>
      <c r="B756" s="38" t="str">
        <f>'04_MOTOR_CÁLCULO'!B496</f>
        <v>C</v>
      </c>
      <c r="C756" s="100" t="str">
        <f>'04_MOTOR_CÁLCULO'!C496</f>
        <v>Fabricação de caminhões e ônibus</v>
      </c>
      <c r="D756" s="25" t="str">
        <f>'04_MOTOR_CÁLCULO'!D496</f>
        <v>FABRICAÇÃO DE VE</v>
      </c>
      <c r="E756" s="78" t="str">
        <f>'04_MOTOR_CÁLCULO'!N496</f>
        <v>CNAE-STG</v>
      </c>
      <c r="F756" s="55">
        <f>'04_MOTOR_CÁLCULO'!K496</f>
        <v>1</v>
      </c>
      <c r="G756" s="56">
        <f>'04_MOTOR_CÁLCULO'!K496-1</f>
        <v>0</v>
      </c>
      <c r="H756" s="57" t="str">
        <f>'04_MOTOR_CÁLCULO'!M496</f>
        <v>Médio</v>
      </c>
    </row>
    <row r="757" spans="1:8" ht="13.5" customHeight="1" x14ac:dyDescent="0.25">
      <c r="A757" s="13" t="str">
        <f>'04_MOTOR_CÁLCULO'!A497</f>
        <v>2920-4/02</v>
      </c>
      <c r="B757" s="49" t="str">
        <f>'04_MOTOR_CÁLCULO'!B497</f>
        <v>C</v>
      </c>
      <c r="C757" s="101" t="str">
        <f>'04_MOTOR_CÁLCULO'!C497</f>
        <v>Fabricação de motores para caminhões e ônibus</v>
      </c>
      <c r="D757" s="14" t="str">
        <f>'04_MOTOR_CÁLCULO'!D497</f>
        <v>FABRICAÇÃO DE VE</v>
      </c>
      <c r="E757" s="78" t="str">
        <f>'04_MOTOR_CÁLCULO'!N497</f>
        <v>CNAE-STG</v>
      </c>
      <c r="F757" s="55">
        <f>'04_MOTOR_CÁLCULO'!K497</f>
        <v>1</v>
      </c>
      <c r="G757" s="56">
        <f>'04_MOTOR_CÁLCULO'!K497-1</f>
        <v>0</v>
      </c>
      <c r="H757" s="57" t="str">
        <f>'04_MOTOR_CÁLCULO'!M497</f>
        <v>Médio</v>
      </c>
    </row>
    <row r="758" spans="1:8" ht="13.5" customHeight="1" x14ac:dyDescent="0.25">
      <c r="A758" s="24" t="str">
        <f>'04_MOTOR_CÁLCULO'!A498</f>
        <v>2930-1/01</v>
      </c>
      <c r="B758" s="38" t="str">
        <f>'04_MOTOR_CÁLCULO'!B498</f>
        <v>C</v>
      </c>
      <c r="C758" s="100" t="str">
        <f>'04_MOTOR_CÁLCULO'!C498</f>
        <v>Fabricação de cabines, carrocerias e reboques para caminhões</v>
      </c>
      <c r="D758" s="25" t="str">
        <f>'04_MOTOR_CÁLCULO'!D498</f>
        <v>FABRICAÇÃO DE VE</v>
      </c>
      <c r="E758" s="78" t="str">
        <f>'04_MOTOR_CÁLCULO'!N498</f>
        <v>CNAE-STG</v>
      </c>
      <c r="F758" s="55">
        <f>'04_MOTOR_CÁLCULO'!K498</f>
        <v>1</v>
      </c>
      <c r="G758" s="56">
        <f>'04_MOTOR_CÁLCULO'!K498-1</f>
        <v>0</v>
      </c>
      <c r="H758" s="57" t="str">
        <f>'04_MOTOR_CÁLCULO'!M498</f>
        <v>Médio</v>
      </c>
    </row>
    <row r="759" spans="1:8" ht="13.5" customHeight="1" x14ac:dyDescent="0.25">
      <c r="A759" s="13" t="str">
        <f>'04_MOTOR_CÁLCULO'!A499</f>
        <v>2930-1/02</v>
      </c>
      <c r="B759" s="49" t="str">
        <f>'04_MOTOR_CÁLCULO'!B499</f>
        <v>C</v>
      </c>
      <c r="C759" s="101" t="str">
        <f>'04_MOTOR_CÁLCULO'!C499</f>
        <v>Fabricação de carrocerias para ônibus</v>
      </c>
      <c r="D759" s="14" t="str">
        <f>'04_MOTOR_CÁLCULO'!D499</f>
        <v>FABRICAÇÃO DE VE</v>
      </c>
      <c r="E759" s="78" t="str">
        <f>'04_MOTOR_CÁLCULO'!N499</f>
        <v>CNAE-STG</v>
      </c>
      <c r="F759" s="55">
        <f>'04_MOTOR_CÁLCULO'!K499</f>
        <v>1</v>
      </c>
      <c r="G759" s="56">
        <f>'04_MOTOR_CÁLCULO'!K499-1</f>
        <v>0</v>
      </c>
      <c r="H759" s="57" t="str">
        <f>'04_MOTOR_CÁLCULO'!M499</f>
        <v>Médio</v>
      </c>
    </row>
    <row r="760" spans="1:8" ht="13.5" customHeight="1" x14ac:dyDescent="0.25">
      <c r="A760" s="24" t="str">
        <f>'04_MOTOR_CÁLCULO'!A500</f>
        <v>2930-1/03</v>
      </c>
      <c r="B760" s="38" t="str">
        <f>'04_MOTOR_CÁLCULO'!B500</f>
        <v>C</v>
      </c>
      <c r="C760" s="100" t="str">
        <f>'04_MOTOR_CÁLCULO'!C500</f>
        <v>Fabricação de cabines, carrocerias e reboques para outros veículos automotores, exceto caminhões e ônibus</v>
      </c>
      <c r="D760" s="25" t="str">
        <f>'04_MOTOR_CÁLCULO'!D500</f>
        <v>FABRICAÇÃO DE VE</v>
      </c>
      <c r="E760" s="78" t="str">
        <f>'04_MOTOR_CÁLCULO'!N500</f>
        <v>CNAE-STG</v>
      </c>
      <c r="F760" s="55">
        <f>'04_MOTOR_CÁLCULO'!K500</f>
        <v>1</v>
      </c>
      <c r="G760" s="56">
        <f>'04_MOTOR_CÁLCULO'!K500-1</f>
        <v>0</v>
      </c>
      <c r="H760" s="57" t="str">
        <f>'04_MOTOR_CÁLCULO'!M500</f>
        <v>Médio</v>
      </c>
    </row>
    <row r="761" spans="1:8" ht="13.5" customHeight="1" x14ac:dyDescent="0.25">
      <c r="A761" s="13" t="str">
        <f>'04_MOTOR_CÁLCULO'!A501</f>
        <v>2941-7/00</v>
      </c>
      <c r="B761" s="49" t="str">
        <f>'04_MOTOR_CÁLCULO'!B501</f>
        <v>C</v>
      </c>
      <c r="C761" s="101" t="str">
        <f>'04_MOTOR_CÁLCULO'!C501</f>
        <v>Fabricação de peças e acessórios para o sistema motor de veículos automotores</v>
      </c>
      <c r="D761" s="14" t="str">
        <f>'04_MOTOR_CÁLCULO'!D501</f>
        <v>FABRICAÇÃO DE VE</v>
      </c>
      <c r="E761" s="78" t="str">
        <f>'04_MOTOR_CÁLCULO'!N501</f>
        <v>CNAE-STG</v>
      </c>
      <c r="F761" s="55">
        <f>'04_MOTOR_CÁLCULO'!K501</f>
        <v>1</v>
      </c>
      <c r="G761" s="56">
        <f>'04_MOTOR_CÁLCULO'!K501-1</f>
        <v>0</v>
      </c>
      <c r="H761" s="57" t="str">
        <f>'04_MOTOR_CÁLCULO'!M501</f>
        <v>Médio</v>
      </c>
    </row>
    <row r="762" spans="1:8" ht="13.5" customHeight="1" x14ac:dyDescent="0.25">
      <c r="A762" s="24" t="str">
        <f>'04_MOTOR_CÁLCULO'!A502</f>
        <v>2942-5/00</v>
      </c>
      <c r="B762" s="38" t="str">
        <f>'04_MOTOR_CÁLCULO'!B502</f>
        <v>C</v>
      </c>
      <c r="C762" s="100" t="str">
        <f>'04_MOTOR_CÁLCULO'!C502</f>
        <v>Fabricação de peças e acessórios para os sistemas de marcha e transmissão de veículos automotores</v>
      </c>
      <c r="D762" s="25" t="str">
        <f>'04_MOTOR_CÁLCULO'!D502</f>
        <v>FABRICAÇÃO DE VE</v>
      </c>
      <c r="E762" s="78" t="str">
        <f>'04_MOTOR_CÁLCULO'!N502</f>
        <v>CNAE-STG</v>
      </c>
      <c r="F762" s="55">
        <f>'04_MOTOR_CÁLCULO'!K502</f>
        <v>1</v>
      </c>
      <c r="G762" s="56">
        <f>'04_MOTOR_CÁLCULO'!K502-1</f>
        <v>0</v>
      </c>
      <c r="H762" s="57" t="str">
        <f>'04_MOTOR_CÁLCULO'!M502</f>
        <v>Médio</v>
      </c>
    </row>
    <row r="763" spans="1:8" ht="13.5" customHeight="1" x14ac:dyDescent="0.25">
      <c r="A763" s="13" t="str">
        <f>'04_MOTOR_CÁLCULO'!A503</f>
        <v>2943-3/00</v>
      </c>
      <c r="B763" s="49" t="str">
        <f>'04_MOTOR_CÁLCULO'!B503</f>
        <v>C</v>
      </c>
      <c r="C763" s="101" t="str">
        <f>'04_MOTOR_CÁLCULO'!C503</f>
        <v>Fabricação de peças e acessórios para o sistema de freios de veículos automotores</v>
      </c>
      <c r="D763" s="14" t="str">
        <f>'04_MOTOR_CÁLCULO'!D503</f>
        <v>FABRICAÇÃO DE VE</v>
      </c>
      <c r="E763" s="78" t="str">
        <f>'04_MOTOR_CÁLCULO'!N503</f>
        <v>CNAE-STG</v>
      </c>
      <c r="F763" s="55">
        <f>'04_MOTOR_CÁLCULO'!K503</f>
        <v>1</v>
      </c>
      <c r="G763" s="56">
        <f>'04_MOTOR_CÁLCULO'!K503-1</f>
        <v>0</v>
      </c>
      <c r="H763" s="57" t="str">
        <f>'04_MOTOR_CÁLCULO'!M503</f>
        <v>Médio</v>
      </c>
    </row>
    <row r="764" spans="1:8" ht="13.5" customHeight="1" x14ac:dyDescent="0.25">
      <c r="A764" s="24" t="str">
        <f>'04_MOTOR_CÁLCULO'!A504</f>
        <v>2944-1/00</v>
      </c>
      <c r="B764" s="38" t="str">
        <f>'04_MOTOR_CÁLCULO'!B504</f>
        <v>C</v>
      </c>
      <c r="C764" s="100" t="str">
        <f>'04_MOTOR_CÁLCULO'!C504</f>
        <v>Fabricação de peças e acessórios para o sistema de direção e suspensão de veículos automotores</v>
      </c>
      <c r="D764" s="25" t="str">
        <f>'04_MOTOR_CÁLCULO'!D504</f>
        <v>FABRICAÇÃO DE VE</v>
      </c>
      <c r="E764" s="78" t="str">
        <f>'04_MOTOR_CÁLCULO'!N504</f>
        <v>CNAE-STG</v>
      </c>
      <c r="F764" s="55">
        <f>'04_MOTOR_CÁLCULO'!K504</f>
        <v>1</v>
      </c>
      <c r="G764" s="56">
        <f>'04_MOTOR_CÁLCULO'!K504-1</f>
        <v>0</v>
      </c>
      <c r="H764" s="57" t="str">
        <f>'04_MOTOR_CÁLCULO'!M504</f>
        <v>Médio</v>
      </c>
    </row>
    <row r="765" spans="1:8" ht="13.5" customHeight="1" x14ac:dyDescent="0.25">
      <c r="A765" s="13" t="str">
        <f>'04_MOTOR_CÁLCULO'!A505</f>
        <v>2945-0/00</v>
      </c>
      <c r="B765" s="49" t="str">
        <f>'04_MOTOR_CÁLCULO'!B505</f>
        <v>C</v>
      </c>
      <c r="C765" s="101" t="str">
        <f>'04_MOTOR_CÁLCULO'!C505</f>
        <v>Fabricação de material elétrico e eletrônico para veículos automotores, exceto baterias</v>
      </c>
      <c r="D765" s="14" t="str">
        <f>'04_MOTOR_CÁLCULO'!D505</f>
        <v>FABRICAÇÃO DE VE</v>
      </c>
      <c r="E765" s="78" t="str">
        <f>'04_MOTOR_CÁLCULO'!N505</f>
        <v>CNAE-STG</v>
      </c>
      <c r="F765" s="55">
        <f>'04_MOTOR_CÁLCULO'!K505</f>
        <v>1</v>
      </c>
      <c r="G765" s="56">
        <f>'04_MOTOR_CÁLCULO'!K505-1</f>
        <v>0</v>
      </c>
      <c r="H765" s="57" t="str">
        <f>'04_MOTOR_CÁLCULO'!M505</f>
        <v>Médio</v>
      </c>
    </row>
    <row r="766" spans="1:8" ht="13.5" customHeight="1" x14ac:dyDescent="0.25">
      <c r="A766" s="24" t="str">
        <f>'04_MOTOR_CÁLCULO'!A506</f>
        <v>2949-2/01</v>
      </c>
      <c r="B766" s="38" t="str">
        <f>'04_MOTOR_CÁLCULO'!B506</f>
        <v>C</v>
      </c>
      <c r="C766" s="100" t="str">
        <f>'04_MOTOR_CÁLCULO'!C506</f>
        <v>Fabricação de bancos e estofados para veículos automotores</v>
      </c>
      <c r="D766" s="25" t="str">
        <f>'04_MOTOR_CÁLCULO'!D506</f>
        <v>FABRICAÇÃO DE VE</v>
      </c>
      <c r="E766" s="78" t="str">
        <f>'04_MOTOR_CÁLCULO'!N506</f>
        <v>CNAE-STG</v>
      </c>
      <c r="F766" s="55">
        <f>'04_MOTOR_CÁLCULO'!K506</f>
        <v>1</v>
      </c>
      <c r="G766" s="56">
        <f>'04_MOTOR_CÁLCULO'!K506-1</f>
        <v>0</v>
      </c>
      <c r="H766" s="57" t="str">
        <f>'04_MOTOR_CÁLCULO'!M506</f>
        <v>Médio</v>
      </c>
    </row>
    <row r="767" spans="1:8" ht="13.5" customHeight="1" x14ac:dyDescent="0.25">
      <c r="A767" s="13" t="str">
        <f>'04_MOTOR_CÁLCULO'!A507</f>
        <v>2949-2/99</v>
      </c>
      <c r="B767" s="49" t="str">
        <f>'04_MOTOR_CÁLCULO'!B507</f>
        <v>C</v>
      </c>
      <c r="C767" s="101" t="str">
        <f>'04_MOTOR_CÁLCULO'!C507</f>
        <v>Fabricação de outras peças e acessórios para veículos automotores não especificadas anteriormente</v>
      </c>
      <c r="D767" s="14" t="str">
        <f>'04_MOTOR_CÁLCULO'!D507</f>
        <v>FABRICAÇÃO DE VE</v>
      </c>
      <c r="E767" s="78" t="str">
        <f>'04_MOTOR_CÁLCULO'!N507</f>
        <v>CNAE-STG</v>
      </c>
      <c r="F767" s="55">
        <f>'04_MOTOR_CÁLCULO'!K507</f>
        <v>1</v>
      </c>
      <c r="G767" s="56">
        <f>'04_MOTOR_CÁLCULO'!K507-1</f>
        <v>0</v>
      </c>
      <c r="H767" s="57" t="str">
        <f>'04_MOTOR_CÁLCULO'!M507</f>
        <v>Médio</v>
      </c>
    </row>
    <row r="768" spans="1:8" ht="13.5" customHeight="1" x14ac:dyDescent="0.25">
      <c r="A768" s="24" t="str">
        <f>'04_MOTOR_CÁLCULO'!A508</f>
        <v>2950-6/00</v>
      </c>
      <c r="B768" s="38" t="str">
        <f>'04_MOTOR_CÁLCULO'!B508</f>
        <v>C</v>
      </c>
      <c r="C768" s="100" t="str">
        <f>'04_MOTOR_CÁLCULO'!C508</f>
        <v>Recondicionamento e recuperação de motores para veículos automotores</v>
      </c>
      <c r="D768" s="25" t="str">
        <f>'04_MOTOR_CÁLCULO'!D508</f>
        <v>FABRICAÇÃO DE VE</v>
      </c>
      <c r="E768" s="78" t="str">
        <f>'04_MOTOR_CÁLCULO'!N508</f>
        <v>CNAE-STG</v>
      </c>
      <c r="F768" s="55">
        <f>'04_MOTOR_CÁLCULO'!K508</f>
        <v>1</v>
      </c>
      <c r="G768" s="56">
        <f>'04_MOTOR_CÁLCULO'!K508-1</f>
        <v>0</v>
      </c>
      <c r="H768" s="57" t="str">
        <f>'04_MOTOR_CÁLCULO'!M508</f>
        <v>Médio</v>
      </c>
    </row>
    <row r="769" spans="1:8" ht="13.5" customHeight="1" x14ac:dyDescent="0.25">
      <c r="A769" s="13" t="str">
        <f>'04_MOTOR_CÁLCULO'!A521</f>
        <v>3101-2/00</v>
      </c>
      <c r="B769" s="49" t="str">
        <f>'04_MOTOR_CÁLCULO'!B521</f>
        <v>C</v>
      </c>
      <c r="C769" s="101" t="str">
        <f>'04_MOTOR_CÁLCULO'!C521</f>
        <v>Fabricação de móveis com predominância de madeira</v>
      </c>
      <c r="D769" s="14" t="str">
        <f>'04_MOTOR_CÁLCULO'!D521</f>
        <v>FABRICAÇÃO DE MÓ</v>
      </c>
      <c r="E769" s="78" t="str">
        <f>'04_MOTOR_CÁLCULO'!N521</f>
        <v>CNAE-STG</v>
      </c>
      <c r="F769" s="55">
        <f>'04_MOTOR_CÁLCULO'!K521</f>
        <v>1</v>
      </c>
      <c r="G769" s="56">
        <f>'04_MOTOR_CÁLCULO'!K521-1</f>
        <v>0</v>
      </c>
      <c r="H769" s="57" t="str">
        <f>'04_MOTOR_CÁLCULO'!M521</f>
        <v>Médio</v>
      </c>
    </row>
    <row r="770" spans="1:8" ht="13.5" customHeight="1" x14ac:dyDescent="0.25">
      <c r="A770" s="24" t="str">
        <f>'04_MOTOR_CÁLCULO'!A522</f>
        <v>3102-1/00</v>
      </c>
      <c r="B770" s="38" t="str">
        <f>'04_MOTOR_CÁLCULO'!B522</f>
        <v>C</v>
      </c>
      <c r="C770" s="100" t="str">
        <f>'04_MOTOR_CÁLCULO'!C522</f>
        <v>Fabricação de móveis com predominância de metal</v>
      </c>
      <c r="D770" s="25" t="str">
        <f>'04_MOTOR_CÁLCULO'!D522</f>
        <v>FABRICAÇÃO DE MÓ</v>
      </c>
      <c r="E770" s="78" t="str">
        <f>'04_MOTOR_CÁLCULO'!N522</f>
        <v>CNAE-STG</v>
      </c>
      <c r="F770" s="55">
        <f>'04_MOTOR_CÁLCULO'!K522</f>
        <v>1</v>
      </c>
      <c r="G770" s="56">
        <f>'04_MOTOR_CÁLCULO'!K522-1</f>
        <v>0</v>
      </c>
      <c r="H770" s="57" t="str">
        <f>'04_MOTOR_CÁLCULO'!M522</f>
        <v>Médio</v>
      </c>
    </row>
    <row r="771" spans="1:8" ht="13.5" customHeight="1" x14ac:dyDescent="0.25">
      <c r="A771" s="13" t="str">
        <f>'04_MOTOR_CÁLCULO'!A523</f>
        <v>3103-9/00</v>
      </c>
      <c r="B771" s="49" t="str">
        <f>'04_MOTOR_CÁLCULO'!B523</f>
        <v>C</v>
      </c>
      <c r="C771" s="101" t="str">
        <f>'04_MOTOR_CÁLCULO'!C523</f>
        <v>Fabricação de móveis de outros materiais, exceto madeira e metal</v>
      </c>
      <c r="D771" s="14" t="str">
        <f>'04_MOTOR_CÁLCULO'!D523</f>
        <v>FABRICAÇÃO DE MÓ</v>
      </c>
      <c r="E771" s="78" t="str">
        <f>'04_MOTOR_CÁLCULO'!N523</f>
        <v>CNAE-STG</v>
      </c>
      <c r="F771" s="55">
        <f>'04_MOTOR_CÁLCULO'!K523</f>
        <v>1</v>
      </c>
      <c r="G771" s="56">
        <f>'04_MOTOR_CÁLCULO'!K523-1</f>
        <v>0</v>
      </c>
      <c r="H771" s="57" t="str">
        <f>'04_MOTOR_CÁLCULO'!M523</f>
        <v>Médio</v>
      </c>
    </row>
    <row r="772" spans="1:8" ht="13.5" customHeight="1" x14ac:dyDescent="0.25">
      <c r="A772" s="24" t="str">
        <f>'04_MOTOR_CÁLCULO'!A524</f>
        <v>3104-7/00</v>
      </c>
      <c r="B772" s="38" t="str">
        <f>'04_MOTOR_CÁLCULO'!B524</f>
        <v>C</v>
      </c>
      <c r="C772" s="100" t="str">
        <f>'04_MOTOR_CÁLCULO'!C524</f>
        <v>Fabricação de colchões</v>
      </c>
      <c r="D772" s="25" t="str">
        <f>'04_MOTOR_CÁLCULO'!D524</f>
        <v>FABRICAÇÃO DE MÓ</v>
      </c>
      <c r="E772" s="78" t="str">
        <f>'04_MOTOR_CÁLCULO'!N524</f>
        <v>CNAE-STG</v>
      </c>
      <c r="F772" s="55">
        <f>'04_MOTOR_CÁLCULO'!K524</f>
        <v>1</v>
      </c>
      <c r="G772" s="56">
        <f>'04_MOTOR_CÁLCULO'!K524-1</f>
        <v>0</v>
      </c>
      <c r="H772" s="57" t="str">
        <f>'04_MOTOR_CÁLCULO'!M524</f>
        <v>Médio</v>
      </c>
    </row>
    <row r="773" spans="1:8" ht="13.5" customHeight="1" x14ac:dyDescent="0.25">
      <c r="A773" s="13" t="str">
        <f>'04_MOTOR_CÁLCULO'!A553</f>
        <v>3311-2/00</v>
      </c>
      <c r="B773" s="49" t="str">
        <f>'04_MOTOR_CÁLCULO'!B553</f>
        <v>C</v>
      </c>
      <c r="C773" s="101" t="str">
        <f>'04_MOTOR_CÁLCULO'!C553</f>
        <v>Manutenção e reparação de tanques, reservatórios metálicos e caldeiras, exceto para veículos</v>
      </c>
      <c r="D773" s="14" t="str">
        <f>'04_MOTOR_CÁLCULO'!D553</f>
        <v>MANUTENÇÃO, REPA</v>
      </c>
      <c r="E773" s="78" t="str">
        <f>'04_MOTOR_CÁLCULO'!N553</f>
        <v>CNAE-STG</v>
      </c>
      <c r="F773" s="55">
        <f>'04_MOTOR_CÁLCULO'!K553</f>
        <v>1</v>
      </c>
      <c r="G773" s="56">
        <f>'04_MOTOR_CÁLCULO'!K553-1</f>
        <v>0</v>
      </c>
      <c r="H773" s="57" t="str">
        <f>'04_MOTOR_CÁLCULO'!M553</f>
        <v>Médio</v>
      </c>
    </row>
    <row r="774" spans="1:8" ht="13.5" customHeight="1" x14ac:dyDescent="0.25">
      <c r="A774" s="24" t="str">
        <f>'04_MOTOR_CÁLCULO'!A554</f>
        <v>3312-1/02</v>
      </c>
      <c r="B774" s="38" t="str">
        <f>'04_MOTOR_CÁLCULO'!B554</f>
        <v>C</v>
      </c>
      <c r="C774" s="100" t="str">
        <f>'04_MOTOR_CÁLCULO'!C554</f>
        <v>Manutenção e reparação de aparelhos e instrumentos de medida, teste e controle</v>
      </c>
      <c r="D774" s="25" t="str">
        <f>'04_MOTOR_CÁLCULO'!D554</f>
        <v>MANUTENÇÃO, REPA</v>
      </c>
      <c r="E774" s="78" t="str">
        <f>'04_MOTOR_CÁLCULO'!N554</f>
        <v>CNAE-STG</v>
      </c>
      <c r="F774" s="55">
        <f>'04_MOTOR_CÁLCULO'!K554</f>
        <v>1</v>
      </c>
      <c r="G774" s="56">
        <f>'04_MOTOR_CÁLCULO'!K554-1</f>
        <v>0</v>
      </c>
      <c r="H774" s="57" t="str">
        <f>'04_MOTOR_CÁLCULO'!M554</f>
        <v>Médio</v>
      </c>
    </row>
    <row r="775" spans="1:8" ht="13.5" customHeight="1" x14ac:dyDescent="0.25">
      <c r="A775" s="13" t="str">
        <f>'04_MOTOR_CÁLCULO'!A555</f>
        <v>3312-1/03</v>
      </c>
      <c r="B775" s="49" t="str">
        <f>'04_MOTOR_CÁLCULO'!B555</f>
        <v>C</v>
      </c>
      <c r="C775" s="101" t="str">
        <f>'04_MOTOR_CÁLCULO'!C555</f>
        <v>Manutenção e reparação de aparelhos eletromédicos e eletroterapêuticos e equipamentos de irradiação</v>
      </c>
      <c r="D775" s="14" t="str">
        <f>'04_MOTOR_CÁLCULO'!D555</f>
        <v>MANUTENÇÃO, REPA</v>
      </c>
      <c r="E775" s="78" t="str">
        <f>'04_MOTOR_CÁLCULO'!N555</f>
        <v>CNAE-STG</v>
      </c>
      <c r="F775" s="55">
        <f>'04_MOTOR_CÁLCULO'!K555</f>
        <v>1</v>
      </c>
      <c r="G775" s="56">
        <f>'04_MOTOR_CÁLCULO'!K555-1</f>
        <v>0</v>
      </c>
      <c r="H775" s="57" t="str">
        <f>'04_MOTOR_CÁLCULO'!M555</f>
        <v>Médio</v>
      </c>
    </row>
    <row r="776" spans="1:8" ht="13.5" customHeight="1" x14ac:dyDescent="0.25">
      <c r="A776" s="24" t="str">
        <f>'04_MOTOR_CÁLCULO'!A556</f>
        <v>3312-1/04</v>
      </c>
      <c r="B776" s="38" t="str">
        <f>'04_MOTOR_CÁLCULO'!B556</f>
        <v>C</v>
      </c>
      <c r="C776" s="100" t="str">
        <f>'04_MOTOR_CÁLCULO'!C556</f>
        <v>Manutenção e reparação de equipamentos e instrumentos ópticos</v>
      </c>
      <c r="D776" s="25" t="str">
        <f>'04_MOTOR_CÁLCULO'!D556</f>
        <v>MANUTENÇÃO, REPA</v>
      </c>
      <c r="E776" s="78" t="str">
        <f>'04_MOTOR_CÁLCULO'!N556</f>
        <v>CNAE-STG</v>
      </c>
      <c r="F776" s="55">
        <f>'04_MOTOR_CÁLCULO'!K556</f>
        <v>1</v>
      </c>
      <c r="G776" s="56">
        <f>'04_MOTOR_CÁLCULO'!K556-1</f>
        <v>0</v>
      </c>
      <c r="H776" s="57" t="str">
        <f>'04_MOTOR_CÁLCULO'!M556</f>
        <v>Médio</v>
      </c>
    </row>
    <row r="777" spans="1:8" ht="13.5" customHeight="1" x14ac:dyDescent="0.25">
      <c r="A777" s="13" t="str">
        <f>'04_MOTOR_CÁLCULO'!A557</f>
        <v>3313-9/01</v>
      </c>
      <c r="B777" s="49" t="str">
        <f>'04_MOTOR_CÁLCULO'!B557</f>
        <v>C</v>
      </c>
      <c r="C777" s="101" t="str">
        <f>'04_MOTOR_CÁLCULO'!C557</f>
        <v>Manutenção e reparação de geradores, transformadores e motores elétricos</v>
      </c>
      <c r="D777" s="14" t="str">
        <f>'04_MOTOR_CÁLCULO'!D557</f>
        <v>MANUTENÇÃO, REPA</v>
      </c>
      <c r="E777" s="78" t="str">
        <f>'04_MOTOR_CÁLCULO'!N557</f>
        <v>CNAE-STG</v>
      </c>
      <c r="F777" s="55">
        <f>'04_MOTOR_CÁLCULO'!K557</f>
        <v>1</v>
      </c>
      <c r="G777" s="56">
        <f>'04_MOTOR_CÁLCULO'!K557-1</f>
        <v>0</v>
      </c>
      <c r="H777" s="57" t="str">
        <f>'04_MOTOR_CÁLCULO'!M557</f>
        <v>Médio</v>
      </c>
    </row>
    <row r="778" spans="1:8" ht="13.5" customHeight="1" x14ac:dyDescent="0.25">
      <c r="A778" s="24" t="str">
        <f>'04_MOTOR_CÁLCULO'!A558</f>
        <v>3313-9/02</v>
      </c>
      <c r="B778" s="38" t="str">
        <f>'04_MOTOR_CÁLCULO'!B558</f>
        <v>C</v>
      </c>
      <c r="C778" s="100" t="str">
        <f>'04_MOTOR_CÁLCULO'!C558</f>
        <v>Manutenção e reparação de baterias e acumuladores elétricos, exceto para veículos</v>
      </c>
      <c r="D778" s="25" t="str">
        <f>'04_MOTOR_CÁLCULO'!D558</f>
        <v>MANUTENÇÃO, REPA</v>
      </c>
      <c r="E778" s="78" t="str">
        <f>'04_MOTOR_CÁLCULO'!N558</f>
        <v>CNAE-STG</v>
      </c>
      <c r="F778" s="55">
        <f>'04_MOTOR_CÁLCULO'!K558</f>
        <v>1</v>
      </c>
      <c r="G778" s="56">
        <f>'04_MOTOR_CÁLCULO'!K558-1</f>
        <v>0</v>
      </c>
      <c r="H778" s="57" t="str">
        <f>'04_MOTOR_CÁLCULO'!M558</f>
        <v>Médio</v>
      </c>
    </row>
    <row r="779" spans="1:8" ht="13.5" customHeight="1" x14ac:dyDescent="0.25">
      <c r="A779" s="13" t="str">
        <f>'04_MOTOR_CÁLCULO'!A559</f>
        <v>3313-9/99</v>
      </c>
      <c r="B779" s="49" t="str">
        <f>'04_MOTOR_CÁLCULO'!B559</f>
        <v>C</v>
      </c>
      <c r="C779" s="101" t="str">
        <f>'04_MOTOR_CÁLCULO'!C559</f>
        <v>Manutenção e reparação de máquinas, aparelhos e materiais elétricos não especificados anteriormente</v>
      </c>
      <c r="D779" s="14" t="str">
        <f>'04_MOTOR_CÁLCULO'!D559</f>
        <v>MANUTENÇÃO, REPA</v>
      </c>
      <c r="E779" s="78" t="str">
        <f>'04_MOTOR_CÁLCULO'!N559</f>
        <v>CNAE-STG</v>
      </c>
      <c r="F779" s="55">
        <f>'04_MOTOR_CÁLCULO'!K559</f>
        <v>1</v>
      </c>
      <c r="G779" s="56">
        <f>'04_MOTOR_CÁLCULO'!K559-1</f>
        <v>0</v>
      </c>
      <c r="H779" s="57" t="str">
        <f>'04_MOTOR_CÁLCULO'!M559</f>
        <v>Médio</v>
      </c>
    </row>
    <row r="780" spans="1:8" ht="13.5" customHeight="1" x14ac:dyDescent="0.25">
      <c r="A780" s="24" t="str">
        <f>'04_MOTOR_CÁLCULO'!A560</f>
        <v>3314-7/01</v>
      </c>
      <c r="B780" s="38" t="str">
        <f>'04_MOTOR_CÁLCULO'!B560</f>
        <v>C</v>
      </c>
      <c r="C780" s="100" t="str">
        <f>'04_MOTOR_CÁLCULO'!C560</f>
        <v>Manutenção e reparação de máquinas motrizes não elétricas</v>
      </c>
      <c r="D780" s="25" t="str">
        <f>'04_MOTOR_CÁLCULO'!D560</f>
        <v>MANUTENÇÃO, REPA</v>
      </c>
      <c r="E780" s="78" t="str">
        <f>'04_MOTOR_CÁLCULO'!N560</f>
        <v>CNAE-STG</v>
      </c>
      <c r="F780" s="55">
        <f>'04_MOTOR_CÁLCULO'!K560</f>
        <v>1</v>
      </c>
      <c r="G780" s="56">
        <f>'04_MOTOR_CÁLCULO'!K560-1</f>
        <v>0</v>
      </c>
      <c r="H780" s="57" t="str">
        <f>'04_MOTOR_CÁLCULO'!M560</f>
        <v>Médio</v>
      </c>
    </row>
    <row r="781" spans="1:8" ht="13.5" customHeight="1" x14ac:dyDescent="0.25">
      <c r="A781" s="13" t="str">
        <f>'04_MOTOR_CÁLCULO'!A561</f>
        <v>3314-7/02</v>
      </c>
      <c r="B781" s="49" t="str">
        <f>'04_MOTOR_CÁLCULO'!B561</f>
        <v>C</v>
      </c>
      <c r="C781" s="101" t="str">
        <f>'04_MOTOR_CÁLCULO'!C561</f>
        <v>Manutenção e reparação de equipamentos hidráulicos e pneumáticos, exceto válvulas</v>
      </c>
      <c r="D781" s="14" t="str">
        <f>'04_MOTOR_CÁLCULO'!D561</f>
        <v>MANUTENÇÃO, REPA</v>
      </c>
      <c r="E781" s="78" t="str">
        <f>'04_MOTOR_CÁLCULO'!N561</f>
        <v>CNAE-STG</v>
      </c>
      <c r="F781" s="55">
        <f>'04_MOTOR_CÁLCULO'!K561</f>
        <v>1</v>
      </c>
      <c r="G781" s="56">
        <f>'04_MOTOR_CÁLCULO'!K561-1</f>
        <v>0</v>
      </c>
      <c r="H781" s="57" t="str">
        <f>'04_MOTOR_CÁLCULO'!M561</f>
        <v>Médio</v>
      </c>
    </row>
    <row r="782" spans="1:8" ht="13.5" customHeight="1" x14ac:dyDescent="0.25">
      <c r="A782" s="24" t="str">
        <f>'04_MOTOR_CÁLCULO'!A562</f>
        <v>3314-7/03</v>
      </c>
      <c r="B782" s="38" t="str">
        <f>'04_MOTOR_CÁLCULO'!B562</f>
        <v>C</v>
      </c>
      <c r="C782" s="100" t="str">
        <f>'04_MOTOR_CÁLCULO'!C562</f>
        <v>Manutenção e reparação de válvulas industriais</v>
      </c>
      <c r="D782" s="25" t="str">
        <f>'04_MOTOR_CÁLCULO'!D562</f>
        <v>MANUTENÇÃO, REPA</v>
      </c>
      <c r="E782" s="78" t="str">
        <f>'04_MOTOR_CÁLCULO'!N562</f>
        <v>CNAE-STG</v>
      </c>
      <c r="F782" s="55">
        <f>'04_MOTOR_CÁLCULO'!K562</f>
        <v>1</v>
      </c>
      <c r="G782" s="56">
        <f>'04_MOTOR_CÁLCULO'!K562-1</f>
        <v>0</v>
      </c>
      <c r="H782" s="57" t="str">
        <f>'04_MOTOR_CÁLCULO'!M562</f>
        <v>Médio</v>
      </c>
    </row>
    <row r="783" spans="1:8" ht="13.5" customHeight="1" x14ac:dyDescent="0.25">
      <c r="A783" s="13" t="str">
        <f>'04_MOTOR_CÁLCULO'!A563</f>
        <v>3314-7/04</v>
      </c>
      <c r="B783" s="49" t="str">
        <f>'04_MOTOR_CÁLCULO'!B563</f>
        <v>C</v>
      </c>
      <c r="C783" s="101" t="str">
        <f>'04_MOTOR_CÁLCULO'!C563</f>
        <v>Manutenção e reparação de compressores</v>
      </c>
      <c r="D783" s="14" t="str">
        <f>'04_MOTOR_CÁLCULO'!D563</f>
        <v>MANUTENÇÃO, REPA</v>
      </c>
      <c r="E783" s="78" t="str">
        <f>'04_MOTOR_CÁLCULO'!N563</f>
        <v>CNAE-STG</v>
      </c>
      <c r="F783" s="55">
        <f>'04_MOTOR_CÁLCULO'!K563</f>
        <v>1</v>
      </c>
      <c r="G783" s="56">
        <f>'04_MOTOR_CÁLCULO'!K563-1</f>
        <v>0</v>
      </c>
      <c r="H783" s="57" t="str">
        <f>'04_MOTOR_CÁLCULO'!M563</f>
        <v>Médio</v>
      </c>
    </row>
    <row r="784" spans="1:8" ht="13.5" customHeight="1" x14ac:dyDescent="0.25">
      <c r="A784" s="24" t="str">
        <f>'04_MOTOR_CÁLCULO'!A564</f>
        <v>3314-7/05</v>
      </c>
      <c r="B784" s="38" t="str">
        <f>'04_MOTOR_CÁLCULO'!B564</f>
        <v>C</v>
      </c>
      <c r="C784" s="100" t="str">
        <f>'04_MOTOR_CÁLCULO'!C564</f>
        <v>Manutenção e reparação de equipamentos de transmissão para fins industriais</v>
      </c>
      <c r="D784" s="25" t="str">
        <f>'04_MOTOR_CÁLCULO'!D564</f>
        <v>MANUTENÇÃO, REPA</v>
      </c>
      <c r="E784" s="78" t="str">
        <f>'04_MOTOR_CÁLCULO'!N564</f>
        <v>CNAE-STG</v>
      </c>
      <c r="F784" s="55">
        <f>'04_MOTOR_CÁLCULO'!K564</f>
        <v>1</v>
      </c>
      <c r="G784" s="56">
        <f>'04_MOTOR_CÁLCULO'!K564-1</f>
        <v>0</v>
      </c>
      <c r="H784" s="57" t="str">
        <f>'04_MOTOR_CÁLCULO'!M564</f>
        <v>Médio</v>
      </c>
    </row>
    <row r="785" spans="1:8" ht="13.5" customHeight="1" x14ac:dyDescent="0.25">
      <c r="A785" s="13" t="str">
        <f>'04_MOTOR_CÁLCULO'!A565</f>
        <v>3314-7/06</v>
      </c>
      <c r="B785" s="49" t="str">
        <f>'04_MOTOR_CÁLCULO'!B565</f>
        <v>C</v>
      </c>
      <c r="C785" s="101" t="str">
        <f>'04_MOTOR_CÁLCULO'!C565</f>
        <v>Manutenção e reparação de máquinas, aparelhos e equipamentos para instalações térmicas</v>
      </c>
      <c r="D785" s="14" t="str">
        <f>'04_MOTOR_CÁLCULO'!D565</f>
        <v>MANUTENÇÃO, REPA</v>
      </c>
      <c r="E785" s="78" t="str">
        <f>'04_MOTOR_CÁLCULO'!N565</f>
        <v>CNAE-STG</v>
      </c>
      <c r="F785" s="55">
        <f>'04_MOTOR_CÁLCULO'!K565</f>
        <v>1</v>
      </c>
      <c r="G785" s="56">
        <f>'04_MOTOR_CÁLCULO'!K565-1</f>
        <v>0</v>
      </c>
      <c r="H785" s="57" t="str">
        <f>'04_MOTOR_CÁLCULO'!M565</f>
        <v>Médio</v>
      </c>
    </row>
    <row r="786" spans="1:8" ht="13.5" customHeight="1" x14ac:dyDescent="0.25">
      <c r="A786" s="24" t="str">
        <f>'04_MOTOR_CÁLCULO'!A566</f>
        <v>3314-7/07</v>
      </c>
      <c r="B786" s="38" t="str">
        <f>'04_MOTOR_CÁLCULO'!B566</f>
        <v>C</v>
      </c>
      <c r="C786" s="100" t="str">
        <f>'04_MOTOR_CÁLCULO'!C566</f>
        <v>Manutenção e reparação de máquinas e aparelhos de refrigeração e ventilação para uso industrial e comercial</v>
      </c>
      <c r="D786" s="25" t="str">
        <f>'04_MOTOR_CÁLCULO'!D566</f>
        <v>MANUTENÇÃO, REPA</v>
      </c>
      <c r="E786" s="78" t="str">
        <f>'04_MOTOR_CÁLCULO'!N566</f>
        <v>CNAE-STG</v>
      </c>
      <c r="F786" s="55">
        <f>'04_MOTOR_CÁLCULO'!K566</f>
        <v>1</v>
      </c>
      <c r="G786" s="56">
        <f>'04_MOTOR_CÁLCULO'!K566-1</f>
        <v>0</v>
      </c>
      <c r="H786" s="57" t="str">
        <f>'04_MOTOR_CÁLCULO'!M566</f>
        <v>Médio</v>
      </c>
    </row>
    <row r="787" spans="1:8" ht="13.5" customHeight="1" x14ac:dyDescent="0.25">
      <c r="A787" s="13" t="str">
        <f>'04_MOTOR_CÁLCULO'!A567</f>
        <v>3314-7/08</v>
      </c>
      <c r="B787" s="49" t="str">
        <f>'04_MOTOR_CÁLCULO'!B567</f>
        <v>C</v>
      </c>
      <c r="C787" s="101" t="str">
        <f>'04_MOTOR_CÁLCULO'!C567</f>
        <v>Manutenção e reparação de máquinas, equipamentos e aparelhos para transporte e elevação de cargas</v>
      </c>
      <c r="D787" s="14" t="str">
        <f>'04_MOTOR_CÁLCULO'!D567</f>
        <v>MANUTENÇÃO, REPA</v>
      </c>
      <c r="E787" s="78" t="str">
        <f>'04_MOTOR_CÁLCULO'!N567</f>
        <v>CNAE-STG</v>
      </c>
      <c r="F787" s="55">
        <f>'04_MOTOR_CÁLCULO'!K567</f>
        <v>1</v>
      </c>
      <c r="G787" s="56">
        <f>'04_MOTOR_CÁLCULO'!K567-1</f>
        <v>0</v>
      </c>
      <c r="H787" s="57" t="str">
        <f>'04_MOTOR_CÁLCULO'!M567</f>
        <v>Médio</v>
      </c>
    </row>
    <row r="788" spans="1:8" ht="13.5" customHeight="1" x14ac:dyDescent="0.25">
      <c r="A788" s="24" t="str">
        <f>'04_MOTOR_CÁLCULO'!A568</f>
        <v>3314-7/09</v>
      </c>
      <c r="B788" s="38" t="str">
        <f>'04_MOTOR_CÁLCULO'!B568</f>
        <v>C</v>
      </c>
      <c r="C788" s="100" t="str">
        <f>'04_MOTOR_CÁLCULO'!C568</f>
        <v>Manutenção e reparação de máquinas de escrever, calcular e de outros equipamentos não eletrônicos para escritório</v>
      </c>
      <c r="D788" s="25" t="str">
        <f>'04_MOTOR_CÁLCULO'!D568</f>
        <v>MANUTENÇÃO, REPA</v>
      </c>
      <c r="E788" s="78" t="str">
        <f>'04_MOTOR_CÁLCULO'!N568</f>
        <v>CNAE-STG</v>
      </c>
      <c r="F788" s="55">
        <f>'04_MOTOR_CÁLCULO'!K568</f>
        <v>1</v>
      </c>
      <c r="G788" s="56">
        <f>'04_MOTOR_CÁLCULO'!K568-1</f>
        <v>0</v>
      </c>
      <c r="H788" s="57" t="str">
        <f>'04_MOTOR_CÁLCULO'!M568</f>
        <v>Médio</v>
      </c>
    </row>
    <row r="789" spans="1:8" ht="13.5" customHeight="1" x14ac:dyDescent="0.25">
      <c r="A789" s="13" t="str">
        <f>'04_MOTOR_CÁLCULO'!A569</f>
        <v>3314-7/10</v>
      </c>
      <c r="B789" s="49" t="str">
        <f>'04_MOTOR_CÁLCULO'!B569</f>
        <v>C</v>
      </c>
      <c r="C789" s="101" t="str">
        <f>'04_MOTOR_CÁLCULO'!C569</f>
        <v>Manutenção e reparação de máquinas e equipamentos para uso geral não especificados anteriormente</v>
      </c>
      <c r="D789" s="14" t="str">
        <f>'04_MOTOR_CÁLCULO'!D569</f>
        <v>MANUTENÇÃO, REPA</v>
      </c>
      <c r="E789" s="78" t="str">
        <f>'04_MOTOR_CÁLCULO'!N569</f>
        <v>CNAE-STG</v>
      </c>
      <c r="F789" s="55">
        <f>'04_MOTOR_CÁLCULO'!K569</f>
        <v>1</v>
      </c>
      <c r="G789" s="56">
        <f>'04_MOTOR_CÁLCULO'!K569-1</f>
        <v>0</v>
      </c>
      <c r="H789" s="57" t="str">
        <f>'04_MOTOR_CÁLCULO'!M569</f>
        <v>Médio</v>
      </c>
    </row>
    <row r="790" spans="1:8" ht="13.5" customHeight="1" x14ac:dyDescent="0.25">
      <c r="A790" s="24" t="str">
        <f>'04_MOTOR_CÁLCULO'!A570</f>
        <v>3314-7/11</v>
      </c>
      <c r="B790" s="38" t="str">
        <f>'04_MOTOR_CÁLCULO'!B570</f>
        <v>C</v>
      </c>
      <c r="C790" s="100" t="str">
        <f>'04_MOTOR_CÁLCULO'!C570</f>
        <v>Manutenção e reparação de máquinas e equipamentos para agricultura e pecuária</v>
      </c>
      <c r="D790" s="25" t="str">
        <f>'04_MOTOR_CÁLCULO'!D570</f>
        <v>MANUTENÇÃO, REPA</v>
      </c>
      <c r="E790" s="78" t="str">
        <f>'04_MOTOR_CÁLCULO'!N570</f>
        <v>CNAE-STG</v>
      </c>
      <c r="F790" s="55">
        <f>'04_MOTOR_CÁLCULO'!K570</f>
        <v>1</v>
      </c>
      <c r="G790" s="56">
        <f>'04_MOTOR_CÁLCULO'!K570-1</f>
        <v>0</v>
      </c>
      <c r="H790" s="57" t="str">
        <f>'04_MOTOR_CÁLCULO'!M570</f>
        <v>Médio</v>
      </c>
    </row>
    <row r="791" spans="1:8" ht="13.5" customHeight="1" x14ac:dyDescent="0.25">
      <c r="A791" s="13" t="str">
        <f>'04_MOTOR_CÁLCULO'!A571</f>
        <v>3314-7/12</v>
      </c>
      <c r="B791" s="49" t="str">
        <f>'04_MOTOR_CÁLCULO'!B571</f>
        <v>C</v>
      </c>
      <c r="C791" s="101" t="str">
        <f>'04_MOTOR_CÁLCULO'!C571</f>
        <v>Manutenção e reparação de tratores agrícolas</v>
      </c>
      <c r="D791" s="14" t="str">
        <f>'04_MOTOR_CÁLCULO'!D571</f>
        <v>MANUTENÇÃO, REPA</v>
      </c>
      <c r="E791" s="78" t="str">
        <f>'04_MOTOR_CÁLCULO'!N571</f>
        <v>CNAE-STG</v>
      </c>
      <c r="F791" s="55">
        <f>'04_MOTOR_CÁLCULO'!K571</f>
        <v>1</v>
      </c>
      <c r="G791" s="56">
        <f>'04_MOTOR_CÁLCULO'!K571-1</f>
        <v>0</v>
      </c>
      <c r="H791" s="57" t="str">
        <f>'04_MOTOR_CÁLCULO'!M571</f>
        <v>Médio</v>
      </c>
    </row>
    <row r="792" spans="1:8" ht="13.5" customHeight="1" x14ac:dyDescent="0.25">
      <c r="A792" s="24" t="str">
        <f>'04_MOTOR_CÁLCULO'!A572</f>
        <v>3314-7/13</v>
      </c>
      <c r="B792" s="38" t="str">
        <f>'04_MOTOR_CÁLCULO'!B572</f>
        <v>C</v>
      </c>
      <c r="C792" s="100" t="str">
        <f>'04_MOTOR_CÁLCULO'!C572</f>
        <v>Manutenção e reparação de máquinas-ferramenta</v>
      </c>
      <c r="D792" s="25" t="str">
        <f>'04_MOTOR_CÁLCULO'!D572</f>
        <v>MANUTENÇÃO, REPA</v>
      </c>
      <c r="E792" s="78" t="str">
        <f>'04_MOTOR_CÁLCULO'!N572</f>
        <v>CNAE-STG</v>
      </c>
      <c r="F792" s="55">
        <f>'04_MOTOR_CÁLCULO'!K572</f>
        <v>1</v>
      </c>
      <c r="G792" s="56">
        <f>'04_MOTOR_CÁLCULO'!K572-1</f>
        <v>0</v>
      </c>
      <c r="H792" s="57" t="str">
        <f>'04_MOTOR_CÁLCULO'!M572</f>
        <v>Médio</v>
      </c>
    </row>
    <row r="793" spans="1:8" ht="13.5" customHeight="1" x14ac:dyDescent="0.25">
      <c r="A793" s="13" t="str">
        <f>'04_MOTOR_CÁLCULO'!A573</f>
        <v>3314-7/14</v>
      </c>
      <c r="B793" s="49" t="str">
        <f>'04_MOTOR_CÁLCULO'!B573</f>
        <v>C</v>
      </c>
      <c r="C793" s="101" t="str">
        <f>'04_MOTOR_CÁLCULO'!C573</f>
        <v>Manutenção e reparação de máquinas e equipamentos para a prospecção e extração de petróleo</v>
      </c>
      <c r="D793" s="14" t="str">
        <f>'04_MOTOR_CÁLCULO'!D573</f>
        <v>MANUTENÇÃO, REPA</v>
      </c>
      <c r="E793" s="78" t="str">
        <f>'04_MOTOR_CÁLCULO'!N573</f>
        <v>CNAE-STG</v>
      </c>
      <c r="F793" s="55">
        <f>'04_MOTOR_CÁLCULO'!K573</f>
        <v>1</v>
      </c>
      <c r="G793" s="56">
        <f>'04_MOTOR_CÁLCULO'!K573-1</f>
        <v>0</v>
      </c>
      <c r="H793" s="57" t="str">
        <f>'04_MOTOR_CÁLCULO'!M573</f>
        <v>Médio</v>
      </c>
    </row>
    <row r="794" spans="1:8" ht="13.5" customHeight="1" x14ac:dyDescent="0.25">
      <c r="A794" s="24" t="str">
        <f>'04_MOTOR_CÁLCULO'!A574</f>
        <v>3314-7/15</v>
      </c>
      <c r="B794" s="38" t="str">
        <f>'04_MOTOR_CÁLCULO'!B574</f>
        <v>C</v>
      </c>
      <c r="C794" s="100" t="str">
        <f>'04_MOTOR_CÁLCULO'!C574</f>
        <v>Manutenção e reparação de máquinas e equipamentos para uso na extração mineral, exceto na extração de petróleo</v>
      </c>
      <c r="D794" s="25" t="str">
        <f>'04_MOTOR_CÁLCULO'!D574</f>
        <v>MANUTENÇÃO, REPA</v>
      </c>
      <c r="E794" s="78" t="str">
        <f>'04_MOTOR_CÁLCULO'!N574</f>
        <v>CNAE-STG</v>
      </c>
      <c r="F794" s="55">
        <f>'04_MOTOR_CÁLCULO'!K574</f>
        <v>1</v>
      </c>
      <c r="G794" s="56">
        <f>'04_MOTOR_CÁLCULO'!K574-1</f>
        <v>0</v>
      </c>
      <c r="H794" s="57" t="str">
        <f>'04_MOTOR_CÁLCULO'!M574</f>
        <v>Médio</v>
      </c>
    </row>
    <row r="795" spans="1:8" ht="13.5" customHeight="1" x14ac:dyDescent="0.25">
      <c r="A795" s="13" t="str">
        <f>'04_MOTOR_CÁLCULO'!A575</f>
        <v>3314-7/16</v>
      </c>
      <c r="B795" s="49" t="str">
        <f>'04_MOTOR_CÁLCULO'!B575</f>
        <v>C</v>
      </c>
      <c r="C795" s="101" t="str">
        <f>'04_MOTOR_CÁLCULO'!C575</f>
        <v>Manutenção e reparação de tratores, exceto agrícolas</v>
      </c>
      <c r="D795" s="14" t="str">
        <f>'04_MOTOR_CÁLCULO'!D575</f>
        <v>MANUTENÇÃO, REPA</v>
      </c>
      <c r="E795" s="78" t="str">
        <f>'04_MOTOR_CÁLCULO'!N575</f>
        <v>CNAE-STG</v>
      </c>
      <c r="F795" s="55">
        <f>'04_MOTOR_CÁLCULO'!K575</f>
        <v>1</v>
      </c>
      <c r="G795" s="56">
        <f>'04_MOTOR_CÁLCULO'!K575-1</f>
        <v>0</v>
      </c>
      <c r="H795" s="57" t="str">
        <f>'04_MOTOR_CÁLCULO'!M575</f>
        <v>Médio</v>
      </c>
    </row>
    <row r="796" spans="1:8" ht="13.5" customHeight="1" x14ac:dyDescent="0.25">
      <c r="A796" s="24" t="str">
        <f>'04_MOTOR_CÁLCULO'!A576</f>
        <v>3314-7/17</v>
      </c>
      <c r="B796" s="38" t="str">
        <f>'04_MOTOR_CÁLCULO'!B576</f>
        <v>C</v>
      </c>
      <c r="C796" s="100" t="str">
        <f>'04_MOTOR_CÁLCULO'!C576</f>
        <v>Manutenção e reparação de máquinas e equipamentos de terraplenagem, pavimentação e construção, exceto tratores</v>
      </c>
      <c r="D796" s="25" t="str">
        <f>'04_MOTOR_CÁLCULO'!D576</f>
        <v>MANUTENÇÃO, REPA</v>
      </c>
      <c r="E796" s="78" t="str">
        <f>'04_MOTOR_CÁLCULO'!N576</f>
        <v>CNAE-STG</v>
      </c>
      <c r="F796" s="55">
        <f>'04_MOTOR_CÁLCULO'!K576</f>
        <v>1</v>
      </c>
      <c r="G796" s="56">
        <f>'04_MOTOR_CÁLCULO'!K576-1</f>
        <v>0</v>
      </c>
      <c r="H796" s="57" t="str">
        <f>'04_MOTOR_CÁLCULO'!M576</f>
        <v>Médio</v>
      </c>
    </row>
    <row r="797" spans="1:8" ht="13.5" customHeight="1" x14ac:dyDescent="0.25">
      <c r="A797" s="13" t="str">
        <f>'04_MOTOR_CÁLCULO'!A577</f>
        <v>3314-7/18</v>
      </c>
      <c r="B797" s="49" t="str">
        <f>'04_MOTOR_CÁLCULO'!B577</f>
        <v>C</v>
      </c>
      <c r="C797" s="101" t="str">
        <f>'04_MOTOR_CÁLCULO'!C577</f>
        <v>Manutenção e reparação de máquinas para a indústria metalúrgica, exceto máquinas-ferramenta</v>
      </c>
      <c r="D797" s="14" t="str">
        <f>'04_MOTOR_CÁLCULO'!D577</f>
        <v>MANUTENÇÃO, REPA</v>
      </c>
      <c r="E797" s="78" t="str">
        <f>'04_MOTOR_CÁLCULO'!N577</f>
        <v>CNAE-STG</v>
      </c>
      <c r="F797" s="55">
        <f>'04_MOTOR_CÁLCULO'!K577</f>
        <v>1</v>
      </c>
      <c r="G797" s="56">
        <f>'04_MOTOR_CÁLCULO'!K577-1</f>
        <v>0</v>
      </c>
      <c r="H797" s="57" t="str">
        <f>'04_MOTOR_CÁLCULO'!M577</f>
        <v>Médio</v>
      </c>
    </row>
    <row r="798" spans="1:8" ht="13.5" customHeight="1" x14ac:dyDescent="0.25">
      <c r="A798" s="24" t="str">
        <f>'04_MOTOR_CÁLCULO'!A578</f>
        <v>3314-7/19</v>
      </c>
      <c r="B798" s="38" t="str">
        <f>'04_MOTOR_CÁLCULO'!B578</f>
        <v>C</v>
      </c>
      <c r="C798" s="100" t="str">
        <f>'04_MOTOR_CÁLCULO'!C578</f>
        <v>Manutenção e reparação de máquinas e equipamentos para as indústrias de alimentos, bebidas e fumo</v>
      </c>
      <c r="D798" s="25" t="str">
        <f>'04_MOTOR_CÁLCULO'!D578</f>
        <v>MANUTENÇÃO, REPA</v>
      </c>
      <c r="E798" s="78" t="str">
        <f>'04_MOTOR_CÁLCULO'!N578</f>
        <v>CNAE-STG</v>
      </c>
      <c r="F798" s="55">
        <f>'04_MOTOR_CÁLCULO'!K578</f>
        <v>1</v>
      </c>
      <c r="G798" s="56">
        <f>'04_MOTOR_CÁLCULO'!K578-1</f>
        <v>0</v>
      </c>
      <c r="H798" s="57" t="str">
        <f>'04_MOTOR_CÁLCULO'!M578</f>
        <v>Médio</v>
      </c>
    </row>
    <row r="799" spans="1:8" ht="13.5" customHeight="1" x14ac:dyDescent="0.25">
      <c r="A799" s="13" t="str">
        <f>'04_MOTOR_CÁLCULO'!A579</f>
        <v>3314-7/20</v>
      </c>
      <c r="B799" s="49" t="str">
        <f>'04_MOTOR_CÁLCULO'!B579</f>
        <v>C</v>
      </c>
      <c r="C799" s="101" t="str">
        <f>'04_MOTOR_CÁLCULO'!C579</f>
        <v>Manutenção e reparação de máquinas e equipamentos para a indústria têxtil, do vestuário, do couro e calçados</v>
      </c>
      <c r="D799" s="14" t="str">
        <f>'04_MOTOR_CÁLCULO'!D579</f>
        <v>MANUTENÇÃO, REPA</v>
      </c>
      <c r="E799" s="78" t="str">
        <f>'04_MOTOR_CÁLCULO'!N579</f>
        <v>CNAE-STG</v>
      </c>
      <c r="F799" s="55">
        <f>'04_MOTOR_CÁLCULO'!K579</f>
        <v>1</v>
      </c>
      <c r="G799" s="56">
        <f>'04_MOTOR_CÁLCULO'!K579-1</f>
        <v>0</v>
      </c>
      <c r="H799" s="57" t="str">
        <f>'04_MOTOR_CÁLCULO'!M579</f>
        <v>Médio</v>
      </c>
    </row>
    <row r="800" spans="1:8" ht="13.5" customHeight="1" x14ac:dyDescent="0.25">
      <c r="A800" s="24" t="str">
        <f>'04_MOTOR_CÁLCULO'!A580</f>
        <v>3314-7/21</v>
      </c>
      <c r="B800" s="38" t="str">
        <f>'04_MOTOR_CÁLCULO'!B580</f>
        <v>C</v>
      </c>
      <c r="C800" s="100" t="str">
        <f>'04_MOTOR_CÁLCULO'!C580</f>
        <v>Manutenção e reparação de máquinas e aparelhos para a indústria de celulose, papel e papelão e artefatos</v>
      </c>
      <c r="D800" s="25" t="str">
        <f>'04_MOTOR_CÁLCULO'!D580</f>
        <v>MANUTENÇÃO, REPA</v>
      </c>
      <c r="E800" s="78" t="str">
        <f>'04_MOTOR_CÁLCULO'!N580</f>
        <v>CNAE-STG</v>
      </c>
      <c r="F800" s="55">
        <f>'04_MOTOR_CÁLCULO'!K580</f>
        <v>1</v>
      </c>
      <c r="G800" s="56">
        <f>'04_MOTOR_CÁLCULO'!K580-1</f>
        <v>0</v>
      </c>
      <c r="H800" s="57" t="str">
        <f>'04_MOTOR_CÁLCULO'!M580</f>
        <v>Médio</v>
      </c>
    </row>
    <row r="801" spans="1:8" ht="13.5" customHeight="1" x14ac:dyDescent="0.25">
      <c r="A801" s="13" t="str">
        <f>'04_MOTOR_CÁLCULO'!A581</f>
        <v>3314-7/22</v>
      </c>
      <c r="B801" s="49" t="str">
        <f>'04_MOTOR_CÁLCULO'!B581</f>
        <v>C</v>
      </c>
      <c r="C801" s="101" t="str">
        <f>'04_MOTOR_CÁLCULO'!C581</f>
        <v>Manutenção e reparação de máquinas e aparelhos para a indústria do plástico</v>
      </c>
      <c r="D801" s="14" t="str">
        <f>'04_MOTOR_CÁLCULO'!D581</f>
        <v>MANUTENÇÃO, REPA</v>
      </c>
      <c r="E801" s="78" t="str">
        <f>'04_MOTOR_CÁLCULO'!N581</f>
        <v>CNAE-STG</v>
      </c>
      <c r="F801" s="55">
        <f>'04_MOTOR_CÁLCULO'!K581</f>
        <v>1</v>
      </c>
      <c r="G801" s="56">
        <f>'04_MOTOR_CÁLCULO'!K581-1</f>
        <v>0</v>
      </c>
      <c r="H801" s="57" t="str">
        <f>'04_MOTOR_CÁLCULO'!M581</f>
        <v>Médio</v>
      </c>
    </row>
    <row r="802" spans="1:8" ht="13.5" customHeight="1" x14ac:dyDescent="0.25">
      <c r="A802" s="24" t="str">
        <f>'04_MOTOR_CÁLCULO'!A582</f>
        <v>3314-7/99</v>
      </c>
      <c r="B802" s="38" t="str">
        <f>'04_MOTOR_CÁLCULO'!B582</f>
        <v>C</v>
      </c>
      <c r="C802" s="100" t="str">
        <f>'04_MOTOR_CÁLCULO'!C582</f>
        <v>Manutenção e reparação de outras máquinas e equipamentos para usos industriais não especificados anteriormente</v>
      </c>
      <c r="D802" s="25" t="str">
        <f>'04_MOTOR_CÁLCULO'!D582</f>
        <v>MANUTENÇÃO, REPA</v>
      </c>
      <c r="E802" s="78" t="str">
        <f>'04_MOTOR_CÁLCULO'!N582</f>
        <v>CNAE-STG</v>
      </c>
      <c r="F802" s="55">
        <f>'04_MOTOR_CÁLCULO'!K582</f>
        <v>1</v>
      </c>
      <c r="G802" s="56">
        <f>'04_MOTOR_CÁLCULO'!K582-1</f>
        <v>0</v>
      </c>
      <c r="H802" s="57" t="str">
        <f>'04_MOTOR_CÁLCULO'!M582</f>
        <v>Médio</v>
      </c>
    </row>
    <row r="803" spans="1:8" ht="13.5" customHeight="1" x14ac:dyDescent="0.25">
      <c r="A803" s="13" t="str">
        <f>'04_MOTOR_CÁLCULO'!A583</f>
        <v>3315-5/00</v>
      </c>
      <c r="B803" s="49" t="str">
        <f>'04_MOTOR_CÁLCULO'!B583</f>
        <v>C</v>
      </c>
      <c r="C803" s="101" t="str">
        <f>'04_MOTOR_CÁLCULO'!C583</f>
        <v>Manutenção e reparação de veículos ferroviários</v>
      </c>
      <c r="D803" s="14" t="str">
        <f>'04_MOTOR_CÁLCULO'!D583</f>
        <v>MANUTENÇÃO, REPA</v>
      </c>
      <c r="E803" s="78" t="str">
        <f>'04_MOTOR_CÁLCULO'!N583</f>
        <v>CNAE-STG</v>
      </c>
      <c r="F803" s="55">
        <f>'04_MOTOR_CÁLCULO'!K583</f>
        <v>1</v>
      </c>
      <c r="G803" s="56">
        <f>'04_MOTOR_CÁLCULO'!K583-1</f>
        <v>0</v>
      </c>
      <c r="H803" s="57" t="str">
        <f>'04_MOTOR_CÁLCULO'!M583</f>
        <v>Médio</v>
      </c>
    </row>
    <row r="804" spans="1:8" ht="13.5" customHeight="1" x14ac:dyDescent="0.25">
      <c r="A804" s="24" t="str">
        <f>'04_MOTOR_CÁLCULO'!A584</f>
        <v>3316-3/01</v>
      </c>
      <c r="B804" s="38" t="str">
        <f>'04_MOTOR_CÁLCULO'!B584</f>
        <v>C</v>
      </c>
      <c r="C804" s="100" t="str">
        <f>'04_MOTOR_CÁLCULO'!C584</f>
        <v>Manutenção e reparação de aeronaves, exceto a manutenção na pista</v>
      </c>
      <c r="D804" s="25" t="str">
        <f>'04_MOTOR_CÁLCULO'!D584</f>
        <v>MANUTENÇÃO, REPA</v>
      </c>
      <c r="E804" s="78" t="str">
        <f>'04_MOTOR_CÁLCULO'!N584</f>
        <v>CNAE-STG</v>
      </c>
      <c r="F804" s="55">
        <f>'04_MOTOR_CÁLCULO'!K584</f>
        <v>1</v>
      </c>
      <c r="G804" s="56">
        <f>'04_MOTOR_CÁLCULO'!K584-1</f>
        <v>0</v>
      </c>
      <c r="H804" s="57" t="str">
        <f>'04_MOTOR_CÁLCULO'!M584</f>
        <v>Médio</v>
      </c>
    </row>
    <row r="805" spans="1:8" ht="13.5" customHeight="1" x14ac:dyDescent="0.25">
      <c r="A805" s="13" t="str">
        <f>'04_MOTOR_CÁLCULO'!A585</f>
        <v>3316-3/02</v>
      </c>
      <c r="B805" s="49" t="str">
        <f>'04_MOTOR_CÁLCULO'!B585</f>
        <v>C</v>
      </c>
      <c r="C805" s="101" t="str">
        <f>'04_MOTOR_CÁLCULO'!C585</f>
        <v>Manutenção de aeronaves na pista</v>
      </c>
      <c r="D805" s="14" t="str">
        <f>'04_MOTOR_CÁLCULO'!D585</f>
        <v>MANUTENÇÃO, REPA</v>
      </c>
      <c r="E805" s="78" t="str">
        <f>'04_MOTOR_CÁLCULO'!N585</f>
        <v>CNAE-STG</v>
      </c>
      <c r="F805" s="55">
        <f>'04_MOTOR_CÁLCULO'!K585</f>
        <v>1</v>
      </c>
      <c r="G805" s="56">
        <f>'04_MOTOR_CÁLCULO'!K585-1</f>
        <v>0</v>
      </c>
      <c r="H805" s="57" t="str">
        <f>'04_MOTOR_CÁLCULO'!M585</f>
        <v>Médio</v>
      </c>
    </row>
    <row r="806" spans="1:8" ht="13.5" customHeight="1" x14ac:dyDescent="0.25">
      <c r="A806" s="24" t="str">
        <f>'04_MOTOR_CÁLCULO'!A586</f>
        <v>3317-1/01</v>
      </c>
      <c r="B806" s="38" t="str">
        <f>'04_MOTOR_CÁLCULO'!B586</f>
        <v>C</v>
      </c>
      <c r="C806" s="100" t="str">
        <f>'04_MOTOR_CÁLCULO'!C586</f>
        <v>Manutenção e reparação de embarcações e estruturas flutuantes</v>
      </c>
      <c r="D806" s="25" t="str">
        <f>'04_MOTOR_CÁLCULO'!D586</f>
        <v>MANUTENÇÃO, REPA</v>
      </c>
      <c r="E806" s="78" t="str">
        <f>'04_MOTOR_CÁLCULO'!N586</f>
        <v>CNAE-STG</v>
      </c>
      <c r="F806" s="55">
        <f>'04_MOTOR_CÁLCULO'!K586</f>
        <v>1</v>
      </c>
      <c r="G806" s="56">
        <f>'04_MOTOR_CÁLCULO'!K586-1</f>
        <v>0</v>
      </c>
      <c r="H806" s="57" t="str">
        <f>'04_MOTOR_CÁLCULO'!M586</f>
        <v>Médio</v>
      </c>
    </row>
    <row r="807" spans="1:8" ht="13.5" customHeight="1" x14ac:dyDescent="0.25">
      <c r="A807" s="13" t="str">
        <f>'04_MOTOR_CÁLCULO'!A587</f>
        <v>3317-1/02</v>
      </c>
      <c r="B807" s="49" t="str">
        <f>'04_MOTOR_CÁLCULO'!B587</f>
        <v>C</v>
      </c>
      <c r="C807" s="101" t="str">
        <f>'04_MOTOR_CÁLCULO'!C587</f>
        <v>Manutenção e reparação de embarcações para esporte e lazer</v>
      </c>
      <c r="D807" s="14" t="str">
        <f>'04_MOTOR_CÁLCULO'!D587</f>
        <v>MANUTENÇÃO, REPA</v>
      </c>
      <c r="E807" s="78" t="str">
        <f>'04_MOTOR_CÁLCULO'!N587</f>
        <v>CNAE-STG</v>
      </c>
      <c r="F807" s="55">
        <f>'04_MOTOR_CÁLCULO'!K587</f>
        <v>1</v>
      </c>
      <c r="G807" s="56">
        <f>'04_MOTOR_CÁLCULO'!K587-1</f>
        <v>0</v>
      </c>
      <c r="H807" s="57" t="str">
        <f>'04_MOTOR_CÁLCULO'!M587</f>
        <v>Médio</v>
      </c>
    </row>
    <row r="808" spans="1:8" ht="13.5" customHeight="1" x14ac:dyDescent="0.25">
      <c r="A808" s="24" t="str">
        <f>'04_MOTOR_CÁLCULO'!A588</f>
        <v>3319-8/00</v>
      </c>
      <c r="B808" s="38" t="str">
        <f>'04_MOTOR_CÁLCULO'!B588</f>
        <v>C</v>
      </c>
      <c r="C808" s="100" t="str">
        <f>'04_MOTOR_CÁLCULO'!C588</f>
        <v>Manutenção e reparação de equipamentos e produtos não especificados anteriormente</v>
      </c>
      <c r="D808" s="25" t="str">
        <f>'04_MOTOR_CÁLCULO'!D588</f>
        <v>MANUTENÇÃO, REPA</v>
      </c>
      <c r="E808" s="78" t="str">
        <f>'04_MOTOR_CÁLCULO'!N588</f>
        <v>CNAE-STG</v>
      </c>
      <c r="F808" s="55">
        <f>'04_MOTOR_CÁLCULO'!K588</f>
        <v>1</v>
      </c>
      <c r="G808" s="56">
        <f>'04_MOTOR_CÁLCULO'!K588-1</f>
        <v>0</v>
      </c>
      <c r="H808" s="57" t="str">
        <f>'04_MOTOR_CÁLCULO'!M588</f>
        <v>Médio</v>
      </c>
    </row>
    <row r="809" spans="1:8" ht="13.5" customHeight="1" x14ac:dyDescent="0.25">
      <c r="A809" s="13" t="str">
        <f>'04_MOTOR_CÁLCULO'!A589</f>
        <v>3321-0/00</v>
      </c>
      <c r="B809" s="49" t="str">
        <f>'04_MOTOR_CÁLCULO'!B589</f>
        <v>C</v>
      </c>
      <c r="C809" s="101" t="str">
        <f>'04_MOTOR_CÁLCULO'!C589</f>
        <v>Instalação de máquinas e equipamentos industriais</v>
      </c>
      <c r="D809" s="14" t="str">
        <f>'04_MOTOR_CÁLCULO'!D589</f>
        <v>MANUTENÇÃO, REPA</v>
      </c>
      <c r="E809" s="78" t="str">
        <f>'04_MOTOR_CÁLCULO'!N589</f>
        <v>CNAE-STG</v>
      </c>
      <c r="F809" s="55">
        <f>'04_MOTOR_CÁLCULO'!K589</f>
        <v>1</v>
      </c>
      <c r="G809" s="56">
        <f>'04_MOTOR_CÁLCULO'!K589-1</f>
        <v>0</v>
      </c>
      <c r="H809" s="57" t="str">
        <f>'04_MOTOR_CÁLCULO'!M589</f>
        <v>Médio</v>
      </c>
    </row>
    <row r="810" spans="1:8" ht="13.5" customHeight="1" x14ac:dyDescent="0.25">
      <c r="A810" s="24" t="str">
        <f>'04_MOTOR_CÁLCULO'!A590</f>
        <v>3329-5/01</v>
      </c>
      <c r="B810" s="38" t="str">
        <f>'04_MOTOR_CÁLCULO'!B590</f>
        <v>C</v>
      </c>
      <c r="C810" s="100" t="str">
        <f>'04_MOTOR_CÁLCULO'!C590</f>
        <v>Serviços de montagem de móveis de qualquer material</v>
      </c>
      <c r="D810" s="25" t="str">
        <f>'04_MOTOR_CÁLCULO'!D590</f>
        <v>MANUTENÇÃO, REPA</v>
      </c>
      <c r="E810" s="78" t="str">
        <f>'04_MOTOR_CÁLCULO'!N590</f>
        <v>CNAE-STG</v>
      </c>
      <c r="F810" s="55">
        <f>'04_MOTOR_CÁLCULO'!K590</f>
        <v>1</v>
      </c>
      <c r="G810" s="56">
        <f>'04_MOTOR_CÁLCULO'!K590-1</f>
        <v>0</v>
      </c>
      <c r="H810" s="57" t="str">
        <f>'04_MOTOR_CÁLCULO'!M590</f>
        <v>Médio</v>
      </c>
    </row>
    <row r="811" spans="1:8" ht="13.5" customHeight="1" x14ac:dyDescent="0.25">
      <c r="A811" s="13" t="str">
        <f>'04_MOTOR_CÁLCULO'!A591</f>
        <v>3329-5/99</v>
      </c>
      <c r="B811" s="49" t="str">
        <f>'04_MOTOR_CÁLCULO'!B591</f>
        <v>C</v>
      </c>
      <c r="C811" s="101" t="str">
        <f>'04_MOTOR_CÁLCULO'!C591</f>
        <v>Instalação de outros equipamentos não especificados anteriormente</v>
      </c>
      <c r="D811" s="14" t="str">
        <f>'04_MOTOR_CÁLCULO'!D591</f>
        <v>MANUTENÇÃO, REPA</v>
      </c>
      <c r="E811" s="78" t="str">
        <f>'04_MOTOR_CÁLCULO'!N591</f>
        <v>CNAE-STG</v>
      </c>
      <c r="F811" s="55">
        <f>'04_MOTOR_CÁLCULO'!K591</f>
        <v>1</v>
      </c>
      <c r="G811" s="56">
        <f>'04_MOTOR_CÁLCULO'!K591-1</f>
        <v>0</v>
      </c>
      <c r="H811" s="57" t="str">
        <f>'04_MOTOR_CÁLCULO'!M591</f>
        <v>Médio</v>
      </c>
    </row>
    <row r="812" spans="1:8" ht="13.5" customHeight="1" x14ac:dyDescent="0.25">
      <c r="A812" s="24" t="str">
        <f>'04_MOTOR_CÁLCULO'!A600</f>
        <v>3600-6/01</v>
      </c>
      <c r="B812" s="38" t="str">
        <f>'04_MOTOR_CÁLCULO'!B600</f>
        <v>E</v>
      </c>
      <c r="C812" s="100" t="str">
        <f>'04_MOTOR_CÁLCULO'!C600</f>
        <v>Captação, tratamento e distribuição de água</v>
      </c>
      <c r="D812" s="25" t="str">
        <f>'04_MOTOR_CÁLCULO'!D600</f>
        <v>CAPTAÇÃO, TRATAM</v>
      </c>
      <c r="E812" s="78" t="str">
        <f>'04_MOTOR_CÁLCULO'!N600</f>
        <v>CNAE-STG</v>
      </c>
      <c r="F812" s="55">
        <f>'04_MOTOR_CÁLCULO'!K600</f>
        <v>1</v>
      </c>
      <c r="G812" s="56">
        <f>'04_MOTOR_CÁLCULO'!K600-1</f>
        <v>0</v>
      </c>
      <c r="H812" s="57" t="str">
        <f>'04_MOTOR_CÁLCULO'!M600</f>
        <v>Médio</v>
      </c>
    </row>
    <row r="813" spans="1:8" ht="13.5" customHeight="1" x14ac:dyDescent="0.25">
      <c r="A813" s="13" t="str">
        <f>'04_MOTOR_CÁLCULO'!A601</f>
        <v>3600-6/02</v>
      </c>
      <c r="B813" s="49" t="str">
        <f>'04_MOTOR_CÁLCULO'!B601</f>
        <v>E</v>
      </c>
      <c r="C813" s="101" t="str">
        <f>'04_MOTOR_CÁLCULO'!C601</f>
        <v>Distribuição de água por caminhões</v>
      </c>
      <c r="D813" s="14" t="str">
        <f>'04_MOTOR_CÁLCULO'!D601</f>
        <v>CAPTAÇÃO, TRATAM</v>
      </c>
      <c r="E813" s="78" t="str">
        <f>'04_MOTOR_CÁLCULO'!N601</f>
        <v>CNAE-STG</v>
      </c>
      <c r="F813" s="55">
        <f>'04_MOTOR_CÁLCULO'!K601</f>
        <v>1</v>
      </c>
      <c r="G813" s="56">
        <f>'04_MOTOR_CÁLCULO'!K601-1</f>
        <v>0</v>
      </c>
      <c r="H813" s="57" t="str">
        <f>'04_MOTOR_CÁLCULO'!M601</f>
        <v>Médio</v>
      </c>
    </row>
    <row r="814" spans="1:8" ht="13.5" customHeight="1" x14ac:dyDescent="0.25">
      <c r="A814" s="24" t="str">
        <f>'04_MOTOR_CÁLCULO'!A669</f>
        <v>4520-0/01</v>
      </c>
      <c r="B814" s="38" t="str">
        <f>'04_MOTOR_CÁLCULO'!B669</f>
        <v>G</v>
      </c>
      <c r="C814" s="100" t="str">
        <f>'04_MOTOR_CÁLCULO'!C669</f>
        <v>Serviços de manutenção e reparação mecânica de veículos automotores</v>
      </c>
      <c r="D814" s="25" t="str">
        <f>'04_MOTOR_CÁLCULO'!D669</f>
        <v>COMÉRCIO E REPAR</v>
      </c>
      <c r="E814" s="78" t="str">
        <f>'04_MOTOR_CÁLCULO'!N669</f>
        <v>CNAE-STG</v>
      </c>
      <c r="F814" s="55">
        <f>'04_MOTOR_CÁLCULO'!K669</f>
        <v>1</v>
      </c>
      <c r="G814" s="56">
        <f>'04_MOTOR_CÁLCULO'!K669-1</f>
        <v>0</v>
      </c>
      <c r="H814" s="57" t="str">
        <f>'04_MOTOR_CÁLCULO'!M669</f>
        <v>Médio</v>
      </c>
    </row>
    <row r="815" spans="1:8" ht="13.5" customHeight="1" x14ac:dyDescent="0.25">
      <c r="A815" s="13" t="str">
        <f>'04_MOTOR_CÁLCULO'!A670</f>
        <v>4520-0/02</v>
      </c>
      <c r="B815" s="49" t="str">
        <f>'04_MOTOR_CÁLCULO'!B670</f>
        <v>G</v>
      </c>
      <c r="C815" s="101" t="str">
        <f>'04_MOTOR_CÁLCULO'!C670</f>
        <v>Serviços de lanternagem ou funilaria e pintura de veículos automotores</v>
      </c>
      <c r="D815" s="14" t="str">
        <f>'04_MOTOR_CÁLCULO'!D670</f>
        <v>COMÉRCIO E REPAR</v>
      </c>
      <c r="E815" s="78" t="str">
        <f>'04_MOTOR_CÁLCULO'!N670</f>
        <v>CNAE-STG</v>
      </c>
      <c r="F815" s="55">
        <f>'04_MOTOR_CÁLCULO'!K670</f>
        <v>1</v>
      </c>
      <c r="G815" s="56">
        <f>'04_MOTOR_CÁLCULO'!K670-1</f>
        <v>0</v>
      </c>
      <c r="H815" s="57" t="str">
        <f>'04_MOTOR_CÁLCULO'!M670</f>
        <v>Médio</v>
      </c>
    </row>
    <row r="816" spans="1:8" ht="13.5" customHeight="1" x14ac:dyDescent="0.25">
      <c r="A816" s="24" t="str">
        <f>'04_MOTOR_CÁLCULO'!A671</f>
        <v>4520-0/03</v>
      </c>
      <c r="B816" s="38" t="str">
        <f>'04_MOTOR_CÁLCULO'!B671</f>
        <v>G</v>
      </c>
      <c r="C816" s="100" t="str">
        <f>'04_MOTOR_CÁLCULO'!C671</f>
        <v>Serviços de manutenção e reparação elétrica de veículos automotores</v>
      </c>
      <c r="D816" s="25" t="str">
        <f>'04_MOTOR_CÁLCULO'!D671</f>
        <v>COMÉRCIO E REPAR</v>
      </c>
      <c r="E816" s="78" t="str">
        <f>'04_MOTOR_CÁLCULO'!N671</f>
        <v>CNAE-STG</v>
      </c>
      <c r="F816" s="55">
        <f>'04_MOTOR_CÁLCULO'!K671</f>
        <v>1</v>
      </c>
      <c r="G816" s="56">
        <f>'04_MOTOR_CÁLCULO'!K671-1</f>
        <v>0</v>
      </c>
      <c r="H816" s="57" t="str">
        <f>'04_MOTOR_CÁLCULO'!M671</f>
        <v>Médio</v>
      </c>
    </row>
    <row r="817" spans="1:8" ht="13.5" customHeight="1" x14ac:dyDescent="0.25">
      <c r="A817" s="13" t="str">
        <f>'04_MOTOR_CÁLCULO'!A672</f>
        <v>4520-0/04</v>
      </c>
      <c r="B817" s="49" t="str">
        <f>'04_MOTOR_CÁLCULO'!B672</f>
        <v>G</v>
      </c>
      <c r="C817" s="101" t="str">
        <f>'04_MOTOR_CÁLCULO'!C672</f>
        <v>Serviços de alinhamento e balanceamento de veículos automotores</v>
      </c>
      <c r="D817" s="14" t="str">
        <f>'04_MOTOR_CÁLCULO'!D672</f>
        <v>COMÉRCIO E REPAR</v>
      </c>
      <c r="E817" s="78" t="str">
        <f>'04_MOTOR_CÁLCULO'!N672</f>
        <v>CNAE-STG</v>
      </c>
      <c r="F817" s="55">
        <f>'04_MOTOR_CÁLCULO'!K672</f>
        <v>1</v>
      </c>
      <c r="G817" s="56">
        <f>'04_MOTOR_CÁLCULO'!K672-1</f>
        <v>0</v>
      </c>
      <c r="H817" s="57" t="str">
        <f>'04_MOTOR_CÁLCULO'!M672</f>
        <v>Médio</v>
      </c>
    </row>
    <row r="818" spans="1:8" ht="13.5" customHeight="1" x14ac:dyDescent="0.25">
      <c r="A818" s="24" t="str">
        <f>'04_MOTOR_CÁLCULO'!A673</f>
        <v>4520-0/05</v>
      </c>
      <c r="B818" s="38" t="str">
        <f>'04_MOTOR_CÁLCULO'!B673</f>
        <v>G</v>
      </c>
      <c r="C818" s="100" t="str">
        <f>'04_MOTOR_CÁLCULO'!C673</f>
        <v>Serviços de lavagem, lubrificação e polimento de veículos automotores</v>
      </c>
      <c r="D818" s="25" t="str">
        <f>'04_MOTOR_CÁLCULO'!D673</f>
        <v>COMÉRCIO E REPAR</v>
      </c>
      <c r="E818" s="78" t="str">
        <f>'04_MOTOR_CÁLCULO'!N673</f>
        <v>CNAE-STG</v>
      </c>
      <c r="F818" s="55">
        <f>'04_MOTOR_CÁLCULO'!K673</f>
        <v>1</v>
      </c>
      <c r="G818" s="56">
        <f>'04_MOTOR_CÁLCULO'!K673-1</f>
        <v>0</v>
      </c>
      <c r="H818" s="57" t="str">
        <f>'04_MOTOR_CÁLCULO'!M673</f>
        <v>Médio</v>
      </c>
    </row>
    <row r="819" spans="1:8" ht="13.5" customHeight="1" x14ac:dyDescent="0.25">
      <c r="A819" s="13" t="str">
        <f>'04_MOTOR_CÁLCULO'!A674</f>
        <v>4520-0/06</v>
      </c>
      <c r="B819" s="49" t="str">
        <f>'04_MOTOR_CÁLCULO'!B674</f>
        <v>G</v>
      </c>
      <c r="C819" s="101" t="str">
        <f>'04_MOTOR_CÁLCULO'!C674</f>
        <v>Serviços de borracharia para veículos automotores</v>
      </c>
      <c r="D819" s="14" t="str">
        <f>'04_MOTOR_CÁLCULO'!D674</f>
        <v>COMÉRCIO E REPAR</v>
      </c>
      <c r="E819" s="78" t="str">
        <f>'04_MOTOR_CÁLCULO'!N674</f>
        <v>CNAE-STG</v>
      </c>
      <c r="F819" s="55">
        <f>'04_MOTOR_CÁLCULO'!K674</f>
        <v>1</v>
      </c>
      <c r="G819" s="56">
        <f>'04_MOTOR_CÁLCULO'!K674-1</f>
        <v>0</v>
      </c>
      <c r="H819" s="57" t="str">
        <f>'04_MOTOR_CÁLCULO'!M674</f>
        <v>Médio</v>
      </c>
    </row>
    <row r="820" spans="1:8" ht="13.5" customHeight="1" x14ac:dyDescent="0.25">
      <c r="A820" s="24" t="str">
        <f>'04_MOTOR_CÁLCULO'!A675</f>
        <v>4520-0/07</v>
      </c>
      <c r="B820" s="38" t="str">
        <f>'04_MOTOR_CÁLCULO'!B675</f>
        <v>G</v>
      </c>
      <c r="C820" s="100" t="str">
        <f>'04_MOTOR_CÁLCULO'!C675</f>
        <v>Serviços de instalação, manutenção e reparação de acessórios para veículos automotores</v>
      </c>
      <c r="D820" s="25" t="str">
        <f>'04_MOTOR_CÁLCULO'!D675</f>
        <v>COMÉRCIO E REPAR</v>
      </c>
      <c r="E820" s="78" t="str">
        <f>'04_MOTOR_CÁLCULO'!N675</f>
        <v>CNAE-STG</v>
      </c>
      <c r="F820" s="55">
        <f>'04_MOTOR_CÁLCULO'!K675</f>
        <v>1</v>
      </c>
      <c r="G820" s="56">
        <f>'04_MOTOR_CÁLCULO'!K675-1</f>
        <v>0</v>
      </c>
      <c r="H820" s="57" t="str">
        <f>'04_MOTOR_CÁLCULO'!M675</f>
        <v>Médio</v>
      </c>
    </row>
    <row r="821" spans="1:8" ht="13.5" customHeight="1" x14ac:dyDescent="0.25">
      <c r="A821" s="13" t="str">
        <f>'04_MOTOR_CÁLCULO'!A676</f>
        <v>4520-0/08</v>
      </c>
      <c r="B821" s="49" t="str">
        <f>'04_MOTOR_CÁLCULO'!B676</f>
        <v>G</v>
      </c>
      <c r="C821" s="101" t="str">
        <f>'04_MOTOR_CÁLCULO'!C676</f>
        <v>Serviços de capotaria</v>
      </c>
      <c r="D821" s="14" t="str">
        <f>'04_MOTOR_CÁLCULO'!D676</f>
        <v>COMÉRCIO E REPAR</v>
      </c>
      <c r="E821" s="78" t="str">
        <f>'04_MOTOR_CÁLCULO'!N676</f>
        <v>CNAE-STG</v>
      </c>
      <c r="F821" s="55">
        <f>'04_MOTOR_CÁLCULO'!K676</f>
        <v>1</v>
      </c>
      <c r="G821" s="56">
        <f>'04_MOTOR_CÁLCULO'!K676-1</f>
        <v>0</v>
      </c>
      <c r="H821" s="57" t="str">
        <f>'04_MOTOR_CÁLCULO'!M676</f>
        <v>Médio</v>
      </c>
    </row>
    <row r="822" spans="1:8" ht="13.5" customHeight="1" x14ac:dyDescent="0.25">
      <c r="A822" s="24" t="str">
        <f>'04_MOTOR_CÁLCULO'!A683</f>
        <v>4541-2/01</v>
      </c>
      <c r="B822" s="38" t="str">
        <f>'04_MOTOR_CÁLCULO'!B683</f>
        <v>G</v>
      </c>
      <c r="C822" s="100" t="str">
        <f>'04_MOTOR_CÁLCULO'!C683</f>
        <v>Comércio por atacado de motocicletas e motonetas</v>
      </c>
      <c r="D822" s="25" t="str">
        <f>'04_MOTOR_CÁLCULO'!D683</f>
        <v>COMÉRCIO E REPAR</v>
      </c>
      <c r="E822" s="78" t="str">
        <f>'04_MOTOR_CÁLCULO'!N683</f>
        <v>CNAE-STG</v>
      </c>
      <c r="F822" s="55">
        <f>'04_MOTOR_CÁLCULO'!K683</f>
        <v>1</v>
      </c>
      <c r="G822" s="56">
        <f>'04_MOTOR_CÁLCULO'!K683-1</f>
        <v>0</v>
      </c>
      <c r="H822" s="57" t="str">
        <f>'04_MOTOR_CÁLCULO'!M683</f>
        <v>Médio</v>
      </c>
    </row>
    <row r="823" spans="1:8" ht="13.5" customHeight="1" x14ac:dyDescent="0.25">
      <c r="A823" s="13" t="str">
        <f>'04_MOTOR_CÁLCULO'!A684</f>
        <v>4541-2/02</v>
      </c>
      <c r="B823" s="49" t="str">
        <f>'04_MOTOR_CÁLCULO'!B684</f>
        <v>G</v>
      </c>
      <c r="C823" s="101" t="str">
        <f>'04_MOTOR_CÁLCULO'!C684</f>
        <v>Comércio por atacado de peças e acessórios para motocicletas e motonetas</v>
      </c>
      <c r="D823" s="14" t="str">
        <f>'04_MOTOR_CÁLCULO'!D684</f>
        <v>COMÉRCIO E REPAR</v>
      </c>
      <c r="E823" s="78" t="str">
        <f>'04_MOTOR_CÁLCULO'!N684</f>
        <v>CNAE-STG</v>
      </c>
      <c r="F823" s="55">
        <f>'04_MOTOR_CÁLCULO'!K684</f>
        <v>1</v>
      </c>
      <c r="G823" s="56">
        <f>'04_MOTOR_CÁLCULO'!K684-1</f>
        <v>0</v>
      </c>
      <c r="H823" s="57" t="str">
        <f>'04_MOTOR_CÁLCULO'!M684</f>
        <v>Médio</v>
      </c>
    </row>
    <row r="824" spans="1:8" ht="13.5" customHeight="1" x14ac:dyDescent="0.25">
      <c r="A824" s="24" t="str">
        <f>'04_MOTOR_CÁLCULO'!A685</f>
        <v>4541-2/03</v>
      </c>
      <c r="B824" s="38" t="str">
        <f>'04_MOTOR_CÁLCULO'!B685</f>
        <v>G</v>
      </c>
      <c r="C824" s="100" t="str">
        <f>'04_MOTOR_CÁLCULO'!C685</f>
        <v>Comércio a varejo de motocicletas e motonetas novas</v>
      </c>
      <c r="D824" s="25" t="str">
        <f>'04_MOTOR_CÁLCULO'!D685</f>
        <v>COMÉRCIO E REPAR</v>
      </c>
      <c r="E824" s="78" t="str">
        <f>'04_MOTOR_CÁLCULO'!N685</f>
        <v>CNAE-STG</v>
      </c>
      <c r="F824" s="55">
        <f>'04_MOTOR_CÁLCULO'!K685</f>
        <v>1</v>
      </c>
      <c r="G824" s="56">
        <f>'04_MOTOR_CÁLCULO'!K685-1</f>
        <v>0</v>
      </c>
      <c r="H824" s="57" t="str">
        <f>'04_MOTOR_CÁLCULO'!M685</f>
        <v>Médio</v>
      </c>
    </row>
    <row r="825" spans="1:8" ht="13.5" customHeight="1" x14ac:dyDescent="0.25">
      <c r="A825" s="13" t="str">
        <f>'04_MOTOR_CÁLCULO'!A686</f>
        <v>4541-2/04</v>
      </c>
      <c r="B825" s="49" t="str">
        <f>'04_MOTOR_CÁLCULO'!B686</f>
        <v>G</v>
      </c>
      <c r="C825" s="101" t="str">
        <f>'04_MOTOR_CÁLCULO'!C686</f>
        <v>Comércio a varejo de motocicletas e motonetas usadas</v>
      </c>
      <c r="D825" s="14" t="str">
        <f>'04_MOTOR_CÁLCULO'!D686</f>
        <v>COMÉRCIO E REPAR</v>
      </c>
      <c r="E825" s="78" t="str">
        <f>'04_MOTOR_CÁLCULO'!N686</f>
        <v>CNAE-STG</v>
      </c>
      <c r="F825" s="55">
        <f>'04_MOTOR_CÁLCULO'!K686</f>
        <v>1</v>
      </c>
      <c r="G825" s="56">
        <f>'04_MOTOR_CÁLCULO'!K686-1</f>
        <v>0</v>
      </c>
      <c r="H825" s="57" t="str">
        <f>'04_MOTOR_CÁLCULO'!M686</f>
        <v>Médio</v>
      </c>
    </row>
    <row r="826" spans="1:8" ht="13.5" customHeight="1" x14ac:dyDescent="0.25">
      <c r="A826" s="24" t="str">
        <f>'04_MOTOR_CÁLCULO'!A687</f>
        <v>4541-2/06</v>
      </c>
      <c r="B826" s="38" t="str">
        <f>'04_MOTOR_CÁLCULO'!B687</f>
        <v>G</v>
      </c>
      <c r="C826" s="100" t="str">
        <f>'04_MOTOR_CÁLCULO'!C687</f>
        <v>Comércio a varejo de peças e acessórios novos para motocicletas e motonetas</v>
      </c>
      <c r="D826" s="25" t="str">
        <f>'04_MOTOR_CÁLCULO'!D687</f>
        <v>COMÉRCIO E REPAR</v>
      </c>
      <c r="E826" s="78" t="str">
        <f>'04_MOTOR_CÁLCULO'!N687</f>
        <v>CNAE-STG</v>
      </c>
      <c r="F826" s="55">
        <f>'04_MOTOR_CÁLCULO'!K687</f>
        <v>1</v>
      </c>
      <c r="G826" s="56">
        <f>'04_MOTOR_CÁLCULO'!K687-1</f>
        <v>0</v>
      </c>
      <c r="H826" s="57" t="str">
        <f>'04_MOTOR_CÁLCULO'!M687</f>
        <v>Médio</v>
      </c>
    </row>
    <row r="827" spans="1:8" ht="13.5" customHeight="1" x14ac:dyDescent="0.25">
      <c r="A827" s="13" t="str">
        <f>'04_MOTOR_CÁLCULO'!A688</f>
        <v>4541-2/07</v>
      </c>
      <c r="B827" s="49" t="str">
        <f>'04_MOTOR_CÁLCULO'!B688</f>
        <v>G</v>
      </c>
      <c r="C827" s="101" t="str">
        <f>'04_MOTOR_CÁLCULO'!C688</f>
        <v>Comércio a varejo de peças e acessórios usados para motocicletas e motonetas</v>
      </c>
      <c r="D827" s="14" t="str">
        <f>'04_MOTOR_CÁLCULO'!D688</f>
        <v>COMÉRCIO E REPAR</v>
      </c>
      <c r="E827" s="78" t="str">
        <f>'04_MOTOR_CÁLCULO'!N688</f>
        <v>CNAE-STG</v>
      </c>
      <c r="F827" s="55">
        <f>'04_MOTOR_CÁLCULO'!K688</f>
        <v>1</v>
      </c>
      <c r="G827" s="56">
        <f>'04_MOTOR_CÁLCULO'!K688-1</f>
        <v>0</v>
      </c>
      <c r="H827" s="57" t="str">
        <f>'04_MOTOR_CÁLCULO'!M688</f>
        <v>Médio</v>
      </c>
    </row>
    <row r="828" spans="1:8" ht="13.5" customHeight="1" x14ac:dyDescent="0.25">
      <c r="A828" s="24" t="str">
        <f>'04_MOTOR_CÁLCULO'!A689</f>
        <v>4542-1/01</v>
      </c>
      <c r="B828" s="38" t="str">
        <f>'04_MOTOR_CÁLCULO'!B689</f>
        <v>G</v>
      </c>
      <c r="C828" s="100" t="str">
        <f>'04_MOTOR_CÁLCULO'!C689</f>
        <v>Representantes comerciais e agentes do comércio de motocicletas e motonetas, peças e acessórios</v>
      </c>
      <c r="D828" s="25" t="str">
        <f>'04_MOTOR_CÁLCULO'!D689</f>
        <v>COMÉRCIO E REPAR</v>
      </c>
      <c r="E828" s="78" t="str">
        <f>'04_MOTOR_CÁLCULO'!N689</f>
        <v>CNAE-STG</v>
      </c>
      <c r="F828" s="55">
        <f>'04_MOTOR_CÁLCULO'!K689</f>
        <v>1</v>
      </c>
      <c r="G828" s="56">
        <f>'04_MOTOR_CÁLCULO'!K689-1</f>
        <v>0</v>
      </c>
      <c r="H828" s="57" t="str">
        <f>'04_MOTOR_CÁLCULO'!M689</f>
        <v>Médio</v>
      </c>
    </row>
    <row r="829" spans="1:8" ht="13.5" customHeight="1" x14ac:dyDescent="0.25">
      <c r="A829" s="13" t="str">
        <f>'04_MOTOR_CÁLCULO'!A690</f>
        <v>4542-1/02</v>
      </c>
      <c r="B829" s="49" t="str">
        <f>'04_MOTOR_CÁLCULO'!B690</f>
        <v>G</v>
      </c>
      <c r="C829" s="101" t="str">
        <f>'04_MOTOR_CÁLCULO'!C690</f>
        <v>Comércio sob consignação de motocicletas e motonetas</v>
      </c>
      <c r="D829" s="14" t="str">
        <f>'04_MOTOR_CÁLCULO'!D690</f>
        <v>COMÉRCIO E REPAR</v>
      </c>
      <c r="E829" s="78" t="str">
        <f>'04_MOTOR_CÁLCULO'!N690</f>
        <v>CNAE-STG</v>
      </c>
      <c r="F829" s="55">
        <f>'04_MOTOR_CÁLCULO'!K690</f>
        <v>1</v>
      </c>
      <c r="G829" s="56">
        <f>'04_MOTOR_CÁLCULO'!K690-1</f>
        <v>0</v>
      </c>
      <c r="H829" s="57" t="str">
        <f>'04_MOTOR_CÁLCULO'!M690</f>
        <v>Médio</v>
      </c>
    </row>
    <row r="830" spans="1:8" ht="13.5" customHeight="1" x14ac:dyDescent="0.25">
      <c r="A830" s="24" t="str">
        <f>'04_MOTOR_CÁLCULO'!A691</f>
        <v>4543-9/00</v>
      </c>
      <c r="B830" s="38" t="str">
        <f>'04_MOTOR_CÁLCULO'!B691</f>
        <v>G</v>
      </c>
      <c r="C830" s="100" t="str">
        <f>'04_MOTOR_CÁLCULO'!C691</f>
        <v>Manutenção e reparação de motocicletas e motonetas</v>
      </c>
      <c r="D830" s="25" t="str">
        <f>'04_MOTOR_CÁLCULO'!D691</f>
        <v>COMÉRCIO E REPAR</v>
      </c>
      <c r="E830" s="78" t="str">
        <f>'04_MOTOR_CÁLCULO'!N691</f>
        <v>CNAE-STG</v>
      </c>
      <c r="F830" s="55">
        <f>'04_MOTOR_CÁLCULO'!K691</f>
        <v>1</v>
      </c>
      <c r="G830" s="56">
        <f>'04_MOTOR_CÁLCULO'!K691-1</f>
        <v>0</v>
      </c>
      <c r="H830" s="57" t="str">
        <f>'04_MOTOR_CÁLCULO'!M691</f>
        <v>Médio</v>
      </c>
    </row>
    <row r="831" spans="1:8" ht="13.5" customHeight="1" x14ac:dyDescent="0.25">
      <c r="A831" s="13" t="str">
        <f>'04_MOTOR_CÁLCULO'!A789</f>
        <v>4681-8/01</v>
      </c>
      <c r="B831" s="49" t="str">
        <f>'04_MOTOR_CÁLCULO'!B789</f>
        <v>G</v>
      </c>
      <c r="C831" s="101" t="str">
        <f>'04_MOTOR_CÁLCULO'!C789</f>
        <v>Comércio atacadista de álcool carburante, biodiesel, gasolina e demais derivados de petróleo, exceto lubrificantes, não realizado por transportador retalhista (TRR)</v>
      </c>
      <c r="D831" s="14" t="str">
        <f>'04_MOTOR_CÁLCULO'!D789</f>
        <v>COMÉRCIO POR ATA</v>
      </c>
      <c r="E831" s="78" t="str">
        <f>'04_MOTOR_CÁLCULO'!N789</f>
        <v>CNAE-STG</v>
      </c>
      <c r="F831" s="55">
        <f>'04_MOTOR_CÁLCULO'!K789</f>
        <v>1</v>
      </c>
      <c r="G831" s="56">
        <f>'04_MOTOR_CÁLCULO'!K789-1</f>
        <v>0</v>
      </c>
      <c r="H831" s="57" t="str">
        <f>'04_MOTOR_CÁLCULO'!M789</f>
        <v>Médio</v>
      </c>
    </row>
    <row r="832" spans="1:8" ht="13.5" customHeight="1" x14ac:dyDescent="0.25">
      <c r="A832" s="24" t="str">
        <f>'04_MOTOR_CÁLCULO'!A790</f>
        <v>4681-8/02</v>
      </c>
      <c r="B832" s="38" t="str">
        <f>'04_MOTOR_CÁLCULO'!B790</f>
        <v>G</v>
      </c>
      <c r="C832" s="100" t="str">
        <f>'04_MOTOR_CÁLCULO'!C790</f>
        <v>Comércio atacadista de combustíveis realizado por transportador retalhista (TRR)</v>
      </c>
      <c r="D832" s="25" t="str">
        <f>'04_MOTOR_CÁLCULO'!D790</f>
        <v>COMÉRCIO POR ATA</v>
      </c>
      <c r="E832" s="78" t="str">
        <f>'04_MOTOR_CÁLCULO'!N790</f>
        <v>CNAE-STG</v>
      </c>
      <c r="F832" s="55">
        <f>'04_MOTOR_CÁLCULO'!K790</f>
        <v>1</v>
      </c>
      <c r="G832" s="56">
        <f>'04_MOTOR_CÁLCULO'!K790-1</f>
        <v>0</v>
      </c>
      <c r="H832" s="57" t="str">
        <f>'04_MOTOR_CÁLCULO'!M790</f>
        <v>Médio</v>
      </c>
    </row>
    <row r="833" spans="1:8" ht="13.5" customHeight="1" x14ac:dyDescent="0.25">
      <c r="A833" s="13" t="str">
        <f>'04_MOTOR_CÁLCULO'!A791</f>
        <v>4681-8/03</v>
      </c>
      <c r="B833" s="49" t="str">
        <f>'04_MOTOR_CÁLCULO'!B791</f>
        <v>G</v>
      </c>
      <c r="C833" s="101" t="str">
        <f>'04_MOTOR_CÁLCULO'!C791</f>
        <v>Comércio atacadista de combustíveis de origem vegetal, exceto álcool carburante</v>
      </c>
      <c r="D833" s="14" t="str">
        <f>'04_MOTOR_CÁLCULO'!D791</f>
        <v>COMÉRCIO POR ATA</v>
      </c>
      <c r="E833" s="78" t="str">
        <f>'04_MOTOR_CÁLCULO'!N791</f>
        <v>CNAE-STG</v>
      </c>
      <c r="F833" s="55">
        <f>'04_MOTOR_CÁLCULO'!K791</f>
        <v>1</v>
      </c>
      <c r="G833" s="56">
        <f>'04_MOTOR_CÁLCULO'!K791-1</f>
        <v>0</v>
      </c>
      <c r="H833" s="57" t="str">
        <f>'04_MOTOR_CÁLCULO'!M791</f>
        <v>Médio</v>
      </c>
    </row>
    <row r="834" spans="1:8" ht="13.5" customHeight="1" x14ac:dyDescent="0.25">
      <c r="A834" s="24" t="str">
        <f>'04_MOTOR_CÁLCULO'!A792</f>
        <v>4681-8/04</v>
      </c>
      <c r="B834" s="38" t="str">
        <f>'04_MOTOR_CÁLCULO'!B792</f>
        <v>G</v>
      </c>
      <c r="C834" s="100" t="str">
        <f>'04_MOTOR_CÁLCULO'!C792</f>
        <v>Comércio atacadista de combustíveis de origem mineral em bruto</v>
      </c>
      <c r="D834" s="25" t="str">
        <f>'04_MOTOR_CÁLCULO'!D792</f>
        <v>COMÉRCIO POR ATA</v>
      </c>
      <c r="E834" s="78" t="str">
        <f>'04_MOTOR_CÁLCULO'!N792</f>
        <v>CNAE-STG</v>
      </c>
      <c r="F834" s="55">
        <f>'04_MOTOR_CÁLCULO'!K792</f>
        <v>1</v>
      </c>
      <c r="G834" s="56">
        <f>'04_MOTOR_CÁLCULO'!K792-1</f>
        <v>0</v>
      </c>
      <c r="H834" s="57" t="str">
        <f>'04_MOTOR_CÁLCULO'!M792</f>
        <v>Médio</v>
      </c>
    </row>
    <row r="835" spans="1:8" ht="13.5" customHeight="1" x14ac:dyDescent="0.25">
      <c r="A835" s="13" t="str">
        <f>'04_MOTOR_CÁLCULO'!A793</f>
        <v>4681-8/05</v>
      </c>
      <c r="B835" s="49" t="str">
        <f>'04_MOTOR_CÁLCULO'!B793</f>
        <v>G</v>
      </c>
      <c r="C835" s="101" t="str">
        <f>'04_MOTOR_CÁLCULO'!C793</f>
        <v>Comércio atacadista de lubrificantes</v>
      </c>
      <c r="D835" s="14" t="str">
        <f>'04_MOTOR_CÁLCULO'!D793</f>
        <v>COMÉRCIO POR ATA</v>
      </c>
      <c r="E835" s="78" t="str">
        <f>'04_MOTOR_CÁLCULO'!N793</f>
        <v>CNAE-STG</v>
      </c>
      <c r="F835" s="55">
        <f>'04_MOTOR_CÁLCULO'!K793</f>
        <v>1</v>
      </c>
      <c r="G835" s="56">
        <f>'04_MOTOR_CÁLCULO'!K793-1</f>
        <v>0</v>
      </c>
      <c r="H835" s="57" t="str">
        <f>'04_MOTOR_CÁLCULO'!M793</f>
        <v>Médio</v>
      </c>
    </row>
    <row r="836" spans="1:8" ht="13.5" customHeight="1" x14ac:dyDescent="0.25">
      <c r="A836" s="24" t="str">
        <f>'04_MOTOR_CÁLCULO'!A794</f>
        <v>4682-6/00</v>
      </c>
      <c r="B836" s="38" t="str">
        <f>'04_MOTOR_CÁLCULO'!B794</f>
        <v>G</v>
      </c>
      <c r="C836" s="100" t="str">
        <f>'04_MOTOR_CÁLCULO'!C794</f>
        <v>Comércio atacadista de gás liquefeito de petróleo (GLP)</v>
      </c>
      <c r="D836" s="25" t="str">
        <f>'04_MOTOR_CÁLCULO'!D794</f>
        <v>COMÉRCIO POR ATA</v>
      </c>
      <c r="E836" s="78" t="str">
        <f>'04_MOTOR_CÁLCULO'!N794</f>
        <v>CNAE-STG</v>
      </c>
      <c r="F836" s="55">
        <f>'04_MOTOR_CÁLCULO'!K794</f>
        <v>1</v>
      </c>
      <c r="G836" s="56">
        <f>'04_MOTOR_CÁLCULO'!K794-1</f>
        <v>0</v>
      </c>
      <c r="H836" s="57" t="str">
        <f>'04_MOTOR_CÁLCULO'!M794</f>
        <v>Médio</v>
      </c>
    </row>
    <row r="837" spans="1:8" ht="13.5" customHeight="1" x14ac:dyDescent="0.25">
      <c r="A837" s="13" t="str">
        <f>'04_MOTOR_CÁLCULO'!A795</f>
        <v>4683-4/00</v>
      </c>
      <c r="B837" s="49" t="str">
        <f>'04_MOTOR_CÁLCULO'!B795</f>
        <v>G</v>
      </c>
      <c r="C837" s="101" t="str">
        <f>'04_MOTOR_CÁLCULO'!C795</f>
        <v>Comércio atacadista de defensivos agrícolas, adubos, fertilizantes e corretivos do solo</v>
      </c>
      <c r="D837" s="14" t="str">
        <f>'04_MOTOR_CÁLCULO'!D795</f>
        <v>COMÉRCIO POR ATA</v>
      </c>
      <c r="E837" s="78" t="str">
        <f>'04_MOTOR_CÁLCULO'!N795</f>
        <v>CNAE-STG</v>
      </c>
      <c r="F837" s="55">
        <f>'04_MOTOR_CÁLCULO'!K795</f>
        <v>1</v>
      </c>
      <c r="G837" s="56">
        <f>'04_MOTOR_CÁLCULO'!K795-1</f>
        <v>0</v>
      </c>
      <c r="H837" s="57" t="str">
        <f>'04_MOTOR_CÁLCULO'!M795</f>
        <v>Médio</v>
      </c>
    </row>
    <row r="838" spans="1:8" ht="13.5" customHeight="1" x14ac:dyDescent="0.25">
      <c r="A838" s="24" t="str">
        <f>'04_MOTOR_CÁLCULO'!A796</f>
        <v>4684-2/01</v>
      </c>
      <c r="B838" s="38" t="str">
        <f>'04_MOTOR_CÁLCULO'!B796</f>
        <v>G</v>
      </c>
      <c r="C838" s="100" t="str">
        <f>'04_MOTOR_CÁLCULO'!C796</f>
        <v>Comércio atacadista de resinas e elastômeros</v>
      </c>
      <c r="D838" s="25" t="str">
        <f>'04_MOTOR_CÁLCULO'!D796</f>
        <v>COMÉRCIO POR ATA</v>
      </c>
      <c r="E838" s="78" t="str">
        <f>'04_MOTOR_CÁLCULO'!N796</f>
        <v>CNAE-STG</v>
      </c>
      <c r="F838" s="55">
        <f>'04_MOTOR_CÁLCULO'!K796</f>
        <v>1</v>
      </c>
      <c r="G838" s="56">
        <f>'04_MOTOR_CÁLCULO'!K796-1</f>
        <v>0</v>
      </c>
      <c r="H838" s="57" t="str">
        <f>'04_MOTOR_CÁLCULO'!M796</f>
        <v>Médio</v>
      </c>
    </row>
    <row r="839" spans="1:8" ht="13.5" customHeight="1" x14ac:dyDescent="0.25">
      <c r="A839" s="13" t="str">
        <f>'04_MOTOR_CÁLCULO'!A797</f>
        <v>4684-2/02</v>
      </c>
      <c r="B839" s="49" t="str">
        <f>'04_MOTOR_CÁLCULO'!B797</f>
        <v>G</v>
      </c>
      <c r="C839" s="101" t="str">
        <f>'04_MOTOR_CÁLCULO'!C797</f>
        <v>Comércio atacadista de solventes</v>
      </c>
      <c r="D839" s="14" t="str">
        <f>'04_MOTOR_CÁLCULO'!D797</f>
        <v>COMÉRCIO POR ATA</v>
      </c>
      <c r="E839" s="78" t="str">
        <f>'04_MOTOR_CÁLCULO'!N797</f>
        <v>CNAE-STG</v>
      </c>
      <c r="F839" s="55">
        <f>'04_MOTOR_CÁLCULO'!K797</f>
        <v>1</v>
      </c>
      <c r="G839" s="56">
        <f>'04_MOTOR_CÁLCULO'!K797-1</f>
        <v>0</v>
      </c>
      <c r="H839" s="57" t="str">
        <f>'04_MOTOR_CÁLCULO'!M797</f>
        <v>Médio</v>
      </c>
    </row>
    <row r="840" spans="1:8" ht="13.5" customHeight="1" x14ac:dyDescent="0.25">
      <c r="A840" s="24" t="str">
        <f>'04_MOTOR_CÁLCULO'!A798</f>
        <v>4684-2/99</v>
      </c>
      <c r="B840" s="38" t="str">
        <f>'04_MOTOR_CÁLCULO'!B798</f>
        <v>G</v>
      </c>
      <c r="C840" s="100" t="str">
        <f>'04_MOTOR_CÁLCULO'!C798</f>
        <v>Comércio atacadista de outros produtos químicos e petroquímicos não especificados anteriormente</v>
      </c>
      <c r="D840" s="25" t="str">
        <f>'04_MOTOR_CÁLCULO'!D798</f>
        <v>COMÉRCIO POR ATA</v>
      </c>
      <c r="E840" s="78" t="str">
        <f>'04_MOTOR_CÁLCULO'!N798</f>
        <v>CNAE-STG</v>
      </c>
      <c r="F840" s="55">
        <f>'04_MOTOR_CÁLCULO'!K798</f>
        <v>1</v>
      </c>
      <c r="G840" s="56">
        <f>'04_MOTOR_CÁLCULO'!K798-1</f>
        <v>0</v>
      </c>
      <c r="H840" s="57" t="str">
        <f>'04_MOTOR_CÁLCULO'!M798</f>
        <v>Médio</v>
      </c>
    </row>
    <row r="841" spans="1:8" ht="13.5" customHeight="1" x14ac:dyDescent="0.25">
      <c r="A841" s="13" t="str">
        <f>'04_MOTOR_CÁLCULO'!A799</f>
        <v>4685-1/00</v>
      </c>
      <c r="B841" s="49" t="str">
        <f>'04_MOTOR_CÁLCULO'!B799</f>
        <v>G</v>
      </c>
      <c r="C841" s="101" t="str">
        <f>'04_MOTOR_CÁLCULO'!C799</f>
        <v>Comércio atacadista de produtos siderúrgicos e metalúrgicos, exceto para construção</v>
      </c>
      <c r="D841" s="14" t="str">
        <f>'04_MOTOR_CÁLCULO'!D799</f>
        <v>COMÉRCIO POR ATA</v>
      </c>
      <c r="E841" s="78" t="str">
        <f>'04_MOTOR_CÁLCULO'!N799</f>
        <v>CNAE-STG</v>
      </c>
      <c r="F841" s="55">
        <f>'04_MOTOR_CÁLCULO'!K799</f>
        <v>1</v>
      </c>
      <c r="G841" s="56">
        <f>'04_MOTOR_CÁLCULO'!K799-1</f>
        <v>0</v>
      </c>
      <c r="H841" s="57" t="str">
        <f>'04_MOTOR_CÁLCULO'!M799</f>
        <v>Médio</v>
      </c>
    </row>
    <row r="842" spans="1:8" ht="13.5" customHeight="1" x14ac:dyDescent="0.25">
      <c r="A842" s="24" t="str">
        <f>'04_MOTOR_CÁLCULO'!A800</f>
        <v>4686-9/01</v>
      </c>
      <c r="B842" s="38" t="str">
        <f>'04_MOTOR_CÁLCULO'!B800</f>
        <v>G</v>
      </c>
      <c r="C842" s="100" t="str">
        <f>'04_MOTOR_CÁLCULO'!C800</f>
        <v>Comércio atacadista de papel e papelão em bruto</v>
      </c>
      <c r="D842" s="25" t="str">
        <f>'04_MOTOR_CÁLCULO'!D800</f>
        <v>COMÉRCIO POR ATA</v>
      </c>
      <c r="E842" s="78" t="str">
        <f>'04_MOTOR_CÁLCULO'!N800</f>
        <v>CNAE-STG</v>
      </c>
      <c r="F842" s="55">
        <f>'04_MOTOR_CÁLCULO'!K800</f>
        <v>1</v>
      </c>
      <c r="G842" s="56">
        <f>'04_MOTOR_CÁLCULO'!K800-1</f>
        <v>0</v>
      </c>
      <c r="H842" s="57" t="str">
        <f>'04_MOTOR_CÁLCULO'!M800</f>
        <v>Médio</v>
      </c>
    </row>
    <row r="843" spans="1:8" ht="13.5" customHeight="1" x14ac:dyDescent="0.25">
      <c r="A843" s="13" t="str">
        <f>'04_MOTOR_CÁLCULO'!A801</f>
        <v>4686-9/02</v>
      </c>
      <c r="B843" s="49" t="str">
        <f>'04_MOTOR_CÁLCULO'!B801</f>
        <v>G</v>
      </c>
      <c r="C843" s="101" t="str">
        <f>'04_MOTOR_CÁLCULO'!C801</f>
        <v>Comércio atacadista de embalagens</v>
      </c>
      <c r="D843" s="14" t="str">
        <f>'04_MOTOR_CÁLCULO'!D801</f>
        <v>COMÉRCIO POR ATA</v>
      </c>
      <c r="E843" s="78" t="str">
        <f>'04_MOTOR_CÁLCULO'!N801</f>
        <v>CNAE-STG</v>
      </c>
      <c r="F843" s="55">
        <f>'04_MOTOR_CÁLCULO'!K801</f>
        <v>1</v>
      </c>
      <c r="G843" s="56">
        <f>'04_MOTOR_CÁLCULO'!K801-1</f>
        <v>0</v>
      </c>
      <c r="H843" s="57" t="str">
        <f>'04_MOTOR_CÁLCULO'!M801</f>
        <v>Médio</v>
      </c>
    </row>
    <row r="844" spans="1:8" ht="13.5" customHeight="1" x14ac:dyDescent="0.25">
      <c r="A844" s="24" t="str">
        <f>'04_MOTOR_CÁLCULO'!A802</f>
        <v>4687-7/01</v>
      </c>
      <c r="B844" s="38" t="str">
        <f>'04_MOTOR_CÁLCULO'!B802</f>
        <v>G</v>
      </c>
      <c r="C844" s="100" t="str">
        <f>'04_MOTOR_CÁLCULO'!C802</f>
        <v>Comércio atacadista de resíduos de papel e papelão</v>
      </c>
      <c r="D844" s="25" t="str">
        <f>'04_MOTOR_CÁLCULO'!D802</f>
        <v>COMÉRCIO POR ATA</v>
      </c>
      <c r="E844" s="78" t="str">
        <f>'04_MOTOR_CÁLCULO'!N802</f>
        <v>CNAE-STG</v>
      </c>
      <c r="F844" s="55">
        <f>'04_MOTOR_CÁLCULO'!K802</f>
        <v>1</v>
      </c>
      <c r="G844" s="56">
        <f>'04_MOTOR_CÁLCULO'!K802-1</f>
        <v>0</v>
      </c>
      <c r="H844" s="57" t="str">
        <f>'04_MOTOR_CÁLCULO'!M802</f>
        <v>Médio</v>
      </c>
    </row>
    <row r="845" spans="1:8" ht="13.5" customHeight="1" x14ac:dyDescent="0.25">
      <c r="A845" s="13" t="str">
        <f>'04_MOTOR_CÁLCULO'!A803</f>
        <v>4687-7/02</v>
      </c>
      <c r="B845" s="49" t="str">
        <f>'04_MOTOR_CÁLCULO'!B803</f>
        <v>G</v>
      </c>
      <c r="C845" s="101" t="str">
        <f>'04_MOTOR_CÁLCULO'!C803</f>
        <v>Comércio atacadista de resíduos e sucatas não metálicos, exceto de papel e papelão</v>
      </c>
      <c r="D845" s="14" t="str">
        <f>'04_MOTOR_CÁLCULO'!D803</f>
        <v>COMÉRCIO POR ATA</v>
      </c>
      <c r="E845" s="78" t="str">
        <f>'04_MOTOR_CÁLCULO'!N803</f>
        <v>CNAE-STG</v>
      </c>
      <c r="F845" s="55">
        <f>'04_MOTOR_CÁLCULO'!K803</f>
        <v>1</v>
      </c>
      <c r="G845" s="56">
        <f>'04_MOTOR_CÁLCULO'!K803-1</f>
        <v>0</v>
      </c>
      <c r="H845" s="57" t="str">
        <f>'04_MOTOR_CÁLCULO'!M803</f>
        <v>Médio</v>
      </c>
    </row>
    <row r="846" spans="1:8" ht="13.5" customHeight="1" x14ac:dyDescent="0.25">
      <c r="A846" s="24" t="str">
        <f>'04_MOTOR_CÁLCULO'!A804</f>
        <v>4687-7/03</v>
      </c>
      <c r="B846" s="38" t="str">
        <f>'04_MOTOR_CÁLCULO'!B804</f>
        <v>G</v>
      </c>
      <c r="C846" s="100" t="str">
        <f>'04_MOTOR_CÁLCULO'!C804</f>
        <v>Comércio atacadista de resíduos e sucatas metálicos</v>
      </c>
      <c r="D846" s="25" t="str">
        <f>'04_MOTOR_CÁLCULO'!D804</f>
        <v>COMÉRCIO POR ATA</v>
      </c>
      <c r="E846" s="78" t="str">
        <f>'04_MOTOR_CÁLCULO'!N804</f>
        <v>CNAE-STG</v>
      </c>
      <c r="F846" s="55">
        <f>'04_MOTOR_CÁLCULO'!K804</f>
        <v>1</v>
      </c>
      <c r="G846" s="56">
        <f>'04_MOTOR_CÁLCULO'!K804-1</f>
        <v>0</v>
      </c>
      <c r="H846" s="57" t="str">
        <f>'04_MOTOR_CÁLCULO'!M804</f>
        <v>Médio</v>
      </c>
    </row>
    <row r="847" spans="1:8" ht="13.5" customHeight="1" x14ac:dyDescent="0.25">
      <c r="A847" s="13" t="str">
        <f>'04_MOTOR_CÁLCULO'!A805</f>
        <v>4689-3/01</v>
      </c>
      <c r="B847" s="49" t="str">
        <f>'04_MOTOR_CÁLCULO'!B805</f>
        <v>G</v>
      </c>
      <c r="C847" s="101" t="str">
        <f>'04_MOTOR_CÁLCULO'!C805</f>
        <v>Comércio atacadista de produtos da extração mineral, exceto combustíveis</v>
      </c>
      <c r="D847" s="14" t="str">
        <f>'04_MOTOR_CÁLCULO'!D805</f>
        <v>COMÉRCIO POR ATA</v>
      </c>
      <c r="E847" s="78" t="str">
        <f>'04_MOTOR_CÁLCULO'!N805</f>
        <v>CNAE-STG</v>
      </c>
      <c r="F847" s="55">
        <f>'04_MOTOR_CÁLCULO'!K805</f>
        <v>1</v>
      </c>
      <c r="G847" s="56">
        <f>'04_MOTOR_CÁLCULO'!K805-1</f>
        <v>0</v>
      </c>
      <c r="H847" s="57" t="str">
        <f>'04_MOTOR_CÁLCULO'!M805</f>
        <v>Médio</v>
      </c>
    </row>
    <row r="848" spans="1:8" ht="13.5" customHeight="1" x14ac:dyDescent="0.25">
      <c r="A848" s="24" t="str">
        <f>'04_MOTOR_CÁLCULO'!A806</f>
        <v>4689-3/02</v>
      </c>
      <c r="B848" s="38" t="str">
        <f>'04_MOTOR_CÁLCULO'!B806</f>
        <v>G</v>
      </c>
      <c r="C848" s="100" t="str">
        <f>'04_MOTOR_CÁLCULO'!C806</f>
        <v>Comércio atacadista de fios e fibras beneficiados</v>
      </c>
      <c r="D848" s="25" t="str">
        <f>'04_MOTOR_CÁLCULO'!D806</f>
        <v>COMÉRCIO POR ATA</v>
      </c>
      <c r="E848" s="78" t="str">
        <f>'04_MOTOR_CÁLCULO'!N806</f>
        <v>CNAE-STG</v>
      </c>
      <c r="F848" s="55">
        <f>'04_MOTOR_CÁLCULO'!K806</f>
        <v>1</v>
      </c>
      <c r="G848" s="56">
        <f>'04_MOTOR_CÁLCULO'!K806-1</f>
        <v>0</v>
      </c>
      <c r="H848" s="57" t="str">
        <f>'04_MOTOR_CÁLCULO'!M806</f>
        <v>Médio</v>
      </c>
    </row>
    <row r="849" spans="1:8" ht="13.5" customHeight="1" x14ac:dyDescent="0.25">
      <c r="A849" s="13" t="str">
        <f>'04_MOTOR_CÁLCULO'!A807</f>
        <v>4689-3/99</v>
      </c>
      <c r="B849" s="49" t="str">
        <f>'04_MOTOR_CÁLCULO'!B807</f>
        <v>G</v>
      </c>
      <c r="C849" s="101" t="str">
        <f>'04_MOTOR_CÁLCULO'!C807</f>
        <v>Comércio atacadista especializado em outros produtos intermediários não especificados anteriormente</v>
      </c>
      <c r="D849" s="14" t="str">
        <f>'04_MOTOR_CÁLCULO'!D807</f>
        <v>COMÉRCIO POR ATA</v>
      </c>
      <c r="E849" s="78" t="str">
        <f>'04_MOTOR_CÁLCULO'!N807</f>
        <v>CNAE-STG</v>
      </c>
      <c r="F849" s="55">
        <f>'04_MOTOR_CÁLCULO'!K807</f>
        <v>1</v>
      </c>
      <c r="G849" s="56">
        <f>'04_MOTOR_CÁLCULO'!K807-1</f>
        <v>0</v>
      </c>
      <c r="H849" s="57" t="str">
        <f>'04_MOTOR_CÁLCULO'!M807</f>
        <v>Médio</v>
      </c>
    </row>
    <row r="850" spans="1:8" ht="13.5" customHeight="1" x14ac:dyDescent="0.25">
      <c r="A850" s="24" t="str">
        <f>'04_MOTOR_CÁLCULO'!A930</f>
        <v>5211-7/01</v>
      </c>
      <c r="B850" s="38" t="str">
        <f>'04_MOTOR_CÁLCULO'!B930</f>
        <v>H</v>
      </c>
      <c r="C850" s="100" t="str">
        <f>'04_MOTOR_CÁLCULO'!C930</f>
        <v>Armazéns gerais - emissão de warrant</v>
      </c>
      <c r="D850" s="25" t="str">
        <f>'04_MOTOR_CÁLCULO'!D930</f>
        <v xml:space="preserve">ARMAZENAMENTO E </v>
      </c>
      <c r="E850" s="78" t="str">
        <f>'04_MOTOR_CÁLCULO'!N930</f>
        <v>CNAE-STG</v>
      </c>
      <c r="F850" s="55">
        <f>'04_MOTOR_CÁLCULO'!K930</f>
        <v>1</v>
      </c>
      <c r="G850" s="56">
        <f>'04_MOTOR_CÁLCULO'!K930-1</f>
        <v>0</v>
      </c>
      <c r="H850" s="57" t="str">
        <f>'04_MOTOR_CÁLCULO'!M930</f>
        <v>Médio</v>
      </c>
    </row>
    <row r="851" spans="1:8" ht="13.5" customHeight="1" x14ac:dyDescent="0.25">
      <c r="A851" s="13" t="str">
        <f>'04_MOTOR_CÁLCULO'!A931</f>
        <v>5211-7/02</v>
      </c>
      <c r="B851" s="49" t="str">
        <f>'04_MOTOR_CÁLCULO'!B931</f>
        <v>H</v>
      </c>
      <c r="C851" s="101" t="str">
        <f>'04_MOTOR_CÁLCULO'!C931</f>
        <v>Guarda-móveis</v>
      </c>
      <c r="D851" s="14" t="str">
        <f>'04_MOTOR_CÁLCULO'!D931</f>
        <v xml:space="preserve">ARMAZENAMENTO E </v>
      </c>
      <c r="E851" s="78" t="str">
        <f>'04_MOTOR_CÁLCULO'!N931</f>
        <v>CNAE-STG</v>
      </c>
      <c r="F851" s="55">
        <f>'04_MOTOR_CÁLCULO'!K931</f>
        <v>1</v>
      </c>
      <c r="G851" s="56">
        <f>'04_MOTOR_CÁLCULO'!K931-1</f>
        <v>0</v>
      </c>
      <c r="H851" s="57" t="str">
        <f>'04_MOTOR_CÁLCULO'!M931</f>
        <v>Médio</v>
      </c>
    </row>
    <row r="852" spans="1:8" ht="13.5" customHeight="1" x14ac:dyDescent="0.25">
      <c r="A852" s="24" t="str">
        <f>'04_MOTOR_CÁLCULO'!A932</f>
        <v>5211-7/99</v>
      </c>
      <c r="B852" s="38" t="str">
        <f>'04_MOTOR_CÁLCULO'!B932</f>
        <v>H</v>
      </c>
      <c r="C852" s="100" t="str">
        <f>'04_MOTOR_CÁLCULO'!C932</f>
        <v>Depósitos de mercadorias para terceiros, exceto armazéns gerais e guarda-móveis</v>
      </c>
      <c r="D852" s="25" t="str">
        <f>'04_MOTOR_CÁLCULO'!D932</f>
        <v xml:space="preserve">ARMAZENAMENTO E </v>
      </c>
      <c r="E852" s="78" t="str">
        <f>'04_MOTOR_CÁLCULO'!N932</f>
        <v>CNAE-STG</v>
      </c>
      <c r="F852" s="55">
        <f>'04_MOTOR_CÁLCULO'!K932</f>
        <v>1</v>
      </c>
      <c r="G852" s="56">
        <f>'04_MOTOR_CÁLCULO'!K932-1</f>
        <v>0</v>
      </c>
      <c r="H852" s="57" t="str">
        <f>'04_MOTOR_CÁLCULO'!M932</f>
        <v>Médio</v>
      </c>
    </row>
    <row r="853" spans="1:8" ht="13.5" customHeight="1" x14ac:dyDescent="0.25">
      <c r="A853" s="13" t="str">
        <f>'04_MOTOR_CÁLCULO'!A933</f>
        <v>5212-5/00</v>
      </c>
      <c r="B853" s="49" t="str">
        <f>'04_MOTOR_CÁLCULO'!B933</f>
        <v>H</v>
      </c>
      <c r="C853" s="101" t="str">
        <f>'04_MOTOR_CÁLCULO'!C933</f>
        <v>Carga e descarga</v>
      </c>
      <c r="D853" s="14" t="str">
        <f>'04_MOTOR_CÁLCULO'!D933</f>
        <v xml:space="preserve">ARMAZENAMENTO E </v>
      </c>
      <c r="E853" s="78" t="str">
        <f>'04_MOTOR_CÁLCULO'!N933</f>
        <v>CNAE-STG</v>
      </c>
      <c r="F853" s="55">
        <f>'04_MOTOR_CÁLCULO'!K933</f>
        <v>1</v>
      </c>
      <c r="G853" s="56">
        <f>'04_MOTOR_CÁLCULO'!K933-1</f>
        <v>0</v>
      </c>
      <c r="H853" s="57" t="str">
        <f>'04_MOTOR_CÁLCULO'!M933</f>
        <v>Médio</v>
      </c>
    </row>
    <row r="854" spans="1:8" ht="13.5" customHeight="1" x14ac:dyDescent="0.25">
      <c r="A854" s="24" t="str">
        <f>'04_MOTOR_CÁLCULO'!A934</f>
        <v>5221-4/00</v>
      </c>
      <c r="B854" s="38" t="str">
        <f>'04_MOTOR_CÁLCULO'!B934</f>
        <v>H</v>
      </c>
      <c r="C854" s="100" t="str">
        <f>'04_MOTOR_CÁLCULO'!C934</f>
        <v>Concessionárias de rodovias, pontes, túneis e serviços relacionados</v>
      </c>
      <c r="D854" s="25" t="str">
        <f>'04_MOTOR_CÁLCULO'!D934</f>
        <v xml:space="preserve">ARMAZENAMENTO E </v>
      </c>
      <c r="E854" s="78" t="str">
        <f>'04_MOTOR_CÁLCULO'!N934</f>
        <v>CNAE-STG</v>
      </c>
      <c r="F854" s="55">
        <f>'04_MOTOR_CÁLCULO'!K934</f>
        <v>1</v>
      </c>
      <c r="G854" s="56">
        <f>'04_MOTOR_CÁLCULO'!K934-1</f>
        <v>0</v>
      </c>
      <c r="H854" s="57" t="str">
        <f>'04_MOTOR_CÁLCULO'!M934</f>
        <v>Médio</v>
      </c>
    </row>
    <row r="855" spans="1:8" ht="13.5" customHeight="1" x14ac:dyDescent="0.25">
      <c r="A855" s="13" t="str">
        <f>'04_MOTOR_CÁLCULO'!A935</f>
        <v>5222-2/00</v>
      </c>
      <c r="B855" s="49" t="str">
        <f>'04_MOTOR_CÁLCULO'!B935</f>
        <v>H</v>
      </c>
      <c r="C855" s="101" t="str">
        <f>'04_MOTOR_CÁLCULO'!C935</f>
        <v>Terminais rodoviários e ferroviários</v>
      </c>
      <c r="D855" s="14" t="str">
        <f>'04_MOTOR_CÁLCULO'!D935</f>
        <v xml:space="preserve">ARMAZENAMENTO E </v>
      </c>
      <c r="E855" s="78" t="str">
        <f>'04_MOTOR_CÁLCULO'!N935</f>
        <v>CNAE-STG</v>
      </c>
      <c r="F855" s="55">
        <f>'04_MOTOR_CÁLCULO'!K935</f>
        <v>1</v>
      </c>
      <c r="G855" s="56">
        <f>'04_MOTOR_CÁLCULO'!K935-1</f>
        <v>0</v>
      </c>
      <c r="H855" s="57" t="str">
        <f>'04_MOTOR_CÁLCULO'!M935</f>
        <v>Médio</v>
      </c>
    </row>
    <row r="856" spans="1:8" ht="13.5" customHeight="1" x14ac:dyDescent="0.25">
      <c r="A856" s="24" t="str">
        <f>'04_MOTOR_CÁLCULO'!A936</f>
        <v>5223-1/00</v>
      </c>
      <c r="B856" s="38" t="str">
        <f>'04_MOTOR_CÁLCULO'!B936</f>
        <v>H</v>
      </c>
      <c r="C856" s="100" t="str">
        <f>'04_MOTOR_CÁLCULO'!C936</f>
        <v>Estacionamento de veículos</v>
      </c>
      <c r="D856" s="25" t="str">
        <f>'04_MOTOR_CÁLCULO'!D936</f>
        <v xml:space="preserve">ARMAZENAMENTO E </v>
      </c>
      <c r="E856" s="78" t="str">
        <f>'04_MOTOR_CÁLCULO'!N936</f>
        <v>CNAE-STG</v>
      </c>
      <c r="F856" s="55">
        <f>'04_MOTOR_CÁLCULO'!K936</f>
        <v>1</v>
      </c>
      <c r="G856" s="56">
        <f>'04_MOTOR_CÁLCULO'!K936-1</f>
        <v>0</v>
      </c>
      <c r="H856" s="57" t="str">
        <f>'04_MOTOR_CÁLCULO'!M936</f>
        <v>Médio</v>
      </c>
    </row>
    <row r="857" spans="1:8" ht="13.5" customHeight="1" x14ac:dyDescent="0.25">
      <c r="A857" s="13" t="str">
        <f>'04_MOTOR_CÁLCULO'!A937</f>
        <v>5229-0/01</v>
      </c>
      <c r="B857" s="49" t="str">
        <f>'04_MOTOR_CÁLCULO'!B937</f>
        <v>H</v>
      </c>
      <c r="C857" s="101" t="str">
        <f>'04_MOTOR_CÁLCULO'!C937</f>
        <v>Serviços de apoio ao transporte por táxi, inclusive centrais de chamada</v>
      </c>
      <c r="D857" s="14" t="str">
        <f>'04_MOTOR_CÁLCULO'!D937</f>
        <v xml:space="preserve">ARMAZENAMENTO E </v>
      </c>
      <c r="E857" s="78" t="str">
        <f>'04_MOTOR_CÁLCULO'!N937</f>
        <v>CNAE-STG</v>
      </c>
      <c r="F857" s="55">
        <f>'04_MOTOR_CÁLCULO'!K937</f>
        <v>1</v>
      </c>
      <c r="G857" s="56">
        <f>'04_MOTOR_CÁLCULO'!K937-1</f>
        <v>0</v>
      </c>
      <c r="H857" s="57" t="str">
        <f>'04_MOTOR_CÁLCULO'!M937</f>
        <v>Médio</v>
      </c>
    </row>
    <row r="858" spans="1:8" ht="13.5" customHeight="1" x14ac:dyDescent="0.25">
      <c r="A858" s="24" t="str">
        <f>'04_MOTOR_CÁLCULO'!A938</f>
        <v>5229-0/02</v>
      </c>
      <c r="B858" s="38" t="str">
        <f>'04_MOTOR_CÁLCULO'!B938</f>
        <v>H</v>
      </c>
      <c r="C858" s="100" t="str">
        <f>'04_MOTOR_CÁLCULO'!C938</f>
        <v>Serviços de reboque de veículos</v>
      </c>
      <c r="D858" s="25" t="str">
        <f>'04_MOTOR_CÁLCULO'!D938</f>
        <v xml:space="preserve">ARMAZENAMENTO E </v>
      </c>
      <c r="E858" s="78" t="str">
        <f>'04_MOTOR_CÁLCULO'!N938</f>
        <v>CNAE-STG</v>
      </c>
      <c r="F858" s="55">
        <f>'04_MOTOR_CÁLCULO'!K938</f>
        <v>1</v>
      </c>
      <c r="G858" s="56">
        <f>'04_MOTOR_CÁLCULO'!K938-1</f>
        <v>0</v>
      </c>
      <c r="H858" s="57" t="str">
        <f>'04_MOTOR_CÁLCULO'!M938</f>
        <v>Médio</v>
      </c>
    </row>
    <row r="859" spans="1:8" ht="13.5" customHeight="1" x14ac:dyDescent="0.25">
      <c r="A859" s="13" t="str">
        <f>'04_MOTOR_CÁLCULO'!A939</f>
        <v>5229-0/99</v>
      </c>
      <c r="B859" s="49" t="str">
        <f>'04_MOTOR_CÁLCULO'!B939</f>
        <v>H</v>
      </c>
      <c r="C859" s="101" t="str">
        <f>'04_MOTOR_CÁLCULO'!C939</f>
        <v>Outras atividades auxiliares dos transportes terrestres não especificadas anteriormente</v>
      </c>
      <c r="D859" s="14" t="str">
        <f>'04_MOTOR_CÁLCULO'!D939</f>
        <v xml:space="preserve">ARMAZENAMENTO E </v>
      </c>
      <c r="E859" s="78" t="str">
        <f>'04_MOTOR_CÁLCULO'!N939</f>
        <v>CNAE-STG</v>
      </c>
      <c r="F859" s="55">
        <f>'04_MOTOR_CÁLCULO'!K939</f>
        <v>1</v>
      </c>
      <c r="G859" s="56">
        <f>'04_MOTOR_CÁLCULO'!K939-1</f>
        <v>0</v>
      </c>
      <c r="H859" s="57" t="str">
        <f>'04_MOTOR_CÁLCULO'!M939</f>
        <v>Médio</v>
      </c>
    </row>
    <row r="860" spans="1:8" ht="13.5" customHeight="1" x14ac:dyDescent="0.25">
      <c r="A860" s="24" t="str">
        <f>'04_MOTOR_CÁLCULO'!A940</f>
        <v>5231-1/01</v>
      </c>
      <c r="B860" s="38" t="str">
        <f>'04_MOTOR_CÁLCULO'!B940</f>
        <v>H</v>
      </c>
      <c r="C860" s="100" t="str">
        <f>'04_MOTOR_CÁLCULO'!C940</f>
        <v>Administração da infraestrutura portuária</v>
      </c>
      <c r="D860" s="25" t="str">
        <f>'04_MOTOR_CÁLCULO'!D940</f>
        <v xml:space="preserve">ARMAZENAMENTO E </v>
      </c>
      <c r="E860" s="78" t="str">
        <f>'04_MOTOR_CÁLCULO'!N940</f>
        <v>CNAE-STG</v>
      </c>
      <c r="F860" s="55">
        <f>'04_MOTOR_CÁLCULO'!K940</f>
        <v>1</v>
      </c>
      <c r="G860" s="56">
        <f>'04_MOTOR_CÁLCULO'!K940-1</f>
        <v>0</v>
      </c>
      <c r="H860" s="57" t="str">
        <f>'04_MOTOR_CÁLCULO'!M940</f>
        <v>Médio</v>
      </c>
    </row>
    <row r="861" spans="1:8" ht="13.5" customHeight="1" x14ac:dyDescent="0.25">
      <c r="A861" s="13" t="str">
        <f>'04_MOTOR_CÁLCULO'!A941</f>
        <v>5231-1/02</v>
      </c>
      <c r="B861" s="49" t="str">
        <f>'04_MOTOR_CÁLCULO'!B941</f>
        <v>H</v>
      </c>
      <c r="C861" s="101" t="str">
        <f>'04_MOTOR_CÁLCULO'!C941</f>
        <v>Atividades do Operador Portuário</v>
      </c>
      <c r="D861" s="14" t="str">
        <f>'04_MOTOR_CÁLCULO'!D941</f>
        <v xml:space="preserve">ARMAZENAMENTO E </v>
      </c>
      <c r="E861" s="78" t="str">
        <f>'04_MOTOR_CÁLCULO'!N941</f>
        <v>CNAE-STG</v>
      </c>
      <c r="F861" s="55">
        <f>'04_MOTOR_CÁLCULO'!K941</f>
        <v>1</v>
      </c>
      <c r="G861" s="56">
        <f>'04_MOTOR_CÁLCULO'!K941-1</f>
        <v>0</v>
      </c>
      <c r="H861" s="57" t="str">
        <f>'04_MOTOR_CÁLCULO'!M941</f>
        <v>Médio</v>
      </c>
    </row>
    <row r="862" spans="1:8" ht="13.5" customHeight="1" x14ac:dyDescent="0.25">
      <c r="A862" s="24" t="str">
        <f>'04_MOTOR_CÁLCULO'!A942</f>
        <v>5231-1/03</v>
      </c>
      <c r="B862" s="38" t="str">
        <f>'04_MOTOR_CÁLCULO'!B942</f>
        <v>H</v>
      </c>
      <c r="C862" s="100" t="str">
        <f>'04_MOTOR_CÁLCULO'!C942</f>
        <v>Gestão de terminais aquaviários</v>
      </c>
      <c r="D862" s="25" t="str">
        <f>'04_MOTOR_CÁLCULO'!D942</f>
        <v xml:space="preserve">ARMAZENAMENTO E </v>
      </c>
      <c r="E862" s="78" t="str">
        <f>'04_MOTOR_CÁLCULO'!N942</f>
        <v>CNAE-STG</v>
      </c>
      <c r="F862" s="55">
        <f>'04_MOTOR_CÁLCULO'!K942</f>
        <v>1</v>
      </c>
      <c r="G862" s="56">
        <f>'04_MOTOR_CÁLCULO'!K942-1</f>
        <v>0</v>
      </c>
      <c r="H862" s="57" t="str">
        <f>'04_MOTOR_CÁLCULO'!M942</f>
        <v>Médio</v>
      </c>
    </row>
    <row r="863" spans="1:8" ht="13.5" customHeight="1" x14ac:dyDescent="0.25">
      <c r="A863" s="13" t="str">
        <f>'04_MOTOR_CÁLCULO'!A943</f>
        <v>5232-0/00</v>
      </c>
      <c r="B863" s="49" t="str">
        <f>'04_MOTOR_CÁLCULO'!B943</f>
        <v>H</v>
      </c>
      <c r="C863" s="101" t="str">
        <f>'04_MOTOR_CÁLCULO'!C943</f>
        <v>Atividades de agenciamento marítimo</v>
      </c>
      <c r="D863" s="14" t="str">
        <f>'04_MOTOR_CÁLCULO'!D943</f>
        <v xml:space="preserve">ARMAZENAMENTO E </v>
      </c>
      <c r="E863" s="78" t="str">
        <f>'04_MOTOR_CÁLCULO'!N943</f>
        <v>CNAE-STG</v>
      </c>
      <c r="F863" s="55">
        <f>'04_MOTOR_CÁLCULO'!K943</f>
        <v>1</v>
      </c>
      <c r="G863" s="56">
        <f>'04_MOTOR_CÁLCULO'!K943-1</f>
        <v>0</v>
      </c>
      <c r="H863" s="57" t="str">
        <f>'04_MOTOR_CÁLCULO'!M943</f>
        <v>Médio</v>
      </c>
    </row>
    <row r="864" spans="1:8" ht="13.5" customHeight="1" x14ac:dyDescent="0.25">
      <c r="A864" s="24" t="str">
        <f>'04_MOTOR_CÁLCULO'!A944</f>
        <v>5239-7/01</v>
      </c>
      <c r="B864" s="38" t="str">
        <f>'04_MOTOR_CÁLCULO'!B944</f>
        <v>H</v>
      </c>
      <c r="C864" s="100" t="str">
        <f>'04_MOTOR_CÁLCULO'!C944</f>
        <v>Serviços de praticagem</v>
      </c>
      <c r="D864" s="25" t="str">
        <f>'04_MOTOR_CÁLCULO'!D944</f>
        <v xml:space="preserve">ARMAZENAMENTO E </v>
      </c>
      <c r="E864" s="78" t="str">
        <f>'04_MOTOR_CÁLCULO'!N944</f>
        <v>CNAE-STG</v>
      </c>
      <c r="F864" s="55">
        <f>'04_MOTOR_CÁLCULO'!K944</f>
        <v>1</v>
      </c>
      <c r="G864" s="56">
        <f>'04_MOTOR_CÁLCULO'!K944-1</f>
        <v>0</v>
      </c>
      <c r="H864" s="57" t="str">
        <f>'04_MOTOR_CÁLCULO'!M944</f>
        <v>Médio</v>
      </c>
    </row>
    <row r="865" spans="1:8" ht="13.5" customHeight="1" x14ac:dyDescent="0.25">
      <c r="A865" s="13" t="str">
        <f>'04_MOTOR_CÁLCULO'!A945</f>
        <v>5239-7/99</v>
      </c>
      <c r="B865" s="49" t="str">
        <f>'04_MOTOR_CÁLCULO'!B945</f>
        <v>H</v>
      </c>
      <c r="C865" s="101" t="str">
        <f>'04_MOTOR_CÁLCULO'!C945</f>
        <v>Atividades auxiliares dos transportes aquaviários não especificadas anteriormente</v>
      </c>
      <c r="D865" s="14" t="str">
        <f>'04_MOTOR_CÁLCULO'!D945</f>
        <v xml:space="preserve">ARMAZENAMENTO E </v>
      </c>
      <c r="E865" s="78" t="str">
        <f>'04_MOTOR_CÁLCULO'!N945</f>
        <v>CNAE-STG</v>
      </c>
      <c r="F865" s="55">
        <f>'04_MOTOR_CÁLCULO'!K945</f>
        <v>1</v>
      </c>
      <c r="G865" s="56">
        <f>'04_MOTOR_CÁLCULO'!K945-1</f>
        <v>0</v>
      </c>
      <c r="H865" s="57" t="str">
        <f>'04_MOTOR_CÁLCULO'!M945</f>
        <v>Médio</v>
      </c>
    </row>
    <row r="866" spans="1:8" ht="13.5" customHeight="1" x14ac:dyDescent="0.25">
      <c r="A866" s="24" t="str">
        <f>'04_MOTOR_CÁLCULO'!A946</f>
        <v>5240-1/01</v>
      </c>
      <c r="B866" s="38" t="str">
        <f>'04_MOTOR_CÁLCULO'!B946</f>
        <v>H</v>
      </c>
      <c r="C866" s="100" t="str">
        <f>'04_MOTOR_CÁLCULO'!C946</f>
        <v>Operação dos aeroportos e campos de aterrissagem</v>
      </c>
      <c r="D866" s="25" t="str">
        <f>'04_MOTOR_CÁLCULO'!D946</f>
        <v xml:space="preserve">ARMAZENAMENTO E </v>
      </c>
      <c r="E866" s="78" t="str">
        <f>'04_MOTOR_CÁLCULO'!N946</f>
        <v>CNAE-STG</v>
      </c>
      <c r="F866" s="55">
        <f>'04_MOTOR_CÁLCULO'!K946</f>
        <v>1</v>
      </c>
      <c r="G866" s="56">
        <f>'04_MOTOR_CÁLCULO'!K946-1</f>
        <v>0</v>
      </c>
      <c r="H866" s="57" t="str">
        <f>'04_MOTOR_CÁLCULO'!M946</f>
        <v>Médio</v>
      </c>
    </row>
    <row r="867" spans="1:8" ht="13.5" customHeight="1" x14ac:dyDescent="0.25">
      <c r="A867" s="13" t="str">
        <f>'04_MOTOR_CÁLCULO'!A947</f>
        <v>5240-1/99</v>
      </c>
      <c r="B867" s="49" t="str">
        <f>'04_MOTOR_CÁLCULO'!B947</f>
        <v>H</v>
      </c>
      <c r="C867" s="101" t="str">
        <f>'04_MOTOR_CÁLCULO'!C947</f>
        <v>Atividades auxiliares dos transportes aéreos, exceto operação dos aeroportos e campos de aterrissagem</v>
      </c>
      <c r="D867" s="14" t="str">
        <f>'04_MOTOR_CÁLCULO'!D947</f>
        <v xml:space="preserve">ARMAZENAMENTO E </v>
      </c>
      <c r="E867" s="78" t="str">
        <f>'04_MOTOR_CÁLCULO'!N947</f>
        <v>CNAE-STG</v>
      </c>
      <c r="F867" s="55">
        <f>'04_MOTOR_CÁLCULO'!K947</f>
        <v>1</v>
      </c>
      <c r="G867" s="56">
        <f>'04_MOTOR_CÁLCULO'!K947-1</f>
        <v>0</v>
      </c>
      <c r="H867" s="57" t="str">
        <f>'04_MOTOR_CÁLCULO'!M947</f>
        <v>Médio</v>
      </c>
    </row>
    <row r="868" spans="1:8" ht="13.5" customHeight="1" x14ac:dyDescent="0.25">
      <c r="A868" s="24" t="str">
        <f>'04_MOTOR_CÁLCULO'!A948</f>
        <v>5250-8/01</v>
      </c>
      <c r="B868" s="38" t="str">
        <f>'04_MOTOR_CÁLCULO'!B948</f>
        <v>H</v>
      </c>
      <c r="C868" s="100" t="str">
        <f>'04_MOTOR_CÁLCULO'!C948</f>
        <v>Comissaria de despachos</v>
      </c>
      <c r="D868" s="25" t="str">
        <f>'04_MOTOR_CÁLCULO'!D948</f>
        <v xml:space="preserve">ARMAZENAMENTO E </v>
      </c>
      <c r="E868" s="78" t="str">
        <f>'04_MOTOR_CÁLCULO'!N948</f>
        <v>CNAE-STG</v>
      </c>
      <c r="F868" s="55">
        <f>'04_MOTOR_CÁLCULO'!K948</f>
        <v>1</v>
      </c>
      <c r="G868" s="56">
        <f>'04_MOTOR_CÁLCULO'!K948-1</f>
        <v>0</v>
      </c>
      <c r="H868" s="57" t="str">
        <f>'04_MOTOR_CÁLCULO'!M948</f>
        <v>Médio</v>
      </c>
    </row>
    <row r="869" spans="1:8" ht="13.5" customHeight="1" x14ac:dyDescent="0.25">
      <c r="A869" s="13" t="str">
        <f>'04_MOTOR_CÁLCULO'!A949</f>
        <v>5250-8/02</v>
      </c>
      <c r="B869" s="49" t="str">
        <f>'04_MOTOR_CÁLCULO'!B949</f>
        <v>H</v>
      </c>
      <c r="C869" s="101" t="str">
        <f>'04_MOTOR_CÁLCULO'!C949</f>
        <v>Atividades de despachantes aduaneiros</v>
      </c>
      <c r="D869" s="14" t="str">
        <f>'04_MOTOR_CÁLCULO'!D949</f>
        <v xml:space="preserve">ARMAZENAMENTO E </v>
      </c>
      <c r="E869" s="78" t="str">
        <f>'04_MOTOR_CÁLCULO'!N949</f>
        <v>CNAE-STG</v>
      </c>
      <c r="F869" s="55">
        <f>'04_MOTOR_CÁLCULO'!K949</f>
        <v>1</v>
      </c>
      <c r="G869" s="56">
        <f>'04_MOTOR_CÁLCULO'!K949-1</f>
        <v>0</v>
      </c>
      <c r="H869" s="57" t="str">
        <f>'04_MOTOR_CÁLCULO'!M949</f>
        <v>Médio</v>
      </c>
    </row>
    <row r="870" spans="1:8" ht="13.5" customHeight="1" x14ac:dyDescent="0.25">
      <c r="A870" s="24" t="str">
        <f>'04_MOTOR_CÁLCULO'!A950</f>
        <v>5250-8/03</v>
      </c>
      <c r="B870" s="38" t="str">
        <f>'04_MOTOR_CÁLCULO'!B950</f>
        <v>H</v>
      </c>
      <c r="C870" s="100" t="str">
        <f>'04_MOTOR_CÁLCULO'!C950</f>
        <v>Agenciamento de cargas, exceto para o transporte marítimo</v>
      </c>
      <c r="D870" s="25" t="str">
        <f>'04_MOTOR_CÁLCULO'!D950</f>
        <v xml:space="preserve">ARMAZENAMENTO E </v>
      </c>
      <c r="E870" s="78" t="str">
        <f>'04_MOTOR_CÁLCULO'!N950</f>
        <v>CNAE-STG</v>
      </c>
      <c r="F870" s="55">
        <f>'04_MOTOR_CÁLCULO'!K950</f>
        <v>1</v>
      </c>
      <c r="G870" s="56">
        <f>'04_MOTOR_CÁLCULO'!K950-1</f>
        <v>0</v>
      </c>
      <c r="H870" s="57" t="str">
        <f>'04_MOTOR_CÁLCULO'!M950</f>
        <v>Médio</v>
      </c>
    </row>
    <row r="871" spans="1:8" ht="13.5" customHeight="1" x14ac:dyDescent="0.25">
      <c r="A871" s="13" t="str">
        <f>'04_MOTOR_CÁLCULO'!A951</f>
        <v>5250-8/04</v>
      </c>
      <c r="B871" s="49" t="str">
        <f>'04_MOTOR_CÁLCULO'!B951</f>
        <v>H</v>
      </c>
      <c r="C871" s="101" t="str">
        <f>'04_MOTOR_CÁLCULO'!C951</f>
        <v>Organização logística do transporte de carga</v>
      </c>
      <c r="D871" s="14" t="str">
        <f>'04_MOTOR_CÁLCULO'!D951</f>
        <v xml:space="preserve">ARMAZENAMENTO E </v>
      </c>
      <c r="E871" s="78" t="str">
        <f>'04_MOTOR_CÁLCULO'!N951</f>
        <v>CNAE-STG</v>
      </c>
      <c r="F871" s="55">
        <f>'04_MOTOR_CÁLCULO'!K951</f>
        <v>1</v>
      </c>
      <c r="G871" s="56">
        <f>'04_MOTOR_CÁLCULO'!K951-1</f>
        <v>0</v>
      </c>
      <c r="H871" s="57" t="str">
        <f>'04_MOTOR_CÁLCULO'!M951</f>
        <v>Médio</v>
      </c>
    </row>
    <row r="872" spans="1:8" ht="13.5" customHeight="1" x14ac:dyDescent="0.25">
      <c r="A872" s="24" t="str">
        <f>'04_MOTOR_CÁLCULO'!A952</f>
        <v>5250-8/05</v>
      </c>
      <c r="B872" s="38" t="str">
        <f>'04_MOTOR_CÁLCULO'!B952</f>
        <v>H</v>
      </c>
      <c r="C872" s="100" t="str">
        <f>'04_MOTOR_CÁLCULO'!C952</f>
        <v>Operador de transporte multimodal - OTM</v>
      </c>
      <c r="D872" s="25" t="str">
        <f>'04_MOTOR_CÁLCULO'!D952</f>
        <v xml:space="preserve">ARMAZENAMENTO E </v>
      </c>
      <c r="E872" s="78" t="str">
        <f>'04_MOTOR_CÁLCULO'!N952</f>
        <v>CNAE-STG</v>
      </c>
      <c r="F872" s="55">
        <f>'04_MOTOR_CÁLCULO'!K952</f>
        <v>1</v>
      </c>
      <c r="G872" s="56">
        <f>'04_MOTOR_CÁLCULO'!K952-1</f>
        <v>0</v>
      </c>
      <c r="H872" s="57" t="str">
        <f>'04_MOTOR_CÁLCULO'!M952</f>
        <v>Médio</v>
      </c>
    </row>
    <row r="873" spans="1:8" ht="13.5" customHeight="1" x14ac:dyDescent="0.25">
      <c r="A873" s="13" t="str">
        <f>'04_MOTOR_CÁLCULO'!A953</f>
        <v>5310-5/01</v>
      </c>
      <c r="B873" s="49" t="str">
        <f>'04_MOTOR_CÁLCULO'!B953</f>
        <v>H</v>
      </c>
      <c r="C873" s="101" t="str">
        <f>'04_MOTOR_CÁLCULO'!C953</f>
        <v>Atividades do Correio Nacional</v>
      </c>
      <c r="D873" s="14" t="str">
        <f>'04_MOTOR_CÁLCULO'!D953</f>
        <v>CORREIO E OUTRAS</v>
      </c>
      <c r="E873" s="78" t="str">
        <f>'04_MOTOR_CÁLCULO'!N953</f>
        <v>CNAE-STG</v>
      </c>
      <c r="F873" s="55">
        <f>'04_MOTOR_CÁLCULO'!K953</f>
        <v>1</v>
      </c>
      <c r="G873" s="56">
        <f>'04_MOTOR_CÁLCULO'!K953-1</f>
        <v>0</v>
      </c>
      <c r="H873" s="57" t="str">
        <f>'04_MOTOR_CÁLCULO'!M953</f>
        <v>Médio</v>
      </c>
    </row>
    <row r="874" spans="1:8" ht="13.5" customHeight="1" x14ac:dyDescent="0.25">
      <c r="A874" s="24" t="str">
        <f>'04_MOTOR_CÁLCULO'!A954</f>
        <v>5310-5/02</v>
      </c>
      <c r="B874" s="38" t="str">
        <f>'04_MOTOR_CÁLCULO'!B954</f>
        <v>H</v>
      </c>
      <c r="C874" s="100" t="str">
        <f>'04_MOTOR_CÁLCULO'!C954</f>
        <v>Atividades de franqueadas e permissionárias do Correio Nacional</v>
      </c>
      <c r="D874" s="25" t="str">
        <f>'04_MOTOR_CÁLCULO'!D954</f>
        <v>CORREIO E OUTRAS</v>
      </c>
      <c r="E874" s="78" t="str">
        <f>'04_MOTOR_CÁLCULO'!N954</f>
        <v>CNAE-STG</v>
      </c>
      <c r="F874" s="55">
        <f>'04_MOTOR_CÁLCULO'!K954</f>
        <v>1</v>
      </c>
      <c r="G874" s="56">
        <f>'04_MOTOR_CÁLCULO'!K954-1</f>
        <v>0</v>
      </c>
      <c r="H874" s="57" t="str">
        <f>'04_MOTOR_CÁLCULO'!M954</f>
        <v>Médio</v>
      </c>
    </row>
    <row r="875" spans="1:8" ht="13.5" customHeight="1" x14ac:dyDescent="0.25">
      <c r="A875" s="13" t="str">
        <f>'04_MOTOR_CÁLCULO'!A955</f>
        <v>5320-2/01</v>
      </c>
      <c r="B875" s="49" t="str">
        <f>'04_MOTOR_CÁLCULO'!B955</f>
        <v>H</v>
      </c>
      <c r="C875" s="101" t="str">
        <f>'04_MOTOR_CÁLCULO'!C955</f>
        <v>Serviços de malote não realizados pelo Correio Nacional</v>
      </c>
      <c r="D875" s="14" t="str">
        <f>'04_MOTOR_CÁLCULO'!D955</f>
        <v>CORREIO E OUTRAS</v>
      </c>
      <c r="E875" s="78" t="str">
        <f>'04_MOTOR_CÁLCULO'!N955</f>
        <v>CNAE-STG</v>
      </c>
      <c r="F875" s="55">
        <f>'04_MOTOR_CÁLCULO'!K955</f>
        <v>1</v>
      </c>
      <c r="G875" s="56">
        <f>'04_MOTOR_CÁLCULO'!K955-1</f>
        <v>0</v>
      </c>
      <c r="H875" s="57" t="str">
        <f>'04_MOTOR_CÁLCULO'!M955</f>
        <v>Médio</v>
      </c>
    </row>
    <row r="876" spans="1:8" ht="13.5" customHeight="1" x14ac:dyDescent="0.25">
      <c r="A876" s="24" t="str">
        <f>'04_MOTOR_CÁLCULO'!A956</f>
        <v>5320-2/02</v>
      </c>
      <c r="B876" s="38" t="str">
        <f>'04_MOTOR_CÁLCULO'!B956</f>
        <v>H</v>
      </c>
      <c r="C876" s="100" t="str">
        <f>'04_MOTOR_CÁLCULO'!C956</f>
        <v>Serviços de entrega rápida</v>
      </c>
      <c r="D876" s="25" t="str">
        <f>'04_MOTOR_CÁLCULO'!D956</f>
        <v>CORREIO E OUTRAS</v>
      </c>
      <c r="E876" s="78" t="str">
        <f>'04_MOTOR_CÁLCULO'!N956</f>
        <v>CNAE-STG</v>
      </c>
      <c r="F876" s="55">
        <f>'04_MOTOR_CÁLCULO'!K956</f>
        <v>1</v>
      </c>
      <c r="G876" s="56">
        <f>'04_MOTOR_CÁLCULO'!K956-1</f>
        <v>0</v>
      </c>
      <c r="H876" s="57" t="str">
        <f>'04_MOTOR_CÁLCULO'!M956</f>
        <v>Médio</v>
      </c>
    </row>
    <row r="877" spans="1:8" ht="13.5" customHeight="1" x14ac:dyDescent="0.25">
      <c r="A877" s="13" t="str">
        <f>'04_MOTOR_CÁLCULO'!A964</f>
        <v>5611-2/01</v>
      </c>
      <c r="B877" s="49" t="str">
        <f>'04_MOTOR_CÁLCULO'!B964</f>
        <v>I</v>
      </c>
      <c r="C877" s="101" t="str">
        <f>'04_MOTOR_CÁLCULO'!C964</f>
        <v>Restaurantes e similares</v>
      </c>
      <c r="D877" s="14" t="str">
        <f>'04_MOTOR_CÁLCULO'!D964</f>
        <v>ALIMENTAÇÃO</v>
      </c>
      <c r="E877" s="78" t="str">
        <f>'04_MOTOR_CÁLCULO'!N964</f>
        <v>CNAE-STG</v>
      </c>
      <c r="F877" s="55">
        <f>'04_MOTOR_CÁLCULO'!K964</f>
        <v>1</v>
      </c>
      <c r="G877" s="56">
        <f>'04_MOTOR_CÁLCULO'!K964-1</f>
        <v>0</v>
      </c>
      <c r="H877" s="57" t="str">
        <f>'04_MOTOR_CÁLCULO'!M964</f>
        <v>Médio</v>
      </c>
    </row>
    <row r="878" spans="1:8" ht="13.5" customHeight="1" x14ac:dyDescent="0.25">
      <c r="A878" s="24" t="str">
        <f>'04_MOTOR_CÁLCULO'!A965</f>
        <v>5611-2/03</v>
      </c>
      <c r="B878" s="38" t="str">
        <f>'04_MOTOR_CÁLCULO'!B965</f>
        <v>I</v>
      </c>
      <c r="C878" s="100" t="str">
        <f>'04_MOTOR_CÁLCULO'!C965</f>
        <v>Lanchonetes, casas de chá, de sucos e similares</v>
      </c>
      <c r="D878" s="25" t="str">
        <f>'04_MOTOR_CÁLCULO'!D965</f>
        <v>ALIMENTAÇÃO</v>
      </c>
      <c r="E878" s="78" t="str">
        <f>'04_MOTOR_CÁLCULO'!N965</f>
        <v>CNAE-STG</v>
      </c>
      <c r="F878" s="55">
        <f>'04_MOTOR_CÁLCULO'!K965</f>
        <v>1</v>
      </c>
      <c r="G878" s="56">
        <f>'04_MOTOR_CÁLCULO'!K965-1</f>
        <v>0</v>
      </c>
      <c r="H878" s="57" t="str">
        <f>'04_MOTOR_CÁLCULO'!M965</f>
        <v>Médio</v>
      </c>
    </row>
    <row r="879" spans="1:8" ht="13.5" customHeight="1" x14ac:dyDescent="0.25">
      <c r="A879" s="13" t="str">
        <f>'04_MOTOR_CÁLCULO'!A966</f>
        <v>5611-2/04</v>
      </c>
      <c r="B879" s="49" t="str">
        <f>'04_MOTOR_CÁLCULO'!B966</f>
        <v>I</v>
      </c>
      <c r="C879" s="101" t="str">
        <f>'04_MOTOR_CÁLCULO'!C966</f>
        <v>Bares e outros estabelecimentos especializados em servir bebidas, sem entretenimento</v>
      </c>
      <c r="D879" s="14" t="str">
        <f>'04_MOTOR_CÁLCULO'!D966</f>
        <v>ALIMENTAÇÃO</v>
      </c>
      <c r="E879" s="78" t="str">
        <f>'04_MOTOR_CÁLCULO'!N966</f>
        <v>CNAE-STG</v>
      </c>
      <c r="F879" s="55">
        <f>'04_MOTOR_CÁLCULO'!K966</f>
        <v>1</v>
      </c>
      <c r="G879" s="56">
        <f>'04_MOTOR_CÁLCULO'!K966-1</f>
        <v>0</v>
      </c>
      <c r="H879" s="57" t="str">
        <f>'04_MOTOR_CÁLCULO'!M966</f>
        <v>Médio</v>
      </c>
    </row>
    <row r="880" spans="1:8" ht="13.5" customHeight="1" x14ac:dyDescent="0.25">
      <c r="A880" s="24" t="str">
        <f>'04_MOTOR_CÁLCULO'!A967</f>
        <v>5611-2/05</v>
      </c>
      <c r="B880" s="38" t="str">
        <f>'04_MOTOR_CÁLCULO'!B967</f>
        <v>I</v>
      </c>
      <c r="C880" s="100" t="str">
        <f>'04_MOTOR_CÁLCULO'!C967</f>
        <v>Bares e outros estabelecimentos especializados em servir bebidas, com entretenimento</v>
      </c>
      <c r="D880" s="25" t="str">
        <f>'04_MOTOR_CÁLCULO'!D967</f>
        <v>ALIMENTAÇÃO</v>
      </c>
      <c r="E880" s="78" t="str">
        <f>'04_MOTOR_CÁLCULO'!N967</f>
        <v>CNAE-STG</v>
      </c>
      <c r="F880" s="55">
        <f>'04_MOTOR_CÁLCULO'!K967</f>
        <v>1</v>
      </c>
      <c r="G880" s="56">
        <f>'04_MOTOR_CÁLCULO'!K967-1</f>
        <v>0</v>
      </c>
      <c r="H880" s="57" t="str">
        <f>'04_MOTOR_CÁLCULO'!M967</f>
        <v>Médio</v>
      </c>
    </row>
    <row r="881" spans="1:8" ht="13.5" customHeight="1" x14ac:dyDescent="0.25">
      <c r="A881" s="13" t="str">
        <f>'04_MOTOR_CÁLCULO'!A968</f>
        <v>5612-1/00</v>
      </c>
      <c r="B881" s="49" t="str">
        <f>'04_MOTOR_CÁLCULO'!B968</f>
        <v>I</v>
      </c>
      <c r="C881" s="101" t="str">
        <f>'04_MOTOR_CÁLCULO'!C968</f>
        <v>Serviços ambulantes de alimentação</v>
      </c>
      <c r="D881" s="14" t="str">
        <f>'04_MOTOR_CÁLCULO'!D968</f>
        <v>ALIMENTAÇÃO</v>
      </c>
      <c r="E881" s="78" t="str">
        <f>'04_MOTOR_CÁLCULO'!N968</f>
        <v>CNAE-STG</v>
      </c>
      <c r="F881" s="55">
        <f>'04_MOTOR_CÁLCULO'!K968</f>
        <v>1</v>
      </c>
      <c r="G881" s="56">
        <f>'04_MOTOR_CÁLCULO'!K968-1</f>
        <v>0</v>
      </c>
      <c r="H881" s="57" t="str">
        <f>'04_MOTOR_CÁLCULO'!M968</f>
        <v>Médio</v>
      </c>
    </row>
    <row r="882" spans="1:8" ht="13.5" customHeight="1" x14ac:dyDescent="0.25">
      <c r="A882" s="24" t="str">
        <f>'04_MOTOR_CÁLCULO'!A969</f>
        <v>5620-1/01</v>
      </c>
      <c r="B882" s="38" t="str">
        <f>'04_MOTOR_CÁLCULO'!B969</f>
        <v>I</v>
      </c>
      <c r="C882" s="100" t="str">
        <f>'04_MOTOR_CÁLCULO'!C969</f>
        <v>Fornecimento de alimentos preparados preponderantemente para empresas</v>
      </c>
      <c r="D882" s="25" t="str">
        <f>'04_MOTOR_CÁLCULO'!D969</f>
        <v>ALIMENTAÇÃO</v>
      </c>
      <c r="E882" s="78" t="str">
        <f>'04_MOTOR_CÁLCULO'!N969</f>
        <v>CNAE-STG</v>
      </c>
      <c r="F882" s="55">
        <f>'04_MOTOR_CÁLCULO'!K969</f>
        <v>1</v>
      </c>
      <c r="G882" s="56">
        <f>'04_MOTOR_CÁLCULO'!K969-1</f>
        <v>0</v>
      </c>
      <c r="H882" s="57" t="str">
        <f>'04_MOTOR_CÁLCULO'!M969</f>
        <v>Médio</v>
      </c>
    </row>
    <row r="883" spans="1:8" ht="13.5" customHeight="1" x14ac:dyDescent="0.25">
      <c r="A883" s="13" t="str">
        <f>'04_MOTOR_CÁLCULO'!A970</f>
        <v>5620-1/02</v>
      </c>
      <c r="B883" s="49" t="str">
        <f>'04_MOTOR_CÁLCULO'!B970</f>
        <v>I</v>
      </c>
      <c r="C883" s="101" t="str">
        <f>'04_MOTOR_CÁLCULO'!C970</f>
        <v>Serviços de alimentação para eventos e recepções - bufê</v>
      </c>
      <c r="D883" s="14" t="str">
        <f>'04_MOTOR_CÁLCULO'!D970</f>
        <v>ALIMENTAÇÃO</v>
      </c>
      <c r="E883" s="78" t="str">
        <f>'04_MOTOR_CÁLCULO'!N970</f>
        <v>CNAE-STG</v>
      </c>
      <c r="F883" s="55">
        <f>'04_MOTOR_CÁLCULO'!K970</f>
        <v>1</v>
      </c>
      <c r="G883" s="56">
        <f>'04_MOTOR_CÁLCULO'!K970-1</f>
        <v>0</v>
      </c>
      <c r="H883" s="57" t="str">
        <f>'04_MOTOR_CÁLCULO'!M970</f>
        <v>Médio</v>
      </c>
    </row>
    <row r="884" spans="1:8" ht="13.5" customHeight="1" x14ac:dyDescent="0.25">
      <c r="A884" s="24" t="str">
        <f>'04_MOTOR_CÁLCULO'!A971</f>
        <v>5620-1/03</v>
      </c>
      <c r="B884" s="38" t="str">
        <f>'04_MOTOR_CÁLCULO'!B971</f>
        <v>I</v>
      </c>
      <c r="C884" s="100" t="str">
        <f>'04_MOTOR_CÁLCULO'!C971</f>
        <v>Cantinas - serviços de alimentação privativos</v>
      </c>
      <c r="D884" s="25" t="str">
        <f>'04_MOTOR_CÁLCULO'!D971</f>
        <v>ALIMENTAÇÃO</v>
      </c>
      <c r="E884" s="78" t="str">
        <f>'04_MOTOR_CÁLCULO'!N971</f>
        <v>CNAE-STG</v>
      </c>
      <c r="F884" s="55">
        <f>'04_MOTOR_CÁLCULO'!K971</f>
        <v>1</v>
      </c>
      <c r="G884" s="56">
        <f>'04_MOTOR_CÁLCULO'!K971-1</f>
        <v>0</v>
      </c>
      <c r="H884" s="57" t="str">
        <f>'04_MOTOR_CÁLCULO'!M971</f>
        <v>Médio</v>
      </c>
    </row>
    <row r="885" spans="1:8" ht="13.5" customHeight="1" x14ac:dyDescent="0.25">
      <c r="A885" s="13" t="str">
        <f>'04_MOTOR_CÁLCULO'!A972</f>
        <v>5620-1/04</v>
      </c>
      <c r="B885" s="49" t="str">
        <f>'04_MOTOR_CÁLCULO'!B972</f>
        <v>I</v>
      </c>
      <c r="C885" s="101" t="str">
        <f>'04_MOTOR_CÁLCULO'!C972</f>
        <v>Fornecimento de alimentos preparados preponderantemente para consumo domiciliar</v>
      </c>
      <c r="D885" s="14" t="str">
        <f>'04_MOTOR_CÁLCULO'!D972</f>
        <v>ALIMENTAÇÃO</v>
      </c>
      <c r="E885" s="78" t="str">
        <f>'04_MOTOR_CÁLCULO'!N972</f>
        <v>CNAE-STG</v>
      </c>
      <c r="F885" s="55">
        <f>'04_MOTOR_CÁLCULO'!K972</f>
        <v>1</v>
      </c>
      <c r="G885" s="56">
        <f>'04_MOTOR_CÁLCULO'!K972-1</f>
        <v>0</v>
      </c>
      <c r="H885" s="57" t="str">
        <f>'04_MOTOR_CÁLCULO'!M972</f>
        <v>Médio</v>
      </c>
    </row>
    <row r="886" spans="1:8" ht="13.5" customHeight="1" x14ac:dyDescent="0.25">
      <c r="A886" s="24" t="str">
        <f>'04_MOTOR_CÁLCULO'!A996</f>
        <v>6110-8/01</v>
      </c>
      <c r="B886" s="38" t="str">
        <f>'04_MOTOR_CÁLCULO'!B996</f>
        <v>J</v>
      </c>
      <c r="C886" s="100" t="str">
        <f>'04_MOTOR_CÁLCULO'!C996</f>
        <v>Serviços de telefonia fixa comutada - STFC</v>
      </c>
      <c r="D886" s="25" t="str">
        <f>'04_MOTOR_CÁLCULO'!D996</f>
        <v>TELECOMUNICAÇÕES</v>
      </c>
      <c r="E886" s="78" t="str">
        <f>'04_MOTOR_CÁLCULO'!N996</f>
        <v>CNAE-STG</v>
      </c>
      <c r="F886" s="55">
        <f>'04_MOTOR_CÁLCULO'!K996</f>
        <v>1</v>
      </c>
      <c r="G886" s="56">
        <f>'04_MOTOR_CÁLCULO'!K996-1</f>
        <v>0</v>
      </c>
      <c r="H886" s="57" t="str">
        <f>'04_MOTOR_CÁLCULO'!M996</f>
        <v>Médio</v>
      </c>
    </row>
    <row r="887" spans="1:8" ht="13.5" customHeight="1" x14ac:dyDescent="0.25">
      <c r="A887" s="13" t="str">
        <f>'04_MOTOR_CÁLCULO'!A997</f>
        <v>6110-8/02</v>
      </c>
      <c r="B887" s="49" t="str">
        <f>'04_MOTOR_CÁLCULO'!B997</f>
        <v>J</v>
      </c>
      <c r="C887" s="101" t="str">
        <f>'04_MOTOR_CÁLCULO'!C997</f>
        <v>Serviços de redes de transporte de telecomunicações - SRTT</v>
      </c>
      <c r="D887" s="14" t="str">
        <f>'04_MOTOR_CÁLCULO'!D997</f>
        <v>TELECOMUNICAÇÕES</v>
      </c>
      <c r="E887" s="78" t="str">
        <f>'04_MOTOR_CÁLCULO'!N997</f>
        <v>CNAE-STG</v>
      </c>
      <c r="F887" s="55">
        <f>'04_MOTOR_CÁLCULO'!K997</f>
        <v>1</v>
      </c>
      <c r="G887" s="56">
        <f>'04_MOTOR_CÁLCULO'!K997-1</f>
        <v>0</v>
      </c>
      <c r="H887" s="57" t="str">
        <f>'04_MOTOR_CÁLCULO'!M997</f>
        <v>Médio</v>
      </c>
    </row>
    <row r="888" spans="1:8" ht="13.5" customHeight="1" x14ac:dyDescent="0.25">
      <c r="A888" s="24" t="str">
        <f>'04_MOTOR_CÁLCULO'!A998</f>
        <v>6110-8/03</v>
      </c>
      <c r="B888" s="38" t="str">
        <f>'04_MOTOR_CÁLCULO'!B998</f>
        <v>J</v>
      </c>
      <c r="C888" s="100" t="str">
        <f>'04_MOTOR_CÁLCULO'!C998</f>
        <v>Serviços de comunicação multimídia - SCM</v>
      </c>
      <c r="D888" s="25" t="str">
        <f>'04_MOTOR_CÁLCULO'!D998</f>
        <v>TELECOMUNICAÇÕES</v>
      </c>
      <c r="E888" s="78" t="str">
        <f>'04_MOTOR_CÁLCULO'!N998</f>
        <v>CNAE-STG</v>
      </c>
      <c r="F888" s="55">
        <f>'04_MOTOR_CÁLCULO'!K998</f>
        <v>1</v>
      </c>
      <c r="G888" s="56">
        <f>'04_MOTOR_CÁLCULO'!K998-1</f>
        <v>0</v>
      </c>
      <c r="H888" s="57" t="str">
        <f>'04_MOTOR_CÁLCULO'!M998</f>
        <v>Médio</v>
      </c>
    </row>
    <row r="889" spans="1:8" ht="13.5" customHeight="1" x14ac:dyDescent="0.25">
      <c r="A889" s="13" t="str">
        <f>'04_MOTOR_CÁLCULO'!A999</f>
        <v>6110-8/99</v>
      </c>
      <c r="B889" s="49" t="str">
        <f>'04_MOTOR_CÁLCULO'!B999</f>
        <v>J</v>
      </c>
      <c r="C889" s="101" t="str">
        <f>'04_MOTOR_CÁLCULO'!C999</f>
        <v>Serviços de telecomunicações por fio não especificados anteriormente</v>
      </c>
      <c r="D889" s="14" t="str">
        <f>'04_MOTOR_CÁLCULO'!D999</f>
        <v>TELECOMUNICAÇÕES</v>
      </c>
      <c r="E889" s="78" t="str">
        <f>'04_MOTOR_CÁLCULO'!N999</f>
        <v>CNAE-STG</v>
      </c>
      <c r="F889" s="55">
        <f>'04_MOTOR_CÁLCULO'!K999</f>
        <v>1</v>
      </c>
      <c r="G889" s="56">
        <f>'04_MOTOR_CÁLCULO'!K999-1</f>
        <v>0</v>
      </c>
      <c r="H889" s="57" t="str">
        <f>'04_MOTOR_CÁLCULO'!M999</f>
        <v>Médio</v>
      </c>
    </row>
    <row r="890" spans="1:8" ht="13.5" customHeight="1" x14ac:dyDescent="0.25">
      <c r="A890" s="24" t="str">
        <f>'04_MOTOR_CÁLCULO'!A1000</f>
        <v>6120-5/01</v>
      </c>
      <c r="B890" s="38" t="str">
        <f>'04_MOTOR_CÁLCULO'!B1000</f>
        <v>J</v>
      </c>
      <c r="C890" s="100" t="str">
        <f>'04_MOTOR_CÁLCULO'!C1000</f>
        <v>Telefonia móvel celular</v>
      </c>
      <c r="D890" s="25" t="str">
        <f>'04_MOTOR_CÁLCULO'!D1000</f>
        <v>TELECOMUNICAÇÕES</v>
      </c>
      <c r="E890" s="78" t="str">
        <f>'04_MOTOR_CÁLCULO'!N1000</f>
        <v>CNAE-STG</v>
      </c>
      <c r="F890" s="55">
        <f>'04_MOTOR_CÁLCULO'!K1000</f>
        <v>1</v>
      </c>
      <c r="G890" s="56">
        <f>'04_MOTOR_CÁLCULO'!K1000-1</f>
        <v>0</v>
      </c>
      <c r="H890" s="57" t="str">
        <f>'04_MOTOR_CÁLCULO'!M1000</f>
        <v>Médio</v>
      </c>
    </row>
    <row r="891" spans="1:8" ht="13.5" customHeight="1" x14ac:dyDescent="0.25">
      <c r="A891" s="13" t="str">
        <f>'04_MOTOR_CÁLCULO'!A1001</f>
        <v>6120-5/02</v>
      </c>
      <c r="B891" s="49" t="str">
        <f>'04_MOTOR_CÁLCULO'!B1001</f>
        <v>J</v>
      </c>
      <c r="C891" s="101" t="str">
        <f>'04_MOTOR_CÁLCULO'!C1001</f>
        <v>Serviço móvel especializado - SME</v>
      </c>
      <c r="D891" s="14" t="str">
        <f>'04_MOTOR_CÁLCULO'!D1001</f>
        <v>TELECOMUNICAÇÕES</v>
      </c>
      <c r="E891" s="78" t="str">
        <f>'04_MOTOR_CÁLCULO'!N1001</f>
        <v>CNAE-STG</v>
      </c>
      <c r="F891" s="55">
        <f>'04_MOTOR_CÁLCULO'!K1001</f>
        <v>1</v>
      </c>
      <c r="G891" s="56">
        <f>'04_MOTOR_CÁLCULO'!K1001-1</f>
        <v>0</v>
      </c>
      <c r="H891" s="57" t="str">
        <f>'04_MOTOR_CÁLCULO'!M1001</f>
        <v>Médio</v>
      </c>
    </row>
    <row r="892" spans="1:8" ht="13.5" customHeight="1" x14ac:dyDescent="0.25">
      <c r="A892" s="24" t="str">
        <f>'04_MOTOR_CÁLCULO'!A1002</f>
        <v>6120-5/99</v>
      </c>
      <c r="B892" s="38" t="str">
        <f>'04_MOTOR_CÁLCULO'!B1002</f>
        <v>J</v>
      </c>
      <c r="C892" s="100" t="str">
        <f>'04_MOTOR_CÁLCULO'!C1002</f>
        <v>Serviços de telecomunicações sem fio não especificados anteriormente</v>
      </c>
      <c r="D892" s="25" t="str">
        <f>'04_MOTOR_CÁLCULO'!D1002</f>
        <v>TELECOMUNICAÇÕES</v>
      </c>
      <c r="E892" s="78" t="str">
        <f>'04_MOTOR_CÁLCULO'!N1002</f>
        <v>CNAE-STG</v>
      </c>
      <c r="F892" s="55">
        <f>'04_MOTOR_CÁLCULO'!K1002</f>
        <v>1</v>
      </c>
      <c r="G892" s="56">
        <f>'04_MOTOR_CÁLCULO'!K1002-1</f>
        <v>0</v>
      </c>
      <c r="H892" s="57" t="str">
        <f>'04_MOTOR_CÁLCULO'!M1002</f>
        <v>Médio</v>
      </c>
    </row>
    <row r="893" spans="1:8" ht="13.5" customHeight="1" x14ac:dyDescent="0.25">
      <c r="A893" s="13" t="str">
        <f>'04_MOTOR_CÁLCULO'!A1003</f>
        <v>6130-2/00</v>
      </c>
      <c r="B893" s="49" t="str">
        <f>'04_MOTOR_CÁLCULO'!B1003</f>
        <v>J</v>
      </c>
      <c r="C893" s="101" t="str">
        <f>'04_MOTOR_CÁLCULO'!C1003</f>
        <v>Telecomunicações por satélite</v>
      </c>
      <c r="D893" s="14" t="str">
        <f>'04_MOTOR_CÁLCULO'!D1003</f>
        <v>TELECOMUNICAÇÕES</v>
      </c>
      <c r="E893" s="78" t="str">
        <f>'04_MOTOR_CÁLCULO'!N1003</f>
        <v>CNAE-STG</v>
      </c>
      <c r="F893" s="55">
        <f>'04_MOTOR_CÁLCULO'!K1003</f>
        <v>1</v>
      </c>
      <c r="G893" s="56">
        <f>'04_MOTOR_CÁLCULO'!K1003-1</f>
        <v>0</v>
      </c>
      <c r="H893" s="57" t="str">
        <f>'04_MOTOR_CÁLCULO'!M1003</f>
        <v>Médio</v>
      </c>
    </row>
    <row r="894" spans="1:8" ht="13.5" customHeight="1" x14ac:dyDescent="0.25">
      <c r="A894" s="24" t="str">
        <f>'04_MOTOR_CÁLCULO'!A1004</f>
        <v>6141-8/00</v>
      </c>
      <c r="B894" s="38" t="str">
        <f>'04_MOTOR_CÁLCULO'!B1004</f>
        <v>J</v>
      </c>
      <c r="C894" s="100" t="str">
        <f>'04_MOTOR_CÁLCULO'!C1004</f>
        <v>Operadoras de televisão por assinatura por cabo</v>
      </c>
      <c r="D894" s="25" t="str">
        <f>'04_MOTOR_CÁLCULO'!D1004</f>
        <v>TELECOMUNICAÇÕES</v>
      </c>
      <c r="E894" s="78" t="str">
        <f>'04_MOTOR_CÁLCULO'!N1004</f>
        <v>CNAE-STG</v>
      </c>
      <c r="F894" s="55">
        <f>'04_MOTOR_CÁLCULO'!K1004</f>
        <v>1</v>
      </c>
      <c r="G894" s="56">
        <f>'04_MOTOR_CÁLCULO'!K1004-1</f>
        <v>0</v>
      </c>
      <c r="H894" s="57" t="str">
        <f>'04_MOTOR_CÁLCULO'!M1004</f>
        <v>Médio</v>
      </c>
    </row>
    <row r="895" spans="1:8" ht="13.5" customHeight="1" x14ac:dyDescent="0.25">
      <c r="A895" s="13" t="str">
        <f>'04_MOTOR_CÁLCULO'!A1005</f>
        <v>6142-6/00</v>
      </c>
      <c r="B895" s="49" t="str">
        <f>'04_MOTOR_CÁLCULO'!B1005</f>
        <v>J</v>
      </c>
      <c r="C895" s="101" t="str">
        <f>'04_MOTOR_CÁLCULO'!C1005</f>
        <v>Operadoras de televisão por assinatura por micro-ondas</v>
      </c>
      <c r="D895" s="14" t="str">
        <f>'04_MOTOR_CÁLCULO'!D1005</f>
        <v>TELECOMUNICAÇÕES</v>
      </c>
      <c r="E895" s="78" t="str">
        <f>'04_MOTOR_CÁLCULO'!N1005</f>
        <v>CNAE-STG</v>
      </c>
      <c r="F895" s="55">
        <f>'04_MOTOR_CÁLCULO'!K1005</f>
        <v>1</v>
      </c>
      <c r="G895" s="56">
        <f>'04_MOTOR_CÁLCULO'!K1005-1</f>
        <v>0</v>
      </c>
      <c r="H895" s="57" t="str">
        <f>'04_MOTOR_CÁLCULO'!M1005</f>
        <v>Médio</v>
      </c>
    </row>
    <row r="896" spans="1:8" ht="13.5" customHeight="1" x14ac:dyDescent="0.25">
      <c r="A896" s="24" t="str">
        <f>'04_MOTOR_CÁLCULO'!A1006</f>
        <v>6143-4/00</v>
      </c>
      <c r="B896" s="38" t="str">
        <f>'04_MOTOR_CÁLCULO'!B1006</f>
        <v>J</v>
      </c>
      <c r="C896" s="100" t="str">
        <f>'04_MOTOR_CÁLCULO'!C1006</f>
        <v>Operadoras de televisão por assinatura por satélite</v>
      </c>
      <c r="D896" s="25" t="str">
        <f>'04_MOTOR_CÁLCULO'!D1006</f>
        <v>TELECOMUNICAÇÕES</v>
      </c>
      <c r="E896" s="78" t="str">
        <f>'04_MOTOR_CÁLCULO'!N1006</f>
        <v>CNAE-STG</v>
      </c>
      <c r="F896" s="55">
        <f>'04_MOTOR_CÁLCULO'!K1006</f>
        <v>1</v>
      </c>
      <c r="G896" s="56">
        <f>'04_MOTOR_CÁLCULO'!K1006-1</f>
        <v>0</v>
      </c>
      <c r="H896" s="57" t="str">
        <f>'04_MOTOR_CÁLCULO'!M1006</f>
        <v>Médio</v>
      </c>
    </row>
    <row r="897" spans="1:8" ht="13.5" customHeight="1" x14ac:dyDescent="0.25">
      <c r="A897" s="13" t="str">
        <f>'04_MOTOR_CÁLCULO'!A1007</f>
        <v>6190-6/01</v>
      </c>
      <c r="B897" s="49" t="str">
        <f>'04_MOTOR_CÁLCULO'!B1007</f>
        <v>J</v>
      </c>
      <c r="C897" s="101" t="str">
        <f>'04_MOTOR_CÁLCULO'!C1007</f>
        <v>Provedores de acesso às redes de comunicações</v>
      </c>
      <c r="D897" s="14" t="str">
        <f>'04_MOTOR_CÁLCULO'!D1007</f>
        <v>TELECOMUNICAÇÕES</v>
      </c>
      <c r="E897" s="78" t="str">
        <f>'04_MOTOR_CÁLCULO'!N1007</f>
        <v>CNAE-STG</v>
      </c>
      <c r="F897" s="55">
        <f>'04_MOTOR_CÁLCULO'!K1007</f>
        <v>1</v>
      </c>
      <c r="G897" s="56">
        <f>'04_MOTOR_CÁLCULO'!K1007-1</f>
        <v>0</v>
      </c>
      <c r="H897" s="57" t="str">
        <f>'04_MOTOR_CÁLCULO'!M1007</f>
        <v>Médio</v>
      </c>
    </row>
    <row r="898" spans="1:8" ht="13.5" customHeight="1" x14ac:dyDescent="0.25">
      <c r="A898" s="24" t="str">
        <f>'04_MOTOR_CÁLCULO'!A1008</f>
        <v>6190-6/02</v>
      </c>
      <c r="B898" s="38" t="str">
        <f>'04_MOTOR_CÁLCULO'!B1008</f>
        <v>J</v>
      </c>
      <c r="C898" s="100" t="str">
        <f>'04_MOTOR_CÁLCULO'!C1008</f>
        <v>Provedores de voz sobre protocolo Internet - VOIP</v>
      </c>
      <c r="D898" s="25" t="str">
        <f>'04_MOTOR_CÁLCULO'!D1008</f>
        <v>TELECOMUNICAÇÕES</v>
      </c>
      <c r="E898" s="78" t="str">
        <f>'04_MOTOR_CÁLCULO'!N1008</f>
        <v>CNAE-STG</v>
      </c>
      <c r="F898" s="55">
        <f>'04_MOTOR_CÁLCULO'!K1008</f>
        <v>1</v>
      </c>
      <c r="G898" s="56">
        <f>'04_MOTOR_CÁLCULO'!K1008-1</f>
        <v>0</v>
      </c>
      <c r="H898" s="57" t="str">
        <f>'04_MOTOR_CÁLCULO'!M1008</f>
        <v>Médio</v>
      </c>
    </row>
    <row r="899" spans="1:8" ht="13.5" customHeight="1" x14ac:dyDescent="0.25">
      <c r="A899" s="13" t="str">
        <f>'04_MOTOR_CÁLCULO'!A1009</f>
        <v>6190-6/99</v>
      </c>
      <c r="B899" s="49" t="str">
        <f>'04_MOTOR_CÁLCULO'!B1009</f>
        <v>J</v>
      </c>
      <c r="C899" s="101" t="str">
        <f>'04_MOTOR_CÁLCULO'!C1009</f>
        <v>Outras atividades de telecomunicações não especificadas anteriormente</v>
      </c>
      <c r="D899" s="14" t="str">
        <f>'04_MOTOR_CÁLCULO'!D1009</f>
        <v>TELECOMUNICAÇÕES</v>
      </c>
      <c r="E899" s="78" t="str">
        <f>'04_MOTOR_CÁLCULO'!N1009</f>
        <v>CNAE-STG</v>
      </c>
      <c r="F899" s="55">
        <f>'04_MOTOR_CÁLCULO'!K1009</f>
        <v>1</v>
      </c>
      <c r="G899" s="56">
        <f>'04_MOTOR_CÁLCULO'!K1009-1</f>
        <v>0</v>
      </c>
      <c r="H899" s="57" t="str">
        <f>'04_MOTOR_CÁLCULO'!M1009</f>
        <v>Médio</v>
      </c>
    </row>
    <row r="900" spans="1:8" ht="13.5" customHeight="1" x14ac:dyDescent="0.25">
      <c r="A900" s="24" t="str">
        <f>'04_MOTOR_CÁLCULO'!A1098</f>
        <v>7111-1/00</v>
      </c>
      <c r="B900" s="38" t="str">
        <f>'04_MOTOR_CÁLCULO'!B1098</f>
        <v>M</v>
      </c>
      <c r="C900" s="100" t="str">
        <f>'04_MOTOR_CÁLCULO'!C1098</f>
        <v>Serviços de arquitetura</v>
      </c>
      <c r="D900" s="25" t="str">
        <f>'04_MOTOR_CÁLCULO'!D1098</f>
        <v>SERVIÇOS DE ARQU</v>
      </c>
      <c r="E900" s="78" t="str">
        <f>'04_MOTOR_CÁLCULO'!N1098</f>
        <v>CNAE-STG</v>
      </c>
      <c r="F900" s="55">
        <f>'04_MOTOR_CÁLCULO'!K1098</f>
        <v>1</v>
      </c>
      <c r="G900" s="56">
        <f>'04_MOTOR_CÁLCULO'!K1098-1</f>
        <v>0</v>
      </c>
      <c r="H900" s="57" t="str">
        <f>'04_MOTOR_CÁLCULO'!M1098</f>
        <v>Médio</v>
      </c>
    </row>
    <row r="901" spans="1:8" ht="13.5" customHeight="1" x14ac:dyDescent="0.25">
      <c r="A901" s="13" t="str">
        <f>'04_MOTOR_CÁLCULO'!A1099</f>
        <v>7112-0/00</v>
      </c>
      <c r="B901" s="49" t="str">
        <f>'04_MOTOR_CÁLCULO'!B1099</f>
        <v>M</v>
      </c>
      <c r="C901" s="101" t="str">
        <f>'04_MOTOR_CÁLCULO'!C1099</f>
        <v>Serviços de engenharia</v>
      </c>
      <c r="D901" s="14" t="str">
        <f>'04_MOTOR_CÁLCULO'!D1099</f>
        <v>SERVIÇOS DE ARQU</v>
      </c>
      <c r="E901" s="78" t="str">
        <f>'04_MOTOR_CÁLCULO'!N1099</f>
        <v>CNAE-STG</v>
      </c>
      <c r="F901" s="55">
        <f>'04_MOTOR_CÁLCULO'!K1099</f>
        <v>1</v>
      </c>
      <c r="G901" s="56">
        <f>'04_MOTOR_CÁLCULO'!K1099-1</f>
        <v>0</v>
      </c>
      <c r="H901" s="57" t="str">
        <f>'04_MOTOR_CÁLCULO'!M1099</f>
        <v>Médio</v>
      </c>
    </row>
    <row r="902" spans="1:8" ht="13.5" customHeight="1" x14ac:dyDescent="0.25">
      <c r="A902" s="24" t="str">
        <f>'04_MOTOR_CÁLCULO'!A1100</f>
        <v>7119-7/01</v>
      </c>
      <c r="B902" s="38" t="str">
        <f>'04_MOTOR_CÁLCULO'!B1100</f>
        <v>M</v>
      </c>
      <c r="C902" s="100" t="str">
        <f>'04_MOTOR_CÁLCULO'!C1100</f>
        <v>Serviços de cartografia, topografia e geodésia</v>
      </c>
      <c r="D902" s="25" t="str">
        <f>'04_MOTOR_CÁLCULO'!D1100</f>
        <v>SERVIÇOS DE ARQU</v>
      </c>
      <c r="E902" s="78" t="str">
        <f>'04_MOTOR_CÁLCULO'!N1100</f>
        <v>CNAE-STG</v>
      </c>
      <c r="F902" s="55">
        <f>'04_MOTOR_CÁLCULO'!K1100</f>
        <v>1</v>
      </c>
      <c r="G902" s="56">
        <f>'04_MOTOR_CÁLCULO'!K1100-1</f>
        <v>0</v>
      </c>
      <c r="H902" s="57" t="str">
        <f>'04_MOTOR_CÁLCULO'!M1100</f>
        <v>Médio</v>
      </c>
    </row>
    <row r="903" spans="1:8" ht="13.5" customHeight="1" x14ac:dyDescent="0.25">
      <c r="A903" s="13" t="str">
        <f>'04_MOTOR_CÁLCULO'!A1101</f>
        <v>7119-7/02</v>
      </c>
      <c r="B903" s="49" t="str">
        <f>'04_MOTOR_CÁLCULO'!B1101</f>
        <v>M</v>
      </c>
      <c r="C903" s="101" t="str">
        <f>'04_MOTOR_CÁLCULO'!C1101</f>
        <v>Atividades de estudos geológicos</v>
      </c>
      <c r="D903" s="14" t="str">
        <f>'04_MOTOR_CÁLCULO'!D1101</f>
        <v>SERVIÇOS DE ARQU</v>
      </c>
      <c r="E903" s="78" t="str">
        <f>'04_MOTOR_CÁLCULO'!N1101</f>
        <v>CNAE-STG</v>
      </c>
      <c r="F903" s="55">
        <f>'04_MOTOR_CÁLCULO'!K1101</f>
        <v>1</v>
      </c>
      <c r="G903" s="56">
        <f>'04_MOTOR_CÁLCULO'!K1101-1</f>
        <v>0</v>
      </c>
      <c r="H903" s="57" t="str">
        <f>'04_MOTOR_CÁLCULO'!M1101</f>
        <v>Médio</v>
      </c>
    </row>
    <row r="904" spans="1:8" ht="13.5" customHeight="1" x14ac:dyDescent="0.25">
      <c r="A904" s="24" t="str">
        <f>'04_MOTOR_CÁLCULO'!A1102</f>
        <v>7119-7/03</v>
      </c>
      <c r="B904" s="38" t="str">
        <f>'04_MOTOR_CÁLCULO'!B1102</f>
        <v>M</v>
      </c>
      <c r="C904" s="100" t="str">
        <f>'04_MOTOR_CÁLCULO'!C1102</f>
        <v>Serviços de desenho técnico relacionados à arquitetura e engenharia</v>
      </c>
      <c r="D904" s="25" t="str">
        <f>'04_MOTOR_CÁLCULO'!D1102</f>
        <v>SERVIÇOS DE ARQU</v>
      </c>
      <c r="E904" s="78" t="str">
        <f>'04_MOTOR_CÁLCULO'!N1102</f>
        <v>CNAE-STG</v>
      </c>
      <c r="F904" s="55">
        <f>'04_MOTOR_CÁLCULO'!K1102</f>
        <v>1</v>
      </c>
      <c r="G904" s="56">
        <f>'04_MOTOR_CÁLCULO'!K1102-1</f>
        <v>0</v>
      </c>
      <c r="H904" s="57" t="str">
        <f>'04_MOTOR_CÁLCULO'!M1102</f>
        <v>Médio</v>
      </c>
    </row>
    <row r="905" spans="1:8" ht="13.5" customHeight="1" x14ac:dyDescent="0.25">
      <c r="A905" s="13" t="str">
        <f>'04_MOTOR_CÁLCULO'!A1103</f>
        <v>7119-7/04</v>
      </c>
      <c r="B905" s="49" t="str">
        <f>'04_MOTOR_CÁLCULO'!B1103</f>
        <v>M</v>
      </c>
      <c r="C905" s="101" t="str">
        <f>'04_MOTOR_CÁLCULO'!C1103</f>
        <v>Serviços de perícia técnica relacionados à segurança do trabalho</v>
      </c>
      <c r="D905" s="14" t="str">
        <f>'04_MOTOR_CÁLCULO'!D1103</f>
        <v>SERVIÇOS DE ARQU</v>
      </c>
      <c r="E905" s="78" t="str">
        <f>'04_MOTOR_CÁLCULO'!N1103</f>
        <v>CNAE-STG</v>
      </c>
      <c r="F905" s="55">
        <f>'04_MOTOR_CÁLCULO'!K1103</f>
        <v>1</v>
      </c>
      <c r="G905" s="56">
        <f>'04_MOTOR_CÁLCULO'!K1103-1</f>
        <v>0</v>
      </c>
      <c r="H905" s="57" t="str">
        <f>'04_MOTOR_CÁLCULO'!M1103</f>
        <v>Médio</v>
      </c>
    </row>
    <row r="906" spans="1:8" ht="13.5" customHeight="1" x14ac:dyDescent="0.25">
      <c r="A906" s="24" t="str">
        <f>'04_MOTOR_CÁLCULO'!A1104</f>
        <v>7119-7/99</v>
      </c>
      <c r="B906" s="38" t="str">
        <f>'04_MOTOR_CÁLCULO'!B1104</f>
        <v>M</v>
      </c>
      <c r="C906" s="100" t="str">
        <f>'04_MOTOR_CÁLCULO'!C1104</f>
        <v>Atividades técnicas relacionadas à engenharia e arquitetura não especificadas anteriormente</v>
      </c>
      <c r="D906" s="25" t="str">
        <f>'04_MOTOR_CÁLCULO'!D1104</f>
        <v>SERVIÇOS DE ARQU</v>
      </c>
      <c r="E906" s="78" t="str">
        <f>'04_MOTOR_CÁLCULO'!N1104</f>
        <v>CNAE-STG</v>
      </c>
      <c r="F906" s="55">
        <f>'04_MOTOR_CÁLCULO'!K1104</f>
        <v>1</v>
      </c>
      <c r="G906" s="56">
        <f>'04_MOTOR_CÁLCULO'!K1104-1</f>
        <v>0</v>
      </c>
      <c r="H906" s="57" t="str">
        <f>'04_MOTOR_CÁLCULO'!M1104</f>
        <v>Médio</v>
      </c>
    </row>
    <row r="907" spans="1:8" ht="13.5" customHeight="1" x14ac:dyDescent="0.25">
      <c r="A907" s="13" t="str">
        <f>'04_MOTOR_CÁLCULO'!A1105</f>
        <v>7120-1/00</v>
      </c>
      <c r="B907" s="49" t="str">
        <f>'04_MOTOR_CÁLCULO'!B1105</f>
        <v>M</v>
      </c>
      <c r="C907" s="101" t="str">
        <f>'04_MOTOR_CÁLCULO'!C1105</f>
        <v>Testes e análises técnicas</v>
      </c>
      <c r="D907" s="14" t="str">
        <f>'04_MOTOR_CÁLCULO'!D1105</f>
        <v>SERVIÇOS DE ARQU</v>
      </c>
      <c r="E907" s="78" t="str">
        <f>'04_MOTOR_CÁLCULO'!N1105</f>
        <v>CNAE-STG</v>
      </c>
      <c r="F907" s="55">
        <f>'04_MOTOR_CÁLCULO'!K1105</f>
        <v>1</v>
      </c>
      <c r="G907" s="56">
        <f>'04_MOTOR_CÁLCULO'!K1105-1</f>
        <v>0</v>
      </c>
      <c r="H907" s="57" t="str">
        <f>'04_MOTOR_CÁLCULO'!M1105</f>
        <v>Médio</v>
      </c>
    </row>
    <row r="908" spans="1:8" ht="13.5" customHeight="1" x14ac:dyDescent="0.25">
      <c r="A908" s="24" t="str">
        <f>'04_MOTOR_CÁLCULO'!A1106</f>
        <v>7210-0/00</v>
      </c>
      <c r="B908" s="38" t="str">
        <f>'04_MOTOR_CÁLCULO'!B1106</f>
        <v>M</v>
      </c>
      <c r="C908" s="100" t="str">
        <f>'04_MOTOR_CÁLCULO'!C1106</f>
        <v>Pesquisa e desenvolvimento experimental em ciências físicas e naturais</v>
      </c>
      <c r="D908" s="25" t="str">
        <f>'04_MOTOR_CÁLCULO'!D1106</f>
        <v>PESQUISA E DESEN</v>
      </c>
      <c r="E908" s="78" t="str">
        <f>'04_MOTOR_CÁLCULO'!N1106</f>
        <v>CNAE-STG</v>
      </c>
      <c r="F908" s="55">
        <f>'04_MOTOR_CÁLCULO'!K1106</f>
        <v>1</v>
      </c>
      <c r="G908" s="56">
        <f>'04_MOTOR_CÁLCULO'!K1106-1</f>
        <v>0</v>
      </c>
      <c r="H908" s="57" t="str">
        <f>'04_MOTOR_CÁLCULO'!M1106</f>
        <v>Médio</v>
      </c>
    </row>
    <row r="909" spans="1:8" ht="13.5" customHeight="1" x14ac:dyDescent="0.25">
      <c r="A909" s="13" t="str">
        <f>'04_MOTOR_CÁLCULO'!A1107</f>
        <v>7220-7/00</v>
      </c>
      <c r="B909" s="49" t="str">
        <f>'04_MOTOR_CÁLCULO'!B1107</f>
        <v>M</v>
      </c>
      <c r="C909" s="101" t="str">
        <f>'04_MOTOR_CÁLCULO'!C1107</f>
        <v>Pesquisa e desenvolvimento experimental em ciências sociais e humanas</v>
      </c>
      <c r="D909" s="14" t="str">
        <f>'04_MOTOR_CÁLCULO'!D1107</f>
        <v>PESQUISA E DESEN</v>
      </c>
      <c r="E909" s="78" t="str">
        <f>'04_MOTOR_CÁLCULO'!N1107</f>
        <v>CNAE-STG</v>
      </c>
      <c r="F909" s="55">
        <f>'04_MOTOR_CÁLCULO'!K1107</f>
        <v>1</v>
      </c>
      <c r="G909" s="56">
        <f>'04_MOTOR_CÁLCULO'!K1107-1</f>
        <v>0</v>
      </c>
      <c r="H909" s="57" t="str">
        <f>'04_MOTOR_CÁLCULO'!M1107</f>
        <v>Médio</v>
      </c>
    </row>
    <row r="910" spans="1:8" ht="13.5" customHeight="1" x14ac:dyDescent="0.25">
      <c r="A910" s="24" t="str">
        <f>'04_MOTOR_CÁLCULO'!A1130</f>
        <v>7500-1/00</v>
      </c>
      <c r="B910" s="38" t="str">
        <f>'04_MOTOR_CÁLCULO'!B1130</f>
        <v>M</v>
      </c>
      <c r="C910" s="100" t="str">
        <f>'04_MOTOR_CÁLCULO'!C1130</f>
        <v>Atividades veterinárias</v>
      </c>
      <c r="D910" s="25" t="str">
        <f>'04_MOTOR_CÁLCULO'!D1130</f>
        <v>ATIVIDADES VETER</v>
      </c>
      <c r="E910" s="78" t="str">
        <f>'04_MOTOR_CÁLCULO'!N1130</f>
        <v>CNAE-STG</v>
      </c>
      <c r="F910" s="55">
        <f>'04_MOTOR_CÁLCULO'!K1130</f>
        <v>1</v>
      </c>
      <c r="G910" s="56">
        <f>'04_MOTOR_CÁLCULO'!K1130-1</f>
        <v>0</v>
      </c>
      <c r="H910" s="57" t="str">
        <f>'04_MOTOR_CÁLCULO'!M1130</f>
        <v>Médio</v>
      </c>
    </row>
    <row r="911" spans="1:8" ht="13.5" customHeight="1" x14ac:dyDescent="0.25">
      <c r="A911" s="13" t="str">
        <f>'04_MOTOR_CÁLCULO'!A1160</f>
        <v>8020-0/01</v>
      </c>
      <c r="B911" s="49" t="str">
        <f>'04_MOTOR_CÁLCULO'!B1160</f>
        <v>N</v>
      </c>
      <c r="C911" s="101" t="str">
        <f>'04_MOTOR_CÁLCULO'!C1160</f>
        <v>Atividades de monitoramento de sistemas de segurança eletrônico</v>
      </c>
      <c r="D911" s="14" t="str">
        <f>'04_MOTOR_CÁLCULO'!D1160</f>
        <v>ATIVIDADES DE VI</v>
      </c>
      <c r="E911" s="78" t="str">
        <f>'04_MOTOR_CÁLCULO'!N1160</f>
        <v>CNAE-STG</v>
      </c>
      <c r="F911" s="55">
        <f>'04_MOTOR_CÁLCULO'!K1160</f>
        <v>1</v>
      </c>
      <c r="G911" s="56">
        <f>'04_MOTOR_CÁLCULO'!K1160-1</f>
        <v>0</v>
      </c>
      <c r="H911" s="57" t="str">
        <f>'04_MOTOR_CÁLCULO'!M1160</f>
        <v>Médio</v>
      </c>
    </row>
    <row r="912" spans="1:8" ht="13.5" customHeight="1" x14ac:dyDescent="0.25">
      <c r="A912" s="24" t="str">
        <f>'04_MOTOR_CÁLCULO'!A1161</f>
        <v>8020-0/02</v>
      </c>
      <c r="B912" s="38" t="str">
        <f>'04_MOTOR_CÁLCULO'!B1161</f>
        <v>N</v>
      </c>
      <c r="C912" s="100" t="str">
        <f>'04_MOTOR_CÁLCULO'!C1161</f>
        <v>Outras atividades de serviços de segurança</v>
      </c>
      <c r="D912" s="25" t="str">
        <f>'04_MOTOR_CÁLCULO'!D1161</f>
        <v>ATIVIDADES DE VI</v>
      </c>
      <c r="E912" s="78" t="str">
        <f>'04_MOTOR_CÁLCULO'!N1161</f>
        <v>CNAE-STG</v>
      </c>
      <c r="F912" s="55">
        <f>'04_MOTOR_CÁLCULO'!K1161</f>
        <v>1</v>
      </c>
      <c r="G912" s="56">
        <f>'04_MOTOR_CÁLCULO'!K1161-1</f>
        <v>0</v>
      </c>
      <c r="H912" s="57" t="str">
        <f>'04_MOTOR_CÁLCULO'!M1161</f>
        <v>Médio</v>
      </c>
    </row>
    <row r="913" spans="1:8" ht="13.5" customHeight="1" x14ac:dyDescent="0.25">
      <c r="A913" s="13" t="str">
        <f>'04_MOTOR_CÁLCULO'!A1162</f>
        <v>8030-7/00</v>
      </c>
      <c r="B913" s="49" t="str">
        <f>'04_MOTOR_CÁLCULO'!B1162</f>
        <v>N</v>
      </c>
      <c r="C913" s="101" t="str">
        <f>'04_MOTOR_CÁLCULO'!C1162</f>
        <v>Atividades de investigação particular</v>
      </c>
      <c r="D913" s="14" t="str">
        <f>'04_MOTOR_CÁLCULO'!D1162</f>
        <v>ATIVIDADES DE VI</v>
      </c>
      <c r="E913" s="78" t="str">
        <f>'04_MOTOR_CÁLCULO'!N1162</f>
        <v>CNAE-STG</v>
      </c>
      <c r="F913" s="55">
        <f>'04_MOTOR_CÁLCULO'!K1162</f>
        <v>1</v>
      </c>
      <c r="G913" s="56">
        <f>'04_MOTOR_CÁLCULO'!K1162-1</f>
        <v>0</v>
      </c>
      <c r="H913" s="57" t="str">
        <f>'04_MOTOR_CÁLCULO'!M1162</f>
        <v>Médio</v>
      </c>
    </row>
    <row r="914" spans="1:8" ht="13.5" customHeight="1" x14ac:dyDescent="0.25">
      <c r="A914" s="24" t="str">
        <f>'04_MOTOR_CÁLCULO'!A1163</f>
        <v>8111-7/00</v>
      </c>
      <c r="B914" s="38" t="str">
        <f>'04_MOTOR_CÁLCULO'!B1163</f>
        <v>N</v>
      </c>
      <c r="C914" s="100" t="str">
        <f>'04_MOTOR_CÁLCULO'!C1163</f>
        <v>Serviços combinados para apoio a edifícios, exceto condomínios prediais</v>
      </c>
      <c r="D914" s="25" t="str">
        <f>'04_MOTOR_CÁLCULO'!D1163</f>
        <v>SERVIÇOS PARA ED</v>
      </c>
      <c r="E914" s="78" t="str">
        <f>'04_MOTOR_CÁLCULO'!N1163</f>
        <v>CNAE-STG</v>
      </c>
      <c r="F914" s="55">
        <f>'04_MOTOR_CÁLCULO'!K1163</f>
        <v>1</v>
      </c>
      <c r="G914" s="56">
        <f>'04_MOTOR_CÁLCULO'!K1163-1</f>
        <v>0</v>
      </c>
      <c r="H914" s="57" t="str">
        <f>'04_MOTOR_CÁLCULO'!M1163</f>
        <v>Médio</v>
      </c>
    </row>
    <row r="915" spans="1:8" ht="13.5" customHeight="1" x14ac:dyDescent="0.25">
      <c r="A915" s="13" t="str">
        <f>'04_MOTOR_CÁLCULO'!A1164</f>
        <v>8112-5/00</v>
      </c>
      <c r="B915" s="49" t="str">
        <f>'04_MOTOR_CÁLCULO'!B1164</f>
        <v>N</v>
      </c>
      <c r="C915" s="101" t="str">
        <f>'04_MOTOR_CÁLCULO'!C1164</f>
        <v>Condomínios prediais</v>
      </c>
      <c r="D915" s="14" t="str">
        <f>'04_MOTOR_CÁLCULO'!D1164</f>
        <v>SERVIÇOS PARA ED</v>
      </c>
      <c r="E915" s="78" t="str">
        <f>'04_MOTOR_CÁLCULO'!N1164</f>
        <v>CNAE-STG</v>
      </c>
      <c r="F915" s="55">
        <f>'04_MOTOR_CÁLCULO'!K1164</f>
        <v>1</v>
      </c>
      <c r="G915" s="56">
        <f>'04_MOTOR_CÁLCULO'!K1164-1</f>
        <v>0</v>
      </c>
      <c r="H915" s="57" t="str">
        <f>'04_MOTOR_CÁLCULO'!M1164</f>
        <v>Médio</v>
      </c>
    </row>
    <row r="916" spans="1:8" ht="13.5" customHeight="1" x14ac:dyDescent="0.25">
      <c r="A916" s="24" t="str">
        <f>'04_MOTOR_CÁLCULO'!A1165</f>
        <v>8121-4/00</v>
      </c>
      <c r="B916" s="38" t="str">
        <f>'04_MOTOR_CÁLCULO'!B1165</f>
        <v>N</v>
      </c>
      <c r="C916" s="100" t="str">
        <f>'04_MOTOR_CÁLCULO'!C1165</f>
        <v>Limpeza em prédios e em domicílios</v>
      </c>
      <c r="D916" s="25" t="str">
        <f>'04_MOTOR_CÁLCULO'!D1165</f>
        <v>SERVIÇOS PARA ED</v>
      </c>
      <c r="E916" s="78" t="str">
        <f>'04_MOTOR_CÁLCULO'!N1165</f>
        <v>CNAE-STG</v>
      </c>
      <c r="F916" s="55">
        <f>'04_MOTOR_CÁLCULO'!K1165</f>
        <v>1</v>
      </c>
      <c r="G916" s="56">
        <f>'04_MOTOR_CÁLCULO'!K1165-1</f>
        <v>0</v>
      </c>
      <c r="H916" s="57" t="str">
        <f>'04_MOTOR_CÁLCULO'!M1165</f>
        <v>Médio</v>
      </c>
    </row>
    <row r="917" spans="1:8" ht="13.5" customHeight="1" x14ac:dyDescent="0.25">
      <c r="A917" s="13" t="str">
        <f>'04_MOTOR_CÁLCULO'!A1166</f>
        <v>8122-2/00</v>
      </c>
      <c r="B917" s="49" t="str">
        <f>'04_MOTOR_CÁLCULO'!B1166</f>
        <v>N</v>
      </c>
      <c r="C917" s="101" t="str">
        <f>'04_MOTOR_CÁLCULO'!C1166</f>
        <v>Imunização e controle de pragas urbanas</v>
      </c>
      <c r="D917" s="14" t="str">
        <f>'04_MOTOR_CÁLCULO'!D1166</f>
        <v>SERVIÇOS PARA ED</v>
      </c>
      <c r="E917" s="78" t="str">
        <f>'04_MOTOR_CÁLCULO'!N1166</f>
        <v>CNAE-STG</v>
      </c>
      <c r="F917" s="55">
        <f>'04_MOTOR_CÁLCULO'!K1166</f>
        <v>1</v>
      </c>
      <c r="G917" s="56">
        <f>'04_MOTOR_CÁLCULO'!K1166-1</f>
        <v>0</v>
      </c>
      <c r="H917" s="57" t="str">
        <f>'04_MOTOR_CÁLCULO'!M1166</f>
        <v>Médio</v>
      </c>
    </row>
    <row r="918" spans="1:8" ht="13.5" customHeight="1" x14ac:dyDescent="0.25">
      <c r="A918" s="24" t="str">
        <f>'04_MOTOR_CÁLCULO'!A1167</f>
        <v>8129-0/00</v>
      </c>
      <c r="B918" s="38" t="str">
        <f>'04_MOTOR_CÁLCULO'!B1167</f>
        <v>N</v>
      </c>
      <c r="C918" s="100" t="str">
        <f>'04_MOTOR_CÁLCULO'!C1167</f>
        <v>Atividades de limpeza não especificadas anteriormente</v>
      </c>
      <c r="D918" s="25" t="str">
        <f>'04_MOTOR_CÁLCULO'!D1167</f>
        <v>SERVIÇOS PARA ED</v>
      </c>
      <c r="E918" s="78" t="str">
        <f>'04_MOTOR_CÁLCULO'!N1167</f>
        <v>CNAE-STG</v>
      </c>
      <c r="F918" s="55">
        <f>'04_MOTOR_CÁLCULO'!K1167</f>
        <v>1</v>
      </c>
      <c r="G918" s="56">
        <f>'04_MOTOR_CÁLCULO'!K1167-1</f>
        <v>0</v>
      </c>
      <c r="H918" s="57" t="str">
        <f>'04_MOTOR_CÁLCULO'!M1167</f>
        <v>Médio</v>
      </c>
    </row>
    <row r="919" spans="1:8" ht="13.5" customHeight="1" x14ac:dyDescent="0.25">
      <c r="A919" s="13" t="str">
        <f>'04_MOTOR_CÁLCULO'!A1168</f>
        <v>8130-3/00</v>
      </c>
      <c r="B919" s="49" t="str">
        <f>'04_MOTOR_CÁLCULO'!B1168</f>
        <v>N</v>
      </c>
      <c r="C919" s="101" t="str">
        <f>'04_MOTOR_CÁLCULO'!C1168</f>
        <v>Atividades paisagísticas</v>
      </c>
      <c r="D919" s="14" t="str">
        <f>'04_MOTOR_CÁLCULO'!D1168</f>
        <v>SERVIÇOS PARA ED</v>
      </c>
      <c r="E919" s="78" t="str">
        <f>'04_MOTOR_CÁLCULO'!N1168</f>
        <v>CNAE-STG</v>
      </c>
      <c r="F919" s="55">
        <f>'04_MOTOR_CÁLCULO'!K1168</f>
        <v>1</v>
      </c>
      <c r="G919" s="56">
        <f>'04_MOTOR_CÁLCULO'!K1168-1</f>
        <v>0</v>
      </c>
      <c r="H919" s="57" t="str">
        <f>'04_MOTOR_CÁLCULO'!M1168</f>
        <v>Médio</v>
      </c>
    </row>
    <row r="920" spans="1:8" ht="13.5" customHeight="1" x14ac:dyDescent="0.25">
      <c r="A920" s="24" t="str">
        <f>'04_MOTOR_CÁLCULO'!A1222</f>
        <v>8630-5/01</v>
      </c>
      <c r="B920" s="38" t="str">
        <f>'04_MOTOR_CÁLCULO'!B1222</f>
        <v>Q</v>
      </c>
      <c r="C920" s="100" t="str">
        <f>'04_MOTOR_CÁLCULO'!C1222</f>
        <v>Atividade médica ambulatorial com recursos para realização de procedimentos cirúrgicos</v>
      </c>
      <c r="D920" s="25" t="str">
        <f>'04_MOTOR_CÁLCULO'!D1222</f>
        <v>ATIVIDADES DE AT</v>
      </c>
      <c r="E920" s="78" t="str">
        <f>'04_MOTOR_CÁLCULO'!N1222</f>
        <v>CNAE-STG</v>
      </c>
      <c r="F920" s="55">
        <f>'04_MOTOR_CÁLCULO'!K1222</f>
        <v>1</v>
      </c>
      <c r="G920" s="56">
        <f>'04_MOTOR_CÁLCULO'!K1222-1</f>
        <v>0</v>
      </c>
      <c r="H920" s="57" t="str">
        <f>'04_MOTOR_CÁLCULO'!M1222</f>
        <v>Médio</v>
      </c>
    </row>
    <row r="921" spans="1:8" ht="13.5" customHeight="1" x14ac:dyDescent="0.25">
      <c r="A921" s="13" t="str">
        <f>'04_MOTOR_CÁLCULO'!A1223</f>
        <v>8630-5/02</v>
      </c>
      <c r="B921" s="49" t="str">
        <f>'04_MOTOR_CÁLCULO'!B1223</f>
        <v>Q</v>
      </c>
      <c r="C921" s="101" t="str">
        <f>'04_MOTOR_CÁLCULO'!C1223</f>
        <v>Atividade médica ambulatorial com recursos para realização de exames complementares</v>
      </c>
      <c r="D921" s="14" t="str">
        <f>'04_MOTOR_CÁLCULO'!D1223</f>
        <v>ATIVIDADES DE AT</v>
      </c>
      <c r="E921" s="78" t="str">
        <f>'04_MOTOR_CÁLCULO'!N1223</f>
        <v>CNAE-STG</v>
      </c>
      <c r="F921" s="55">
        <f>'04_MOTOR_CÁLCULO'!K1223</f>
        <v>1</v>
      </c>
      <c r="G921" s="56">
        <f>'04_MOTOR_CÁLCULO'!K1223-1</f>
        <v>0</v>
      </c>
      <c r="H921" s="57" t="str">
        <f>'04_MOTOR_CÁLCULO'!M1223</f>
        <v>Médio</v>
      </c>
    </row>
    <row r="922" spans="1:8" ht="13.5" customHeight="1" x14ac:dyDescent="0.25">
      <c r="A922" s="24" t="str">
        <f>'04_MOTOR_CÁLCULO'!A1224</f>
        <v>8630-5/03</v>
      </c>
      <c r="B922" s="38" t="str">
        <f>'04_MOTOR_CÁLCULO'!B1224</f>
        <v>Q</v>
      </c>
      <c r="C922" s="100" t="str">
        <f>'04_MOTOR_CÁLCULO'!C1224</f>
        <v>Atividade médica ambulatorial restrita a consultas</v>
      </c>
      <c r="D922" s="25" t="str">
        <f>'04_MOTOR_CÁLCULO'!D1224</f>
        <v>ATIVIDADES DE AT</v>
      </c>
      <c r="E922" s="78" t="str">
        <f>'04_MOTOR_CÁLCULO'!N1224</f>
        <v>CNAE-STG</v>
      </c>
      <c r="F922" s="55">
        <f>'04_MOTOR_CÁLCULO'!K1224</f>
        <v>1</v>
      </c>
      <c r="G922" s="56">
        <f>'04_MOTOR_CÁLCULO'!K1224-1</f>
        <v>0</v>
      </c>
      <c r="H922" s="57" t="str">
        <f>'04_MOTOR_CÁLCULO'!M1224</f>
        <v>Médio</v>
      </c>
    </row>
    <row r="923" spans="1:8" ht="13.5" customHeight="1" x14ac:dyDescent="0.25">
      <c r="A923" s="13" t="str">
        <f>'04_MOTOR_CÁLCULO'!A1225</f>
        <v>8630-5/04</v>
      </c>
      <c r="B923" s="49" t="str">
        <f>'04_MOTOR_CÁLCULO'!B1225</f>
        <v>Q</v>
      </c>
      <c r="C923" s="101" t="str">
        <f>'04_MOTOR_CÁLCULO'!C1225</f>
        <v>Atividade odontológica</v>
      </c>
      <c r="D923" s="14" t="str">
        <f>'04_MOTOR_CÁLCULO'!D1225</f>
        <v>ATIVIDADES DE AT</v>
      </c>
      <c r="E923" s="78" t="str">
        <f>'04_MOTOR_CÁLCULO'!N1225</f>
        <v>CNAE-STG</v>
      </c>
      <c r="F923" s="55">
        <f>'04_MOTOR_CÁLCULO'!K1225</f>
        <v>1</v>
      </c>
      <c r="G923" s="56">
        <f>'04_MOTOR_CÁLCULO'!K1225-1</f>
        <v>0</v>
      </c>
      <c r="H923" s="57" t="str">
        <f>'04_MOTOR_CÁLCULO'!M1225</f>
        <v>Médio</v>
      </c>
    </row>
    <row r="924" spans="1:8" ht="13.5" customHeight="1" x14ac:dyDescent="0.25">
      <c r="A924" s="24" t="str">
        <f>'04_MOTOR_CÁLCULO'!A1226</f>
        <v>8630-5/06</v>
      </c>
      <c r="B924" s="38" t="str">
        <f>'04_MOTOR_CÁLCULO'!B1226</f>
        <v>Q</v>
      </c>
      <c r="C924" s="100" t="str">
        <f>'04_MOTOR_CÁLCULO'!C1226</f>
        <v>Serviços de vacinação e imunização humana</v>
      </c>
      <c r="D924" s="25" t="str">
        <f>'04_MOTOR_CÁLCULO'!D1226</f>
        <v>ATIVIDADES DE AT</v>
      </c>
      <c r="E924" s="78" t="str">
        <f>'04_MOTOR_CÁLCULO'!N1226</f>
        <v>CNAE-STG</v>
      </c>
      <c r="F924" s="55">
        <f>'04_MOTOR_CÁLCULO'!K1226</f>
        <v>1</v>
      </c>
      <c r="G924" s="56">
        <f>'04_MOTOR_CÁLCULO'!K1226-1</f>
        <v>0</v>
      </c>
      <c r="H924" s="57" t="str">
        <f>'04_MOTOR_CÁLCULO'!M1226</f>
        <v>Médio</v>
      </c>
    </row>
    <row r="925" spans="1:8" ht="13.5" customHeight="1" x14ac:dyDescent="0.25">
      <c r="A925" s="13" t="str">
        <f>'04_MOTOR_CÁLCULO'!A1227</f>
        <v>8630-5/07</v>
      </c>
      <c r="B925" s="49" t="str">
        <f>'04_MOTOR_CÁLCULO'!B1227</f>
        <v>Q</v>
      </c>
      <c r="C925" s="101" t="str">
        <f>'04_MOTOR_CÁLCULO'!C1227</f>
        <v>Atividades de reprodução humana assistida</v>
      </c>
      <c r="D925" s="14" t="str">
        <f>'04_MOTOR_CÁLCULO'!D1227</f>
        <v>ATIVIDADES DE AT</v>
      </c>
      <c r="E925" s="78" t="str">
        <f>'04_MOTOR_CÁLCULO'!N1227</f>
        <v>CNAE-STG</v>
      </c>
      <c r="F925" s="55">
        <f>'04_MOTOR_CÁLCULO'!K1227</f>
        <v>1</v>
      </c>
      <c r="G925" s="56">
        <f>'04_MOTOR_CÁLCULO'!K1227-1</f>
        <v>0</v>
      </c>
      <c r="H925" s="57" t="str">
        <f>'04_MOTOR_CÁLCULO'!M1227</f>
        <v>Médio</v>
      </c>
    </row>
    <row r="926" spans="1:8" ht="13.5" customHeight="1" x14ac:dyDescent="0.25">
      <c r="A926" s="24" t="str">
        <f>'04_MOTOR_CÁLCULO'!A1228</f>
        <v>8630-5/99</v>
      </c>
      <c r="B926" s="38" t="str">
        <f>'04_MOTOR_CÁLCULO'!B1228</f>
        <v>Q</v>
      </c>
      <c r="C926" s="100" t="str">
        <f>'04_MOTOR_CÁLCULO'!C1228</f>
        <v>Atividades de atenção ambulatorial não especificadas anteriormente</v>
      </c>
      <c r="D926" s="25" t="str">
        <f>'04_MOTOR_CÁLCULO'!D1228</f>
        <v>ATIVIDADES DE AT</v>
      </c>
      <c r="E926" s="78" t="str">
        <f>'04_MOTOR_CÁLCULO'!N1228</f>
        <v>CNAE-STG</v>
      </c>
      <c r="F926" s="55">
        <f>'04_MOTOR_CÁLCULO'!K1228</f>
        <v>1</v>
      </c>
      <c r="G926" s="56">
        <f>'04_MOTOR_CÁLCULO'!K1228-1</f>
        <v>0</v>
      </c>
      <c r="H926" s="57" t="str">
        <f>'04_MOTOR_CÁLCULO'!M1228</f>
        <v>Médio</v>
      </c>
    </row>
    <row r="927" spans="1:8" ht="13.5" customHeight="1" x14ac:dyDescent="0.25">
      <c r="A927" s="13" t="str">
        <f>'04_MOTOR_CÁLCULO'!A1229</f>
        <v>8640-2/01</v>
      </c>
      <c r="B927" s="49" t="str">
        <f>'04_MOTOR_CÁLCULO'!B1229</f>
        <v>Q</v>
      </c>
      <c r="C927" s="101" t="str">
        <f>'04_MOTOR_CÁLCULO'!C1229</f>
        <v>Laboratórios de anatomia patológica e citológica</v>
      </c>
      <c r="D927" s="14" t="str">
        <f>'04_MOTOR_CÁLCULO'!D1229</f>
        <v>ATIVIDADES DE AT</v>
      </c>
      <c r="E927" s="78" t="str">
        <f>'04_MOTOR_CÁLCULO'!N1229</f>
        <v>CNAE-STG</v>
      </c>
      <c r="F927" s="55">
        <f>'04_MOTOR_CÁLCULO'!K1229</f>
        <v>1</v>
      </c>
      <c r="G927" s="56">
        <f>'04_MOTOR_CÁLCULO'!K1229-1</f>
        <v>0</v>
      </c>
      <c r="H927" s="57" t="str">
        <f>'04_MOTOR_CÁLCULO'!M1229</f>
        <v>Médio</v>
      </c>
    </row>
    <row r="928" spans="1:8" ht="13.5" customHeight="1" x14ac:dyDescent="0.25">
      <c r="A928" s="24" t="str">
        <f>'04_MOTOR_CÁLCULO'!A1230</f>
        <v>8640-2/02</v>
      </c>
      <c r="B928" s="38" t="str">
        <f>'04_MOTOR_CÁLCULO'!B1230</f>
        <v>Q</v>
      </c>
      <c r="C928" s="100" t="str">
        <f>'04_MOTOR_CÁLCULO'!C1230</f>
        <v>Laboratórios clínicos</v>
      </c>
      <c r="D928" s="25" t="str">
        <f>'04_MOTOR_CÁLCULO'!D1230</f>
        <v>ATIVIDADES DE AT</v>
      </c>
      <c r="E928" s="78" t="str">
        <f>'04_MOTOR_CÁLCULO'!N1230</f>
        <v>CNAE-STG</v>
      </c>
      <c r="F928" s="55">
        <f>'04_MOTOR_CÁLCULO'!K1230</f>
        <v>1</v>
      </c>
      <c r="G928" s="56">
        <f>'04_MOTOR_CÁLCULO'!K1230-1</f>
        <v>0</v>
      </c>
      <c r="H928" s="57" t="str">
        <f>'04_MOTOR_CÁLCULO'!M1230</f>
        <v>Médio</v>
      </c>
    </row>
    <row r="929" spans="1:8" ht="13.5" customHeight="1" x14ac:dyDescent="0.25">
      <c r="A929" s="13" t="str">
        <f>'04_MOTOR_CÁLCULO'!A1231</f>
        <v>8640-2/03</v>
      </c>
      <c r="B929" s="49" t="str">
        <f>'04_MOTOR_CÁLCULO'!B1231</f>
        <v>Q</v>
      </c>
      <c r="C929" s="101" t="str">
        <f>'04_MOTOR_CÁLCULO'!C1231</f>
        <v>Serviços de diálise e nefrologia</v>
      </c>
      <c r="D929" s="14" t="str">
        <f>'04_MOTOR_CÁLCULO'!D1231</f>
        <v>ATIVIDADES DE AT</v>
      </c>
      <c r="E929" s="78" t="str">
        <f>'04_MOTOR_CÁLCULO'!N1231</f>
        <v>CNAE-STG</v>
      </c>
      <c r="F929" s="55">
        <f>'04_MOTOR_CÁLCULO'!K1231</f>
        <v>1</v>
      </c>
      <c r="G929" s="56">
        <f>'04_MOTOR_CÁLCULO'!K1231-1</f>
        <v>0</v>
      </c>
      <c r="H929" s="57" t="str">
        <f>'04_MOTOR_CÁLCULO'!M1231</f>
        <v>Médio</v>
      </c>
    </row>
    <row r="930" spans="1:8" ht="13.5" customHeight="1" x14ac:dyDescent="0.25">
      <c r="A930" s="24" t="str">
        <f>'04_MOTOR_CÁLCULO'!A1232</f>
        <v>8640-2/04</v>
      </c>
      <c r="B930" s="38" t="str">
        <f>'04_MOTOR_CÁLCULO'!B1232</f>
        <v>Q</v>
      </c>
      <c r="C930" s="100" t="str">
        <f>'04_MOTOR_CÁLCULO'!C1232</f>
        <v>Serviços de tomografia</v>
      </c>
      <c r="D930" s="25" t="str">
        <f>'04_MOTOR_CÁLCULO'!D1232</f>
        <v>ATIVIDADES DE AT</v>
      </c>
      <c r="E930" s="78" t="str">
        <f>'04_MOTOR_CÁLCULO'!N1232</f>
        <v>CNAE-STG</v>
      </c>
      <c r="F930" s="55">
        <f>'04_MOTOR_CÁLCULO'!K1232</f>
        <v>1</v>
      </c>
      <c r="G930" s="56">
        <f>'04_MOTOR_CÁLCULO'!K1232-1</f>
        <v>0</v>
      </c>
      <c r="H930" s="57" t="str">
        <f>'04_MOTOR_CÁLCULO'!M1232</f>
        <v>Médio</v>
      </c>
    </row>
    <row r="931" spans="1:8" ht="13.5" customHeight="1" x14ac:dyDescent="0.25">
      <c r="A931" s="13" t="str">
        <f>'04_MOTOR_CÁLCULO'!A1233</f>
        <v>8640-2/05</v>
      </c>
      <c r="B931" s="49" t="str">
        <f>'04_MOTOR_CÁLCULO'!B1233</f>
        <v>Q</v>
      </c>
      <c r="C931" s="101" t="str">
        <f>'04_MOTOR_CÁLCULO'!C1233</f>
        <v>Serviços de diagnóstico por imagem com uso de radiação ionizante, exceto tomografia</v>
      </c>
      <c r="D931" s="14" t="str">
        <f>'04_MOTOR_CÁLCULO'!D1233</f>
        <v>ATIVIDADES DE AT</v>
      </c>
      <c r="E931" s="78" t="str">
        <f>'04_MOTOR_CÁLCULO'!N1233</f>
        <v>CNAE-STG</v>
      </c>
      <c r="F931" s="55">
        <f>'04_MOTOR_CÁLCULO'!K1233</f>
        <v>1</v>
      </c>
      <c r="G931" s="56">
        <f>'04_MOTOR_CÁLCULO'!K1233-1</f>
        <v>0</v>
      </c>
      <c r="H931" s="57" t="str">
        <f>'04_MOTOR_CÁLCULO'!M1233</f>
        <v>Médio</v>
      </c>
    </row>
    <row r="932" spans="1:8" ht="13.5" customHeight="1" x14ac:dyDescent="0.25">
      <c r="A932" s="24" t="str">
        <f>'04_MOTOR_CÁLCULO'!A1234</f>
        <v>8640-2/06</v>
      </c>
      <c r="B932" s="38" t="str">
        <f>'04_MOTOR_CÁLCULO'!B1234</f>
        <v>Q</v>
      </c>
      <c r="C932" s="100" t="str">
        <f>'04_MOTOR_CÁLCULO'!C1234</f>
        <v>Serviços de ressonância magnética</v>
      </c>
      <c r="D932" s="25" t="str">
        <f>'04_MOTOR_CÁLCULO'!D1234</f>
        <v>ATIVIDADES DE AT</v>
      </c>
      <c r="E932" s="78" t="str">
        <f>'04_MOTOR_CÁLCULO'!N1234</f>
        <v>CNAE-STG</v>
      </c>
      <c r="F932" s="55">
        <f>'04_MOTOR_CÁLCULO'!K1234</f>
        <v>1</v>
      </c>
      <c r="G932" s="56">
        <f>'04_MOTOR_CÁLCULO'!K1234-1</f>
        <v>0</v>
      </c>
      <c r="H932" s="57" t="str">
        <f>'04_MOTOR_CÁLCULO'!M1234</f>
        <v>Médio</v>
      </c>
    </row>
    <row r="933" spans="1:8" ht="13.5" customHeight="1" x14ac:dyDescent="0.25">
      <c r="A933" s="13" t="str">
        <f>'04_MOTOR_CÁLCULO'!A1235</f>
        <v>8640-2/07</v>
      </c>
      <c r="B933" s="49" t="str">
        <f>'04_MOTOR_CÁLCULO'!B1235</f>
        <v>Q</v>
      </c>
      <c r="C933" s="101" t="str">
        <f>'04_MOTOR_CÁLCULO'!C1235</f>
        <v>Serviços de diagnóstico por imagem sem uso de radiação ionizante, exceto ressonância magnética</v>
      </c>
      <c r="D933" s="14" t="str">
        <f>'04_MOTOR_CÁLCULO'!D1235</f>
        <v>ATIVIDADES DE AT</v>
      </c>
      <c r="E933" s="78" t="str">
        <f>'04_MOTOR_CÁLCULO'!N1235</f>
        <v>CNAE-STG</v>
      </c>
      <c r="F933" s="55">
        <f>'04_MOTOR_CÁLCULO'!K1235</f>
        <v>1</v>
      </c>
      <c r="G933" s="56">
        <f>'04_MOTOR_CÁLCULO'!K1235-1</f>
        <v>0</v>
      </c>
      <c r="H933" s="57" t="str">
        <f>'04_MOTOR_CÁLCULO'!M1235</f>
        <v>Médio</v>
      </c>
    </row>
    <row r="934" spans="1:8" ht="13.5" customHeight="1" x14ac:dyDescent="0.25">
      <c r="A934" s="24" t="str">
        <f>'04_MOTOR_CÁLCULO'!A1236</f>
        <v>8640-2/08</v>
      </c>
      <c r="B934" s="38" t="str">
        <f>'04_MOTOR_CÁLCULO'!B1236</f>
        <v>Q</v>
      </c>
      <c r="C934" s="100" t="str">
        <f>'04_MOTOR_CÁLCULO'!C1236</f>
        <v>Serviços de diagnóstico por registro gráfico - ECG, EEG e outros exames análogos</v>
      </c>
      <c r="D934" s="25" t="str">
        <f>'04_MOTOR_CÁLCULO'!D1236</f>
        <v>ATIVIDADES DE AT</v>
      </c>
      <c r="E934" s="78" t="str">
        <f>'04_MOTOR_CÁLCULO'!N1236</f>
        <v>CNAE-STG</v>
      </c>
      <c r="F934" s="55">
        <f>'04_MOTOR_CÁLCULO'!K1236</f>
        <v>1</v>
      </c>
      <c r="G934" s="56">
        <f>'04_MOTOR_CÁLCULO'!K1236-1</f>
        <v>0</v>
      </c>
      <c r="H934" s="57" t="str">
        <f>'04_MOTOR_CÁLCULO'!M1236</f>
        <v>Médio</v>
      </c>
    </row>
    <row r="935" spans="1:8" ht="13.5" customHeight="1" x14ac:dyDescent="0.25">
      <c r="A935" s="13" t="str">
        <f>'04_MOTOR_CÁLCULO'!A1237</f>
        <v>8640-2/09</v>
      </c>
      <c r="B935" s="49" t="str">
        <f>'04_MOTOR_CÁLCULO'!B1237</f>
        <v>Q</v>
      </c>
      <c r="C935" s="101" t="str">
        <f>'04_MOTOR_CÁLCULO'!C1237</f>
        <v>Serviços de diagnóstico por métodos ópticos - endoscopia e outros exames análogos</v>
      </c>
      <c r="D935" s="14" t="str">
        <f>'04_MOTOR_CÁLCULO'!D1237</f>
        <v>ATIVIDADES DE AT</v>
      </c>
      <c r="E935" s="78" t="str">
        <f>'04_MOTOR_CÁLCULO'!N1237</f>
        <v>CNAE-STG</v>
      </c>
      <c r="F935" s="55">
        <f>'04_MOTOR_CÁLCULO'!K1237</f>
        <v>1</v>
      </c>
      <c r="G935" s="56">
        <f>'04_MOTOR_CÁLCULO'!K1237-1</f>
        <v>0</v>
      </c>
      <c r="H935" s="57" t="str">
        <f>'04_MOTOR_CÁLCULO'!M1237</f>
        <v>Médio</v>
      </c>
    </row>
    <row r="936" spans="1:8" ht="13.5" customHeight="1" x14ac:dyDescent="0.25">
      <c r="A936" s="24" t="str">
        <f>'04_MOTOR_CÁLCULO'!A1238</f>
        <v>8640-2/10</v>
      </c>
      <c r="B936" s="38" t="str">
        <f>'04_MOTOR_CÁLCULO'!B1238</f>
        <v>Q</v>
      </c>
      <c r="C936" s="100" t="str">
        <f>'04_MOTOR_CÁLCULO'!C1238</f>
        <v>Serviços de quimioterapia</v>
      </c>
      <c r="D936" s="25" t="str">
        <f>'04_MOTOR_CÁLCULO'!D1238</f>
        <v>ATIVIDADES DE AT</v>
      </c>
      <c r="E936" s="78" t="str">
        <f>'04_MOTOR_CÁLCULO'!N1238</f>
        <v>CNAE-STG</v>
      </c>
      <c r="F936" s="55">
        <f>'04_MOTOR_CÁLCULO'!K1238</f>
        <v>1</v>
      </c>
      <c r="G936" s="56">
        <f>'04_MOTOR_CÁLCULO'!K1238-1</f>
        <v>0</v>
      </c>
      <c r="H936" s="57" t="str">
        <f>'04_MOTOR_CÁLCULO'!M1238</f>
        <v>Médio</v>
      </c>
    </row>
    <row r="937" spans="1:8" ht="13.5" customHeight="1" x14ac:dyDescent="0.25">
      <c r="A937" s="13" t="str">
        <f>'04_MOTOR_CÁLCULO'!A1239</f>
        <v>8640-2/11</v>
      </c>
      <c r="B937" s="49" t="str">
        <f>'04_MOTOR_CÁLCULO'!B1239</f>
        <v>Q</v>
      </c>
      <c r="C937" s="101" t="str">
        <f>'04_MOTOR_CÁLCULO'!C1239</f>
        <v>Serviços de radioterapia</v>
      </c>
      <c r="D937" s="14" t="str">
        <f>'04_MOTOR_CÁLCULO'!D1239</f>
        <v>ATIVIDADES DE AT</v>
      </c>
      <c r="E937" s="78" t="str">
        <f>'04_MOTOR_CÁLCULO'!N1239</f>
        <v>CNAE-STG</v>
      </c>
      <c r="F937" s="55">
        <f>'04_MOTOR_CÁLCULO'!K1239</f>
        <v>1</v>
      </c>
      <c r="G937" s="56">
        <f>'04_MOTOR_CÁLCULO'!K1239-1</f>
        <v>0</v>
      </c>
      <c r="H937" s="57" t="str">
        <f>'04_MOTOR_CÁLCULO'!M1239</f>
        <v>Médio</v>
      </c>
    </row>
    <row r="938" spans="1:8" ht="13.5" customHeight="1" x14ac:dyDescent="0.25">
      <c r="A938" s="24" t="str">
        <f>'04_MOTOR_CÁLCULO'!A1240</f>
        <v>8640-2/12</v>
      </c>
      <c r="B938" s="38" t="str">
        <f>'04_MOTOR_CÁLCULO'!B1240</f>
        <v>Q</v>
      </c>
      <c r="C938" s="100" t="str">
        <f>'04_MOTOR_CÁLCULO'!C1240</f>
        <v>Serviços de hemoterapia</v>
      </c>
      <c r="D938" s="25" t="str">
        <f>'04_MOTOR_CÁLCULO'!D1240</f>
        <v>ATIVIDADES DE AT</v>
      </c>
      <c r="E938" s="78" t="str">
        <f>'04_MOTOR_CÁLCULO'!N1240</f>
        <v>CNAE-STG</v>
      </c>
      <c r="F938" s="55">
        <f>'04_MOTOR_CÁLCULO'!K1240</f>
        <v>1</v>
      </c>
      <c r="G938" s="56">
        <f>'04_MOTOR_CÁLCULO'!K1240-1</f>
        <v>0</v>
      </c>
      <c r="H938" s="57" t="str">
        <f>'04_MOTOR_CÁLCULO'!M1240</f>
        <v>Médio</v>
      </c>
    </row>
    <row r="939" spans="1:8" ht="13.5" customHeight="1" x14ac:dyDescent="0.25">
      <c r="A939" s="13" t="str">
        <f>'04_MOTOR_CÁLCULO'!A1241</f>
        <v>8640-2/13</v>
      </c>
      <c r="B939" s="49" t="str">
        <f>'04_MOTOR_CÁLCULO'!B1241</f>
        <v>Q</v>
      </c>
      <c r="C939" s="101" t="str">
        <f>'04_MOTOR_CÁLCULO'!C1241</f>
        <v>Serviços de litotripsia</v>
      </c>
      <c r="D939" s="14" t="str">
        <f>'04_MOTOR_CÁLCULO'!D1241</f>
        <v>ATIVIDADES DE AT</v>
      </c>
      <c r="E939" s="78" t="str">
        <f>'04_MOTOR_CÁLCULO'!N1241</f>
        <v>CNAE-STG</v>
      </c>
      <c r="F939" s="55">
        <f>'04_MOTOR_CÁLCULO'!K1241</f>
        <v>1</v>
      </c>
      <c r="G939" s="56">
        <f>'04_MOTOR_CÁLCULO'!K1241-1</f>
        <v>0</v>
      </c>
      <c r="H939" s="57" t="str">
        <f>'04_MOTOR_CÁLCULO'!M1241</f>
        <v>Médio</v>
      </c>
    </row>
    <row r="940" spans="1:8" ht="13.5" customHeight="1" x14ac:dyDescent="0.25">
      <c r="A940" s="24" t="str">
        <f>'04_MOTOR_CÁLCULO'!A1242</f>
        <v>8640-2/14</v>
      </c>
      <c r="B940" s="38" t="str">
        <f>'04_MOTOR_CÁLCULO'!B1242</f>
        <v>Q</v>
      </c>
      <c r="C940" s="100" t="str">
        <f>'04_MOTOR_CÁLCULO'!C1242</f>
        <v>Serviços de bancos de células e tecidos humanos</v>
      </c>
      <c r="D940" s="25" t="str">
        <f>'04_MOTOR_CÁLCULO'!D1242</f>
        <v>ATIVIDADES DE AT</v>
      </c>
      <c r="E940" s="78" t="str">
        <f>'04_MOTOR_CÁLCULO'!N1242</f>
        <v>CNAE-STG</v>
      </c>
      <c r="F940" s="55">
        <f>'04_MOTOR_CÁLCULO'!K1242</f>
        <v>1</v>
      </c>
      <c r="G940" s="56">
        <f>'04_MOTOR_CÁLCULO'!K1242-1</f>
        <v>0</v>
      </c>
      <c r="H940" s="57" t="str">
        <f>'04_MOTOR_CÁLCULO'!M1242</f>
        <v>Médio</v>
      </c>
    </row>
    <row r="941" spans="1:8" ht="13.5" customHeight="1" x14ac:dyDescent="0.25">
      <c r="A941" s="13" t="str">
        <f>'04_MOTOR_CÁLCULO'!A1243</f>
        <v>8640-2/99</v>
      </c>
      <c r="B941" s="49" t="str">
        <f>'04_MOTOR_CÁLCULO'!B1243</f>
        <v>Q</v>
      </c>
      <c r="C941" s="101" t="str">
        <f>'04_MOTOR_CÁLCULO'!C1243</f>
        <v>Atividades de serviços de complementação diagnóstica e terapêutica não especificadas anteriormente</v>
      </c>
      <c r="D941" s="14" t="str">
        <f>'04_MOTOR_CÁLCULO'!D1243</f>
        <v>ATIVIDADES DE AT</v>
      </c>
      <c r="E941" s="78" t="str">
        <f>'04_MOTOR_CÁLCULO'!N1243</f>
        <v>CNAE-STG</v>
      </c>
      <c r="F941" s="55">
        <f>'04_MOTOR_CÁLCULO'!K1243</f>
        <v>1</v>
      </c>
      <c r="G941" s="56">
        <f>'04_MOTOR_CÁLCULO'!K1243-1</f>
        <v>0</v>
      </c>
      <c r="H941" s="57" t="str">
        <f>'04_MOTOR_CÁLCULO'!M1243</f>
        <v>Médio</v>
      </c>
    </row>
    <row r="942" spans="1:8" ht="13.5" customHeight="1" x14ac:dyDescent="0.25">
      <c r="A942" s="24" t="str">
        <f>'04_MOTOR_CÁLCULO'!A1244</f>
        <v>8650-0/01</v>
      </c>
      <c r="B942" s="38" t="str">
        <f>'04_MOTOR_CÁLCULO'!B1244</f>
        <v>Q</v>
      </c>
      <c r="C942" s="100" t="str">
        <f>'04_MOTOR_CÁLCULO'!C1244</f>
        <v>Atividades de enfermagem</v>
      </c>
      <c r="D942" s="25" t="str">
        <f>'04_MOTOR_CÁLCULO'!D1244</f>
        <v>ATIVIDADES DE AT</v>
      </c>
      <c r="E942" s="78" t="str">
        <f>'04_MOTOR_CÁLCULO'!N1244</f>
        <v>CNAE-STG</v>
      </c>
      <c r="F942" s="55">
        <f>'04_MOTOR_CÁLCULO'!K1244</f>
        <v>1</v>
      </c>
      <c r="G942" s="56">
        <f>'04_MOTOR_CÁLCULO'!K1244-1</f>
        <v>0</v>
      </c>
      <c r="H942" s="57" t="str">
        <f>'04_MOTOR_CÁLCULO'!M1244</f>
        <v>Médio</v>
      </c>
    </row>
    <row r="943" spans="1:8" ht="13.5" customHeight="1" x14ac:dyDescent="0.25">
      <c r="A943" s="13" t="str">
        <f>'04_MOTOR_CÁLCULO'!A1245</f>
        <v>8650-0/02</v>
      </c>
      <c r="B943" s="49" t="str">
        <f>'04_MOTOR_CÁLCULO'!B1245</f>
        <v>Q</v>
      </c>
      <c r="C943" s="101" t="str">
        <f>'04_MOTOR_CÁLCULO'!C1245</f>
        <v>Atividades de profissionais da nutrição</v>
      </c>
      <c r="D943" s="14" t="str">
        <f>'04_MOTOR_CÁLCULO'!D1245</f>
        <v>ATIVIDADES DE AT</v>
      </c>
      <c r="E943" s="78" t="str">
        <f>'04_MOTOR_CÁLCULO'!N1245</f>
        <v>CNAE-STG</v>
      </c>
      <c r="F943" s="55">
        <f>'04_MOTOR_CÁLCULO'!K1245</f>
        <v>1</v>
      </c>
      <c r="G943" s="56">
        <f>'04_MOTOR_CÁLCULO'!K1245-1</f>
        <v>0</v>
      </c>
      <c r="H943" s="57" t="str">
        <f>'04_MOTOR_CÁLCULO'!M1245</f>
        <v>Médio</v>
      </c>
    </row>
    <row r="944" spans="1:8" ht="13.5" customHeight="1" x14ac:dyDescent="0.25">
      <c r="A944" s="24" t="str">
        <f>'04_MOTOR_CÁLCULO'!A1246</f>
        <v>8650-0/03</v>
      </c>
      <c r="B944" s="38" t="str">
        <f>'04_MOTOR_CÁLCULO'!B1246</f>
        <v>Q</v>
      </c>
      <c r="C944" s="100" t="str">
        <f>'04_MOTOR_CÁLCULO'!C1246</f>
        <v>Atividades de psicologia e psicanálise</v>
      </c>
      <c r="D944" s="25" t="str">
        <f>'04_MOTOR_CÁLCULO'!D1246</f>
        <v>ATIVIDADES DE AT</v>
      </c>
      <c r="E944" s="78" t="str">
        <f>'04_MOTOR_CÁLCULO'!N1246</f>
        <v>CNAE-STG</v>
      </c>
      <c r="F944" s="55">
        <f>'04_MOTOR_CÁLCULO'!K1246</f>
        <v>1</v>
      </c>
      <c r="G944" s="56">
        <f>'04_MOTOR_CÁLCULO'!K1246-1</f>
        <v>0</v>
      </c>
      <c r="H944" s="57" t="str">
        <f>'04_MOTOR_CÁLCULO'!M1246</f>
        <v>Médio</v>
      </c>
    </row>
    <row r="945" spans="1:8" ht="13.5" customHeight="1" x14ac:dyDescent="0.25">
      <c r="A945" s="13" t="str">
        <f>'04_MOTOR_CÁLCULO'!A1247</f>
        <v>8650-0/04</v>
      </c>
      <c r="B945" s="49" t="str">
        <f>'04_MOTOR_CÁLCULO'!B1247</f>
        <v>Q</v>
      </c>
      <c r="C945" s="101" t="str">
        <f>'04_MOTOR_CÁLCULO'!C1247</f>
        <v>Atividades de fisioterapia</v>
      </c>
      <c r="D945" s="14" t="str">
        <f>'04_MOTOR_CÁLCULO'!D1247</f>
        <v>ATIVIDADES DE AT</v>
      </c>
      <c r="E945" s="78" t="str">
        <f>'04_MOTOR_CÁLCULO'!N1247</f>
        <v>CNAE-STG</v>
      </c>
      <c r="F945" s="55">
        <f>'04_MOTOR_CÁLCULO'!K1247</f>
        <v>1</v>
      </c>
      <c r="G945" s="56">
        <f>'04_MOTOR_CÁLCULO'!K1247-1</f>
        <v>0</v>
      </c>
      <c r="H945" s="57" t="str">
        <f>'04_MOTOR_CÁLCULO'!M1247</f>
        <v>Médio</v>
      </c>
    </row>
    <row r="946" spans="1:8" ht="13.5" customHeight="1" x14ac:dyDescent="0.25">
      <c r="A946" s="24" t="str">
        <f>'04_MOTOR_CÁLCULO'!A1248</f>
        <v>8650-0/05</v>
      </c>
      <c r="B946" s="38" t="str">
        <f>'04_MOTOR_CÁLCULO'!B1248</f>
        <v>Q</v>
      </c>
      <c r="C946" s="100" t="str">
        <f>'04_MOTOR_CÁLCULO'!C1248</f>
        <v>Atividades de terapia ocupacional</v>
      </c>
      <c r="D946" s="25" t="str">
        <f>'04_MOTOR_CÁLCULO'!D1248</f>
        <v>ATIVIDADES DE AT</v>
      </c>
      <c r="E946" s="78" t="str">
        <f>'04_MOTOR_CÁLCULO'!N1248</f>
        <v>CNAE-STG</v>
      </c>
      <c r="F946" s="55">
        <f>'04_MOTOR_CÁLCULO'!K1248</f>
        <v>1</v>
      </c>
      <c r="G946" s="56">
        <f>'04_MOTOR_CÁLCULO'!K1248-1</f>
        <v>0</v>
      </c>
      <c r="H946" s="57" t="str">
        <f>'04_MOTOR_CÁLCULO'!M1248</f>
        <v>Médio</v>
      </c>
    </row>
    <row r="947" spans="1:8" ht="13.5" customHeight="1" x14ac:dyDescent="0.25">
      <c r="A947" s="13" t="str">
        <f>'04_MOTOR_CÁLCULO'!A1249</f>
        <v>8650-0/06</v>
      </c>
      <c r="B947" s="49" t="str">
        <f>'04_MOTOR_CÁLCULO'!B1249</f>
        <v>Q</v>
      </c>
      <c r="C947" s="101" t="str">
        <f>'04_MOTOR_CÁLCULO'!C1249</f>
        <v>Atividades de fonoaudiologia</v>
      </c>
      <c r="D947" s="14" t="str">
        <f>'04_MOTOR_CÁLCULO'!D1249</f>
        <v>ATIVIDADES DE AT</v>
      </c>
      <c r="E947" s="78" t="str">
        <f>'04_MOTOR_CÁLCULO'!N1249</f>
        <v>CNAE-STG</v>
      </c>
      <c r="F947" s="55">
        <f>'04_MOTOR_CÁLCULO'!K1249</f>
        <v>1</v>
      </c>
      <c r="G947" s="56">
        <f>'04_MOTOR_CÁLCULO'!K1249-1</f>
        <v>0</v>
      </c>
      <c r="H947" s="57" t="str">
        <f>'04_MOTOR_CÁLCULO'!M1249</f>
        <v>Médio</v>
      </c>
    </row>
    <row r="948" spans="1:8" ht="13.5" customHeight="1" x14ac:dyDescent="0.25">
      <c r="A948" s="24" t="str">
        <f>'04_MOTOR_CÁLCULO'!A1250</f>
        <v>8650-0/07</v>
      </c>
      <c r="B948" s="38" t="str">
        <f>'04_MOTOR_CÁLCULO'!B1250</f>
        <v>Q</v>
      </c>
      <c r="C948" s="100" t="str">
        <f>'04_MOTOR_CÁLCULO'!C1250</f>
        <v>Atividades de terapia de nutrição enteral e parenteral</v>
      </c>
      <c r="D948" s="25" t="str">
        <f>'04_MOTOR_CÁLCULO'!D1250</f>
        <v>ATIVIDADES DE AT</v>
      </c>
      <c r="E948" s="78" t="str">
        <f>'04_MOTOR_CÁLCULO'!N1250</f>
        <v>CNAE-STG</v>
      </c>
      <c r="F948" s="55">
        <f>'04_MOTOR_CÁLCULO'!K1250</f>
        <v>1</v>
      </c>
      <c r="G948" s="56">
        <f>'04_MOTOR_CÁLCULO'!K1250-1</f>
        <v>0</v>
      </c>
      <c r="H948" s="57" t="str">
        <f>'04_MOTOR_CÁLCULO'!M1250</f>
        <v>Médio</v>
      </c>
    </row>
    <row r="949" spans="1:8" ht="13.5" customHeight="1" x14ac:dyDescent="0.25">
      <c r="A949" s="13" t="str">
        <f>'04_MOTOR_CÁLCULO'!A1251</f>
        <v>8650-0/99</v>
      </c>
      <c r="B949" s="49" t="str">
        <f>'04_MOTOR_CÁLCULO'!B1251</f>
        <v>Q</v>
      </c>
      <c r="C949" s="101" t="str">
        <f>'04_MOTOR_CÁLCULO'!C1251</f>
        <v>Atividades de profissionais da área de saúde não especificadas anteriormente</v>
      </c>
      <c r="D949" s="14" t="str">
        <f>'04_MOTOR_CÁLCULO'!D1251</f>
        <v>ATIVIDADES DE AT</v>
      </c>
      <c r="E949" s="78" t="str">
        <f>'04_MOTOR_CÁLCULO'!N1251</f>
        <v>CNAE-STG</v>
      </c>
      <c r="F949" s="55">
        <f>'04_MOTOR_CÁLCULO'!K1251</f>
        <v>1</v>
      </c>
      <c r="G949" s="56">
        <f>'04_MOTOR_CÁLCULO'!K1251-1</f>
        <v>0</v>
      </c>
      <c r="H949" s="57" t="str">
        <f>'04_MOTOR_CÁLCULO'!M1251</f>
        <v>Médio</v>
      </c>
    </row>
    <row r="950" spans="1:8" ht="13.5" customHeight="1" x14ac:dyDescent="0.25">
      <c r="A950" s="24" t="str">
        <f>'04_MOTOR_CÁLCULO'!A1252</f>
        <v>8660-7/00</v>
      </c>
      <c r="B950" s="38" t="str">
        <f>'04_MOTOR_CÁLCULO'!B1252</f>
        <v>Q</v>
      </c>
      <c r="C950" s="100" t="str">
        <f>'04_MOTOR_CÁLCULO'!C1252</f>
        <v>Atividades de apoio à gestão de saúde</v>
      </c>
      <c r="D950" s="25" t="str">
        <f>'04_MOTOR_CÁLCULO'!D1252</f>
        <v>ATIVIDADES DE AT</v>
      </c>
      <c r="E950" s="78" t="str">
        <f>'04_MOTOR_CÁLCULO'!N1252</f>
        <v>CNAE-STG</v>
      </c>
      <c r="F950" s="55">
        <f>'04_MOTOR_CÁLCULO'!K1252</f>
        <v>1</v>
      </c>
      <c r="G950" s="56">
        <f>'04_MOTOR_CÁLCULO'!K1252-1</f>
        <v>0</v>
      </c>
      <c r="H950" s="57" t="str">
        <f>'04_MOTOR_CÁLCULO'!M1252</f>
        <v>Médio</v>
      </c>
    </row>
    <row r="951" spans="1:8" ht="13.5" customHeight="1" x14ac:dyDescent="0.25">
      <c r="A951" s="13" t="str">
        <f>'04_MOTOR_CÁLCULO'!A1253</f>
        <v>8690-9/01</v>
      </c>
      <c r="B951" s="49" t="str">
        <f>'04_MOTOR_CÁLCULO'!B1253</f>
        <v>Q</v>
      </c>
      <c r="C951" s="101" t="str">
        <f>'04_MOTOR_CÁLCULO'!C1253</f>
        <v>Atividades de práticas integrativas e complementares em saúde humana</v>
      </c>
      <c r="D951" s="14" t="str">
        <f>'04_MOTOR_CÁLCULO'!D1253</f>
        <v>ATIVIDADES DE AT</v>
      </c>
      <c r="E951" s="78" t="str">
        <f>'04_MOTOR_CÁLCULO'!N1253</f>
        <v>CNAE-STG</v>
      </c>
      <c r="F951" s="55">
        <f>'04_MOTOR_CÁLCULO'!K1253</f>
        <v>1</v>
      </c>
      <c r="G951" s="56">
        <f>'04_MOTOR_CÁLCULO'!K1253-1</f>
        <v>0</v>
      </c>
      <c r="H951" s="57" t="str">
        <f>'04_MOTOR_CÁLCULO'!M1253</f>
        <v>Médio</v>
      </c>
    </row>
    <row r="952" spans="1:8" ht="13.5" customHeight="1" x14ac:dyDescent="0.25">
      <c r="A952" s="24" t="str">
        <f>'04_MOTOR_CÁLCULO'!A1254</f>
        <v>8690-9/02</v>
      </c>
      <c r="B952" s="38" t="str">
        <f>'04_MOTOR_CÁLCULO'!B1254</f>
        <v>Q</v>
      </c>
      <c r="C952" s="100" t="str">
        <f>'04_MOTOR_CÁLCULO'!C1254</f>
        <v>Atividades de bancos de leite humano</v>
      </c>
      <c r="D952" s="25" t="str">
        <f>'04_MOTOR_CÁLCULO'!D1254</f>
        <v>ATIVIDADES DE AT</v>
      </c>
      <c r="E952" s="78" t="str">
        <f>'04_MOTOR_CÁLCULO'!N1254</f>
        <v>CNAE-STG</v>
      </c>
      <c r="F952" s="55">
        <f>'04_MOTOR_CÁLCULO'!K1254</f>
        <v>1</v>
      </c>
      <c r="G952" s="56">
        <f>'04_MOTOR_CÁLCULO'!K1254-1</f>
        <v>0</v>
      </c>
      <c r="H952" s="57" t="str">
        <f>'04_MOTOR_CÁLCULO'!M1254</f>
        <v>Médio</v>
      </c>
    </row>
    <row r="953" spans="1:8" ht="13.5" customHeight="1" x14ac:dyDescent="0.25">
      <c r="A953" s="13" t="str">
        <f>'04_MOTOR_CÁLCULO'!A1255</f>
        <v>8690-9/03</v>
      </c>
      <c r="B953" s="49" t="str">
        <f>'04_MOTOR_CÁLCULO'!B1255</f>
        <v>Q</v>
      </c>
      <c r="C953" s="101" t="str">
        <f>'04_MOTOR_CÁLCULO'!C1255</f>
        <v>Atividades de acupuntura</v>
      </c>
      <c r="D953" s="14" t="str">
        <f>'04_MOTOR_CÁLCULO'!D1255</f>
        <v>ATIVIDADES DE AT</v>
      </c>
      <c r="E953" s="78" t="str">
        <f>'04_MOTOR_CÁLCULO'!N1255</f>
        <v>CNAE-STG</v>
      </c>
      <c r="F953" s="55">
        <f>'04_MOTOR_CÁLCULO'!K1255</f>
        <v>1</v>
      </c>
      <c r="G953" s="56">
        <f>'04_MOTOR_CÁLCULO'!K1255-1</f>
        <v>0</v>
      </c>
      <c r="H953" s="57" t="str">
        <f>'04_MOTOR_CÁLCULO'!M1255</f>
        <v>Médio</v>
      </c>
    </row>
    <row r="954" spans="1:8" ht="13.5" customHeight="1" x14ac:dyDescent="0.25">
      <c r="A954" s="24" t="str">
        <f>'04_MOTOR_CÁLCULO'!A1256</f>
        <v>8690-9/04</v>
      </c>
      <c r="B954" s="38" t="str">
        <f>'04_MOTOR_CÁLCULO'!B1256</f>
        <v>Q</v>
      </c>
      <c r="C954" s="100" t="str">
        <f>'04_MOTOR_CÁLCULO'!C1256</f>
        <v>Atividades de podologia</v>
      </c>
      <c r="D954" s="25" t="str">
        <f>'04_MOTOR_CÁLCULO'!D1256</f>
        <v>ATIVIDADES DE AT</v>
      </c>
      <c r="E954" s="78" t="str">
        <f>'04_MOTOR_CÁLCULO'!N1256</f>
        <v>CNAE-STG</v>
      </c>
      <c r="F954" s="55">
        <f>'04_MOTOR_CÁLCULO'!K1256</f>
        <v>1</v>
      </c>
      <c r="G954" s="56">
        <f>'04_MOTOR_CÁLCULO'!K1256-1</f>
        <v>0</v>
      </c>
      <c r="H954" s="57" t="str">
        <f>'04_MOTOR_CÁLCULO'!M1256</f>
        <v>Médio</v>
      </c>
    </row>
    <row r="955" spans="1:8" ht="13.5" customHeight="1" x14ac:dyDescent="0.25">
      <c r="A955" s="13" t="str">
        <f>'04_MOTOR_CÁLCULO'!A1257</f>
        <v>8690-9/99</v>
      </c>
      <c r="B955" s="49" t="str">
        <f>'04_MOTOR_CÁLCULO'!B1257</f>
        <v>Q</v>
      </c>
      <c r="C955" s="101" t="str">
        <f>'04_MOTOR_CÁLCULO'!C1257</f>
        <v>Outras atividades de atenção à saúde humana não especificadas anteriormente</v>
      </c>
      <c r="D955" s="14" t="str">
        <f>'04_MOTOR_CÁLCULO'!D1257</f>
        <v>ATIVIDADES DE AT</v>
      </c>
      <c r="E955" s="78" t="str">
        <f>'04_MOTOR_CÁLCULO'!N1257</f>
        <v>CNAE-STG</v>
      </c>
      <c r="F955" s="55">
        <f>'04_MOTOR_CÁLCULO'!K1257</f>
        <v>1</v>
      </c>
      <c r="G955" s="56">
        <f>'04_MOTOR_CÁLCULO'!K1257-1</f>
        <v>0</v>
      </c>
      <c r="H955" s="57" t="str">
        <f>'04_MOTOR_CÁLCULO'!M1257</f>
        <v>Médio</v>
      </c>
    </row>
    <row r="956" spans="1:8" ht="13.5" customHeight="1" x14ac:dyDescent="0.25">
      <c r="A956" s="24" t="str">
        <f>'04_MOTOR_CÁLCULO'!A1258</f>
        <v>8711-5/01</v>
      </c>
      <c r="B956" s="38" t="str">
        <f>'04_MOTOR_CÁLCULO'!B1258</f>
        <v>Q</v>
      </c>
      <c r="C956" s="100" t="str">
        <f>'04_MOTOR_CÁLCULO'!C1258</f>
        <v>Clínicas e residências geriátricas</v>
      </c>
      <c r="D956" s="25" t="str">
        <f>'04_MOTOR_CÁLCULO'!D1258</f>
        <v>ATIVIDADES DE AT</v>
      </c>
      <c r="E956" s="78" t="str">
        <f>'04_MOTOR_CÁLCULO'!N1258</f>
        <v>CNAE-STG</v>
      </c>
      <c r="F956" s="55">
        <f>'04_MOTOR_CÁLCULO'!K1258</f>
        <v>1</v>
      </c>
      <c r="G956" s="56">
        <f>'04_MOTOR_CÁLCULO'!K1258-1</f>
        <v>0</v>
      </c>
      <c r="H956" s="57" t="str">
        <f>'04_MOTOR_CÁLCULO'!M1258</f>
        <v>Médio</v>
      </c>
    </row>
    <row r="957" spans="1:8" ht="13.5" customHeight="1" x14ac:dyDescent="0.25">
      <c r="A957" s="13" t="str">
        <f>'04_MOTOR_CÁLCULO'!A1259</f>
        <v>8711-5/02</v>
      </c>
      <c r="B957" s="49" t="str">
        <f>'04_MOTOR_CÁLCULO'!B1259</f>
        <v>Q</v>
      </c>
      <c r="C957" s="101" t="str">
        <f>'04_MOTOR_CÁLCULO'!C1259</f>
        <v>Instituições de longa permanência para idosos</v>
      </c>
      <c r="D957" s="14" t="str">
        <f>'04_MOTOR_CÁLCULO'!D1259</f>
        <v>ATIVIDADES DE AT</v>
      </c>
      <c r="E957" s="78" t="str">
        <f>'04_MOTOR_CÁLCULO'!N1259</f>
        <v>CNAE-STG</v>
      </c>
      <c r="F957" s="55">
        <f>'04_MOTOR_CÁLCULO'!K1259</f>
        <v>1</v>
      </c>
      <c r="G957" s="56">
        <f>'04_MOTOR_CÁLCULO'!K1259-1</f>
        <v>0</v>
      </c>
      <c r="H957" s="57" t="str">
        <f>'04_MOTOR_CÁLCULO'!M1259</f>
        <v>Médio</v>
      </c>
    </row>
    <row r="958" spans="1:8" ht="13.5" customHeight="1" x14ac:dyDescent="0.25">
      <c r="A958" s="24" t="str">
        <f>'04_MOTOR_CÁLCULO'!A1260</f>
        <v>8711-5/03</v>
      </c>
      <c r="B958" s="38" t="str">
        <f>'04_MOTOR_CÁLCULO'!B1260</f>
        <v>Q</v>
      </c>
      <c r="C958" s="100" t="str">
        <f>'04_MOTOR_CÁLCULO'!C1260</f>
        <v>Atividades de assistência a deficientes físicos, imunodeprimidos e convalescentes</v>
      </c>
      <c r="D958" s="25" t="str">
        <f>'04_MOTOR_CÁLCULO'!D1260</f>
        <v>ATIVIDADES DE AT</v>
      </c>
      <c r="E958" s="78" t="str">
        <f>'04_MOTOR_CÁLCULO'!N1260</f>
        <v>CNAE-STG</v>
      </c>
      <c r="F958" s="55">
        <f>'04_MOTOR_CÁLCULO'!K1260</f>
        <v>1</v>
      </c>
      <c r="G958" s="56">
        <f>'04_MOTOR_CÁLCULO'!K1260-1</f>
        <v>0</v>
      </c>
      <c r="H958" s="57" t="str">
        <f>'04_MOTOR_CÁLCULO'!M1260</f>
        <v>Médio</v>
      </c>
    </row>
    <row r="959" spans="1:8" ht="13.5" customHeight="1" x14ac:dyDescent="0.25">
      <c r="A959" s="13" t="str">
        <f>'04_MOTOR_CÁLCULO'!A1261</f>
        <v>8711-5/04</v>
      </c>
      <c r="B959" s="49" t="str">
        <f>'04_MOTOR_CÁLCULO'!B1261</f>
        <v>Q</v>
      </c>
      <c r="C959" s="101" t="str">
        <f>'04_MOTOR_CÁLCULO'!C1261</f>
        <v>Centros de apoio a pacientes com câncer e com AIDS</v>
      </c>
      <c r="D959" s="14" t="str">
        <f>'04_MOTOR_CÁLCULO'!D1261</f>
        <v>ATIVIDADES DE AT</v>
      </c>
      <c r="E959" s="78" t="str">
        <f>'04_MOTOR_CÁLCULO'!N1261</f>
        <v>CNAE-STG</v>
      </c>
      <c r="F959" s="55">
        <f>'04_MOTOR_CÁLCULO'!K1261</f>
        <v>1</v>
      </c>
      <c r="G959" s="56">
        <f>'04_MOTOR_CÁLCULO'!K1261-1</f>
        <v>0</v>
      </c>
      <c r="H959" s="57" t="str">
        <f>'04_MOTOR_CÁLCULO'!M1261</f>
        <v>Médio</v>
      </c>
    </row>
    <row r="960" spans="1:8" ht="13.5" customHeight="1" x14ac:dyDescent="0.25">
      <c r="A960" s="24" t="str">
        <f>'04_MOTOR_CÁLCULO'!A1262</f>
        <v>8711-5/05</v>
      </c>
      <c r="B960" s="38" t="str">
        <f>'04_MOTOR_CÁLCULO'!B1262</f>
        <v>Q</v>
      </c>
      <c r="C960" s="100" t="str">
        <f>'04_MOTOR_CÁLCULO'!C1262</f>
        <v>Condomínios residenciais para idosos</v>
      </c>
      <c r="D960" s="25" t="str">
        <f>'04_MOTOR_CÁLCULO'!D1262</f>
        <v>ATIVIDADES DE AT</v>
      </c>
      <c r="E960" s="78" t="str">
        <f>'04_MOTOR_CÁLCULO'!N1262</f>
        <v>CNAE-STG</v>
      </c>
      <c r="F960" s="55">
        <f>'04_MOTOR_CÁLCULO'!K1262</f>
        <v>1</v>
      </c>
      <c r="G960" s="56">
        <f>'04_MOTOR_CÁLCULO'!K1262-1</f>
        <v>0</v>
      </c>
      <c r="H960" s="57" t="str">
        <f>'04_MOTOR_CÁLCULO'!M1262</f>
        <v>Médio</v>
      </c>
    </row>
    <row r="961" spans="1:8" ht="13.5" customHeight="1" x14ac:dyDescent="0.25">
      <c r="A961" s="13" t="str">
        <f>'04_MOTOR_CÁLCULO'!A1263</f>
        <v>8712-3/00</v>
      </c>
      <c r="B961" s="49" t="str">
        <f>'04_MOTOR_CÁLCULO'!B1263</f>
        <v>Q</v>
      </c>
      <c r="C961" s="101" t="str">
        <f>'04_MOTOR_CÁLCULO'!C1263</f>
        <v>Atividades de fornecimento de infraestrutura de apoio e assistência a paciente no domicílio</v>
      </c>
      <c r="D961" s="14" t="str">
        <f>'04_MOTOR_CÁLCULO'!D1263</f>
        <v>ATIVIDADES DE AT</v>
      </c>
      <c r="E961" s="78" t="str">
        <f>'04_MOTOR_CÁLCULO'!N1263</f>
        <v>CNAE-STG</v>
      </c>
      <c r="F961" s="55">
        <f>'04_MOTOR_CÁLCULO'!K1263</f>
        <v>1</v>
      </c>
      <c r="G961" s="56">
        <f>'04_MOTOR_CÁLCULO'!K1263-1</f>
        <v>0</v>
      </c>
      <c r="H961" s="57" t="str">
        <f>'04_MOTOR_CÁLCULO'!M1263</f>
        <v>Médio</v>
      </c>
    </row>
    <row r="962" spans="1:8" ht="13.5" customHeight="1" x14ac:dyDescent="0.25">
      <c r="A962" s="24" t="str">
        <f>'04_MOTOR_CÁLCULO'!A1264</f>
        <v>8720-4/01</v>
      </c>
      <c r="B962" s="38" t="str">
        <f>'04_MOTOR_CÁLCULO'!B1264</f>
        <v>Q</v>
      </c>
      <c r="C962" s="100" t="str">
        <f>'04_MOTOR_CÁLCULO'!C1264</f>
        <v>Atividades de centros de assistência psicossocial</v>
      </c>
      <c r="D962" s="25" t="str">
        <f>'04_MOTOR_CÁLCULO'!D1264</f>
        <v>ATIVIDADES DE AT</v>
      </c>
      <c r="E962" s="78" t="str">
        <f>'04_MOTOR_CÁLCULO'!N1264</f>
        <v>CNAE-STG</v>
      </c>
      <c r="F962" s="55">
        <f>'04_MOTOR_CÁLCULO'!K1264</f>
        <v>1</v>
      </c>
      <c r="G962" s="56">
        <f>'04_MOTOR_CÁLCULO'!K1264-1</f>
        <v>0</v>
      </c>
      <c r="H962" s="57" t="str">
        <f>'04_MOTOR_CÁLCULO'!M1264</f>
        <v>Médio</v>
      </c>
    </row>
    <row r="963" spans="1:8" ht="13.5" customHeight="1" x14ac:dyDescent="0.25">
      <c r="A963" s="13" t="str">
        <f>'04_MOTOR_CÁLCULO'!A1265</f>
        <v>8720-4/99</v>
      </c>
      <c r="B963" s="49" t="str">
        <f>'04_MOTOR_CÁLCULO'!B1265</f>
        <v>Q</v>
      </c>
      <c r="C963" s="101" t="str">
        <f>'04_MOTOR_CÁLCULO'!C1265</f>
        <v>Atividades de assistência psicossocial e à saúde a portadores de distúrbios psíquicos, deficiência mental e dependência química e grupos similares não especificadas anteriormente</v>
      </c>
      <c r="D963" s="14" t="str">
        <f>'04_MOTOR_CÁLCULO'!D1265</f>
        <v>ATIVIDADES DE AT</v>
      </c>
      <c r="E963" s="78" t="str">
        <f>'04_MOTOR_CÁLCULO'!N1265</f>
        <v>CNAE-STG</v>
      </c>
      <c r="F963" s="55">
        <f>'04_MOTOR_CÁLCULO'!K1265</f>
        <v>1</v>
      </c>
      <c r="G963" s="56">
        <f>'04_MOTOR_CÁLCULO'!K1265-1</f>
        <v>0</v>
      </c>
      <c r="H963" s="57" t="str">
        <f>'04_MOTOR_CÁLCULO'!M1265</f>
        <v>Médio</v>
      </c>
    </row>
    <row r="964" spans="1:8" ht="13.5" customHeight="1" x14ac:dyDescent="0.25">
      <c r="A964" s="24" t="str">
        <f>'04_MOTOR_CÁLCULO'!A1266</f>
        <v>8730-1/01</v>
      </c>
      <c r="B964" s="38" t="str">
        <f>'04_MOTOR_CÁLCULO'!B1266</f>
        <v>Q</v>
      </c>
      <c r="C964" s="100" t="str">
        <f>'04_MOTOR_CÁLCULO'!C1266</f>
        <v>Orfanatos</v>
      </c>
      <c r="D964" s="25" t="str">
        <f>'04_MOTOR_CÁLCULO'!D1266</f>
        <v>ATIVIDADES DE AT</v>
      </c>
      <c r="E964" s="78" t="str">
        <f>'04_MOTOR_CÁLCULO'!N1266</f>
        <v>CNAE-STG</v>
      </c>
      <c r="F964" s="55">
        <f>'04_MOTOR_CÁLCULO'!K1266</f>
        <v>1</v>
      </c>
      <c r="G964" s="56">
        <f>'04_MOTOR_CÁLCULO'!K1266-1</f>
        <v>0</v>
      </c>
      <c r="H964" s="57" t="str">
        <f>'04_MOTOR_CÁLCULO'!M1266</f>
        <v>Médio</v>
      </c>
    </row>
    <row r="965" spans="1:8" ht="13.5" customHeight="1" x14ac:dyDescent="0.25">
      <c r="A965" s="13" t="str">
        <f>'04_MOTOR_CÁLCULO'!A1267</f>
        <v>8730-1/02</v>
      </c>
      <c r="B965" s="49" t="str">
        <f>'04_MOTOR_CÁLCULO'!B1267</f>
        <v>Q</v>
      </c>
      <c r="C965" s="101" t="str">
        <f>'04_MOTOR_CÁLCULO'!C1267</f>
        <v>Albergues assistenciais</v>
      </c>
      <c r="D965" s="14" t="str">
        <f>'04_MOTOR_CÁLCULO'!D1267</f>
        <v>ATIVIDADES DE AT</v>
      </c>
      <c r="E965" s="78" t="str">
        <f>'04_MOTOR_CÁLCULO'!N1267</f>
        <v>CNAE-STG</v>
      </c>
      <c r="F965" s="55">
        <f>'04_MOTOR_CÁLCULO'!K1267</f>
        <v>1</v>
      </c>
      <c r="G965" s="56">
        <f>'04_MOTOR_CÁLCULO'!K1267-1</f>
        <v>0</v>
      </c>
      <c r="H965" s="57" t="str">
        <f>'04_MOTOR_CÁLCULO'!M1267</f>
        <v>Médio</v>
      </c>
    </row>
    <row r="966" spans="1:8" ht="13.5" customHeight="1" x14ac:dyDescent="0.25">
      <c r="A966" s="24" t="str">
        <f>'04_MOTOR_CÁLCULO'!A1268</f>
        <v>8730-1/99</v>
      </c>
      <c r="B966" s="38" t="str">
        <f>'04_MOTOR_CÁLCULO'!B1268</f>
        <v>Q</v>
      </c>
      <c r="C966" s="100" t="str">
        <f>'04_MOTOR_CÁLCULO'!C1268</f>
        <v>Atividades de assistência social prestadas em residências coletivas e particulares não especificadas anteriormente</v>
      </c>
      <c r="D966" s="25" t="str">
        <f>'04_MOTOR_CÁLCULO'!D1268</f>
        <v>ATIVIDADES DE AT</v>
      </c>
      <c r="E966" s="78" t="str">
        <f>'04_MOTOR_CÁLCULO'!N1268</f>
        <v>CNAE-STG</v>
      </c>
      <c r="F966" s="55">
        <f>'04_MOTOR_CÁLCULO'!K1268</f>
        <v>1</v>
      </c>
      <c r="G966" s="56">
        <f>'04_MOTOR_CÁLCULO'!K1268-1</f>
        <v>0</v>
      </c>
      <c r="H966" s="57" t="str">
        <f>'04_MOTOR_CÁLCULO'!M1268</f>
        <v>Médio</v>
      </c>
    </row>
    <row r="967" spans="1:8" ht="13.5" customHeight="1" x14ac:dyDescent="0.25">
      <c r="A967" s="13" t="str">
        <f>'04_MOTOR_CÁLCULO'!A1287</f>
        <v>9311-5/00</v>
      </c>
      <c r="B967" s="49" t="str">
        <f>'04_MOTOR_CÁLCULO'!B1287</f>
        <v>R</v>
      </c>
      <c r="C967" s="101" t="str">
        <f>'04_MOTOR_CÁLCULO'!C1287</f>
        <v>Gestão de instalações de esportes</v>
      </c>
      <c r="D967" s="14" t="str">
        <f>'04_MOTOR_CÁLCULO'!D1287</f>
        <v>ATIVIDADES ESPOR</v>
      </c>
      <c r="E967" s="78" t="str">
        <f>'04_MOTOR_CÁLCULO'!N1287</f>
        <v>CNAE-STG</v>
      </c>
      <c r="F967" s="55">
        <f>'04_MOTOR_CÁLCULO'!K1287</f>
        <v>1</v>
      </c>
      <c r="G967" s="56">
        <f>'04_MOTOR_CÁLCULO'!K1287-1</f>
        <v>0</v>
      </c>
      <c r="H967" s="57" t="str">
        <f>'04_MOTOR_CÁLCULO'!M1287</f>
        <v>Médio</v>
      </c>
    </row>
    <row r="968" spans="1:8" ht="13.5" customHeight="1" x14ac:dyDescent="0.25">
      <c r="A968" s="24" t="str">
        <f>'04_MOTOR_CÁLCULO'!A1288</f>
        <v>9312-3/00</v>
      </c>
      <c r="B968" s="38" t="str">
        <f>'04_MOTOR_CÁLCULO'!B1288</f>
        <v>R</v>
      </c>
      <c r="C968" s="100" t="str">
        <f>'04_MOTOR_CÁLCULO'!C1288</f>
        <v>Clubes sociais, esportivos e similares</v>
      </c>
      <c r="D968" s="25" t="str">
        <f>'04_MOTOR_CÁLCULO'!D1288</f>
        <v>ATIVIDADES ESPOR</v>
      </c>
      <c r="E968" s="78" t="str">
        <f>'04_MOTOR_CÁLCULO'!N1288</f>
        <v>CNAE-STG</v>
      </c>
      <c r="F968" s="55">
        <f>'04_MOTOR_CÁLCULO'!K1288</f>
        <v>1</v>
      </c>
      <c r="G968" s="56">
        <f>'04_MOTOR_CÁLCULO'!K1288-1</f>
        <v>0</v>
      </c>
      <c r="H968" s="57" t="str">
        <f>'04_MOTOR_CÁLCULO'!M1288</f>
        <v>Médio</v>
      </c>
    </row>
    <row r="969" spans="1:8" ht="13.5" customHeight="1" x14ac:dyDescent="0.25">
      <c r="A969" s="13" t="str">
        <f>'04_MOTOR_CÁLCULO'!A1289</f>
        <v>9313-1/00</v>
      </c>
      <c r="B969" s="49" t="str">
        <f>'04_MOTOR_CÁLCULO'!B1289</f>
        <v>R</v>
      </c>
      <c r="C969" s="101" t="str">
        <f>'04_MOTOR_CÁLCULO'!C1289</f>
        <v>Atividades de condicionamento físico</v>
      </c>
      <c r="D969" s="14" t="str">
        <f>'04_MOTOR_CÁLCULO'!D1289</f>
        <v>ATIVIDADES ESPOR</v>
      </c>
      <c r="E969" s="78" t="str">
        <f>'04_MOTOR_CÁLCULO'!N1289</f>
        <v>CNAE-STG</v>
      </c>
      <c r="F969" s="55">
        <f>'04_MOTOR_CÁLCULO'!K1289</f>
        <v>1</v>
      </c>
      <c r="G969" s="56">
        <f>'04_MOTOR_CÁLCULO'!K1289-1</f>
        <v>0</v>
      </c>
      <c r="H969" s="57" t="str">
        <f>'04_MOTOR_CÁLCULO'!M1289</f>
        <v>Médio</v>
      </c>
    </row>
    <row r="970" spans="1:8" ht="13.5" customHeight="1" x14ac:dyDescent="0.25">
      <c r="A970" s="24" t="str">
        <f>'04_MOTOR_CÁLCULO'!A1290</f>
        <v>9319-1/01</v>
      </c>
      <c r="B970" s="38" t="str">
        <f>'04_MOTOR_CÁLCULO'!B1290</f>
        <v>R</v>
      </c>
      <c r="C970" s="100" t="str">
        <f>'04_MOTOR_CÁLCULO'!C1290</f>
        <v>Produção e promoção de eventos esportivos</v>
      </c>
      <c r="D970" s="25" t="str">
        <f>'04_MOTOR_CÁLCULO'!D1290</f>
        <v>ATIVIDADES ESPOR</v>
      </c>
      <c r="E970" s="78" t="str">
        <f>'04_MOTOR_CÁLCULO'!N1290</f>
        <v>CNAE-STG</v>
      </c>
      <c r="F970" s="55">
        <f>'04_MOTOR_CÁLCULO'!K1290</f>
        <v>1</v>
      </c>
      <c r="G970" s="56">
        <f>'04_MOTOR_CÁLCULO'!K1290-1</f>
        <v>0</v>
      </c>
      <c r="H970" s="57" t="str">
        <f>'04_MOTOR_CÁLCULO'!M1290</f>
        <v>Médio</v>
      </c>
    </row>
    <row r="971" spans="1:8" ht="13.5" customHeight="1" x14ac:dyDescent="0.25">
      <c r="A971" s="13" t="str">
        <f>'04_MOTOR_CÁLCULO'!A1291</f>
        <v>9319-1/99</v>
      </c>
      <c r="B971" s="49" t="str">
        <f>'04_MOTOR_CÁLCULO'!B1291</f>
        <v>R</v>
      </c>
      <c r="C971" s="101" t="str">
        <f>'04_MOTOR_CÁLCULO'!C1291</f>
        <v>Outras atividades esportivas não especificadas anteriormente</v>
      </c>
      <c r="D971" s="14" t="str">
        <f>'04_MOTOR_CÁLCULO'!D1291</f>
        <v>ATIVIDADES ESPOR</v>
      </c>
      <c r="E971" s="78" t="str">
        <f>'04_MOTOR_CÁLCULO'!N1291</f>
        <v>CNAE-STG</v>
      </c>
      <c r="F971" s="55">
        <f>'04_MOTOR_CÁLCULO'!K1291</f>
        <v>1</v>
      </c>
      <c r="G971" s="56">
        <f>'04_MOTOR_CÁLCULO'!K1291-1</f>
        <v>0</v>
      </c>
      <c r="H971" s="57" t="str">
        <f>'04_MOTOR_CÁLCULO'!M1291</f>
        <v>Médio</v>
      </c>
    </row>
    <row r="972" spans="1:8" ht="13.5" customHeight="1" x14ac:dyDescent="0.25">
      <c r="A972" s="24" t="str">
        <f>'04_MOTOR_CÁLCULO'!A1292</f>
        <v>9321-2/00</v>
      </c>
      <c r="B972" s="38" t="str">
        <f>'04_MOTOR_CÁLCULO'!B1292</f>
        <v>R</v>
      </c>
      <c r="C972" s="100" t="str">
        <f>'04_MOTOR_CÁLCULO'!C1292</f>
        <v>Parques de diversão e parques temáticos</v>
      </c>
      <c r="D972" s="25" t="str">
        <f>'04_MOTOR_CÁLCULO'!D1292</f>
        <v>ATIVIDADES ESPOR</v>
      </c>
      <c r="E972" s="78" t="str">
        <f>'04_MOTOR_CÁLCULO'!N1292</f>
        <v>CNAE-STG</v>
      </c>
      <c r="F972" s="55">
        <f>'04_MOTOR_CÁLCULO'!K1292</f>
        <v>1</v>
      </c>
      <c r="G972" s="56">
        <f>'04_MOTOR_CÁLCULO'!K1292-1</f>
        <v>0</v>
      </c>
      <c r="H972" s="57" t="str">
        <f>'04_MOTOR_CÁLCULO'!M1292</f>
        <v>Médio</v>
      </c>
    </row>
    <row r="973" spans="1:8" ht="13.5" customHeight="1" x14ac:dyDescent="0.25">
      <c r="A973" s="13" t="str">
        <f>'04_MOTOR_CÁLCULO'!A1293</f>
        <v>9329-8/01</v>
      </c>
      <c r="B973" s="49" t="str">
        <f>'04_MOTOR_CÁLCULO'!B1293</f>
        <v>R</v>
      </c>
      <c r="C973" s="101" t="str">
        <f>'04_MOTOR_CÁLCULO'!C1293</f>
        <v>Discotecas, danceterias, salões de dança e similares</v>
      </c>
      <c r="D973" s="14" t="str">
        <f>'04_MOTOR_CÁLCULO'!D1293</f>
        <v>ATIVIDADES ESPOR</v>
      </c>
      <c r="E973" s="78" t="str">
        <f>'04_MOTOR_CÁLCULO'!N1293</f>
        <v>CNAE-STG</v>
      </c>
      <c r="F973" s="55">
        <f>'04_MOTOR_CÁLCULO'!K1293</f>
        <v>1</v>
      </c>
      <c r="G973" s="56">
        <f>'04_MOTOR_CÁLCULO'!K1293-1</f>
        <v>0</v>
      </c>
      <c r="H973" s="57" t="str">
        <f>'04_MOTOR_CÁLCULO'!M1293</f>
        <v>Médio</v>
      </c>
    </row>
    <row r="974" spans="1:8" ht="13.5" customHeight="1" x14ac:dyDescent="0.25">
      <c r="A974" s="24" t="str">
        <f>'04_MOTOR_CÁLCULO'!A1294</f>
        <v>9329-8/02</v>
      </c>
      <c r="B974" s="38" t="str">
        <f>'04_MOTOR_CÁLCULO'!B1294</f>
        <v>R</v>
      </c>
      <c r="C974" s="100" t="str">
        <f>'04_MOTOR_CÁLCULO'!C1294</f>
        <v>Exploração de boliches</v>
      </c>
      <c r="D974" s="25" t="str">
        <f>'04_MOTOR_CÁLCULO'!D1294</f>
        <v>ATIVIDADES ESPOR</v>
      </c>
      <c r="E974" s="78" t="str">
        <f>'04_MOTOR_CÁLCULO'!N1294</f>
        <v>CNAE-STG</v>
      </c>
      <c r="F974" s="55">
        <f>'04_MOTOR_CÁLCULO'!K1294</f>
        <v>1</v>
      </c>
      <c r="G974" s="56">
        <f>'04_MOTOR_CÁLCULO'!K1294-1</f>
        <v>0</v>
      </c>
      <c r="H974" s="57" t="str">
        <f>'04_MOTOR_CÁLCULO'!M1294</f>
        <v>Médio</v>
      </c>
    </row>
    <row r="975" spans="1:8" ht="13.5" customHeight="1" x14ac:dyDescent="0.25">
      <c r="A975" s="13" t="str">
        <f>'04_MOTOR_CÁLCULO'!A1295</f>
        <v>9329-8/03</v>
      </c>
      <c r="B975" s="49" t="str">
        <f>'04_MOTOR_CÁLCULO'!B1295</f>
        <v>R</v>
      </c>
      <c r="C975" s="101" t="str">
        <f>'04_MOTOR_CÁLCULO'!C1295</f>
        <v>Exploração de jogos de sinuca, bilhar e similares</v>
      </c>
      <c r="D975" s="14" t="str">
        <f>'04_MOTOR_CÁLCULO'!D1295</f>
        <v>ATIVIDADES ESPOR</v>
      </c>
      <c r="E975" s="78" t="str">
        <f>'04_MOTOR_CÁLCULO'!N1295</f>
        <v>CNAE-STG</v>
      </c>
      <c r="F975" s="55">
        <f>'04_MOTOR_CÁLCULO'!K1295</f>
        <v>1</v>
      </c>
      <c r="G975" s="56">
        <f>'04_MOTOR_CÁLCULO'!K1295-1</f>
        <v>0</v>
      </c>
      <c r="H975" s="57" t="str">
        <f>'04_MOTOR_CÁLCULO'!M1295</f>
        <v>Médio</v>
      </c>
    </row>
    <row r="976" spans="1:8" ht="13.5" customHeight="1" x14ac:dyDescent="0.25">
      <c r="A976" s="24" t="str">
        <f>'04_MOTOR_CÁLCULO'!A1296</f>
        <v>9329-8/04</v>
      </c>
      <c r="B976" s="38" t="str">
        <f>'04_MOTOR_CÁLCULO'!B1296</f>
        <v>R</v>
      </c>
      <c r="C976" s="100" t="str">
        <f>'04_MOTOR_CÁLCULO'!C1296</f>
        <v>Exploração de jogos eletrônicos recreativos</v>
      </c>
      <c r="D976" s="25" t="str">
        <f>'04_MOTOR_CÁLCULO'!D1296</f>
        <v>ATIVIDADES ESPOR</v>
      </c>
      <c r="E976" s="78" t="str">
        <f>'04_MOTOR_CÁLCULO'!N1296</f>
        <v>CNAE-STG</v>
      </c>
      <c r="F976" s="55">
        <f>'04_MOTOR_CÁLCULO'!K1296</f>
        <v>1</v>
      </c>
      <c r="G976" s="56">
        <f>'04_MOTOR_CÁLCULO'!K1296-1</f>
        <v>0</v>
      </c>
      <c r="H976" s="57" t="str">
        <f>'04_MOTOR_CÁLCULO'!M1296</f>
        <v>Médio</v>
      </c>
    </row>
    <row r="977" spans="1:8" ht="13.5" customHeight="1" x14ac:dyDescent="0.25">
      <c r="A977" s="13" t="str">
        <f>'04_MOTOR_CÁLCULO'!A1297</f>
        <v>9329-8/99</v>
      </c>
      <c r="B977" s="49" t="str">
        <f>'04_MOTOR_CÁLCULO'!B1297</f>
        <v>R</v>
      </c>
      <c r="C977" s="101" t="str">
        <f>'04_MOTOR_CÁLCULO'!C1297</f>
        <v>Outras atividades de recreação e lazer não especificadas anteriormente</v>
      </c>
      <c r="D977" s="14" t="str">
        <f>'04_MOTOR_CÁLCULO'!D1297</f>
        <v>ATIVIDADES ESPOR</v>
      </c>
      <c r="E977" s="78" t="str">
        <f>'04_MOTOR_CÁLCULO'!N1297</f>
        <v>CNAE-STG</v>
      </c>
      <c r="F977" s="55">
        <f>'04_MOTOR_CÁLCULO'!K1297</f>
        <v>1</v>
      </c>
      <c r="G977" s="56">
        <f>'04_MOTOR_CÁLCULO'!K1297-1</f>
        <v>0</v>
      </c>
      <c r="H977" s="57" t="str">
        <f>'04_MOTOR_CÁLCULO'!M1297</f>
        <v>Médio</v>
      </c>
    </row>
    <row r="978" spans="1:8" ht="13.5" customHeight="1" x14ac:dyDescent="0.25">
      <c r="A978" s="24" t="str">
        <f>'04_MOTOR_CÁLCULO'!A1307</f>
        <v>9511-8/00</v>
      </c>
      <c r="B978" s="38" t="str">
        <f>'04_MOTOR_CÁLCULO'!B1307</f>
        <v>S</v>
      </c>
      <c r="C978" s="100" t="str">
        <f>'04_MOTOR_CÁLCULO'!C1307</f>
        <v>Reparação e manutenção de computadores e de equipamentos periféricos</v>
      </c>
      <c r="D978" s="25" t="str">
        <f>'04_MOTOR_CÁLCULO'!D1307</f>
        <v>REPARAÇÃO E MANU</v>
      </c>
      <c r="E978" s="78" t="str">
        <f>'04_MOTOR_CÁLCULO'!N1307</f>
        <v>CNAE-STG</v>
      </c>
      <c r="F978" s="55">
        <f>'04_MOTOR_CÁLCULO'!K1307</f>
        <v>1</v>
      </c>
      <c r="G978" s="56">
        <f>'04_MOTOR_CÁLCULO'!K1307-1</f>
        <v>0</v>
      </c>
      <c r="H978" s="57" t="str">
        <f>'04_MOTOR_CÁLCULO'!M1307</f>
        <v>Médio</v>
      </c>
    </row>
    <row r="979" spans="1:8" ht="13.5" customHeight="1" x14ac:dyDescent="0.25">
      <c r="A979" s="13" t="str">
        <f>'04_MOTOR_CÁLCULO'!A1308</f>
        <v>9512-6/00</v>
      </c>
      <c r="B979" s="49" t="str">
        <f>'04_MOTOR_CÁLCULO'!B1308</f>
        <v>S</v>
      </c>
      <c r="C979" s="101" t="str">
        <f>'04_MOTOR_CÁLCULO'!C1308</f>
        <v>Reparação e manutenção de equipamentos de comunicação</v>
      </c>
      <c r="D979" s="14" t="str">
        <f>'04_MOTOR_CÁLCULO'!D1308</f>
        <v>REPARAÇÃO E MANU</v>
      </c>
      <c r="E979" s="78" t="str">
        <f>'04_MOTOR_CÁLCULO'!N1308</f>
        <v>CNAE-STG</v>
      </c>
      <c r="F979" s="55">
        <f>'04_MOTOR_CÁLCULO'!K1308</f>
        <v>1</v>
      </c>
      <c r="G979" s="56">
        <f>'04_MOTOR_CÁLCULO'!K1308-1</f>
        <v>0</v>
      </c>
      <c r="H979" s="57" t="str">
        <f>'04_MOTOR_CÁLCULO'!M1308</f>
        <v>Médio</v>
      </c>
    </row>
    <row r="980" spans="1:8" ht="13.5" customHeight="1" x14ac:dyDescent="0.25">
      <c r="A980" s="24" t="str">
        <f>'04_MOTOR_CÁLCULO'!A1309</f>
        <v>9521-5/00</v>
      </c>
      <c r="B980" s="38" t="str">
        <f>'04_MOTOR_CÁLCULO'!B1309</f>
        <v>S</v>
      </c>
      <c r="C980" s="100" t="str">
        <f>'04_MOTOR_CÁLCULO'!C1309</f>
        <v>Reparação e manutenção de equipamentos eletroeletrônicos de uso pessoal e doméstico</v>
      </c>
      <c r="D980" s="25" t="str">
        <f>'04_MOTOR_CÁLCULO'!D1309</f>
        <v>REPARAÇÃO E MANU</v>
      </c>
      <c r="E980" s="78" t="str">
        <f>'04_MOTOR_CÁLCULO'!N1309</f>
        <v>CNAE-STG</v>
      </c>
      <c r="F980" s="55">
        <f>'04_MOTOR_CÁLCULO'!K1309</f>
        <v>1</v>
      </c>
      <c r="G980" s="56">
        <f>'04_MOTOR_CÁLCULO'!K1309-1</f>
        <v>0</v>
      </c>
      <c r="H980" s="57" t="str">
        <f>'04_MOTOR_CÁLCULO'!M1309</f>
        <v>Médio</v>
      </c>
    </row>
    <row r="981" spans="1:8" ht="13.5" customHeight="1" x14ac:dyDescent="0.25">
      <c r="A981" s="13" t="str">
        <f>'04_MOTOR_CÁLCULO'!A1310</f>
        <v>9529-1/01</v>
      </c>
      <c r="B981" s="49" t="str">
        <f>'04_MOTOR_CÁLCULO'!B1310</f>
        <v>S</v>
      </c>
      <c r="C981" s="101" t="str">
        <f>'04_MOTOR_CÁLCULO'!C1310</f>
        <v>Reparação de calçados, bolsas e artigos de viagem</v>
      </c>
      <c r="D981" s="14" t="str">
        <f>'04_MOTOR_CÁLCULO'!D1310</f>
        <v>REPARAÇÃO E MANU</v>
      </c>
      <c r="E981" s="78" t="str">
        <f>'04_MOTOR_CÁLCULO'!N1310</f>
        <v>CNAE-STG</v>
      </c>
      <c r="F981" s="55">
        <f>'04_MOTOR_CÁLCULO'!K1310</f>
        <v>1</v>
      </c>
      <c r="G981" s="56">
        <f>'04_MOTOR_CÁLCULO'!K1310-1</f>
        <v>0</v>
      </c>
      <c r="H981" s="57" t="str">
        <f>'04_MOTOR_CÁLCULO'!M1310</f>
        <v>Médio</v>
      </c>
    </row>
    <row r="982" spans="1:8" ht="13.5" customHeight="1" x14ac:dyDescent="0.25">
      <c r="A982" s="24" t="str">
        <f>'04_MOTOR_CÁLCULO'!A1311</f>
        <v>9529-1/02</v>
      </c>
      <c r="B982" s="38" t="str">
        <f>'04_MOTOR_CÁLCULO'!B1311</f>
        <v>S</v>
      </c>
      <c r="C982" s="100" t="str">
        <f>'04_MOTOR_CÁLCULO'!C1311</f>
        <v>Chaveiros</v>
      </c>
      <c r="D982" s="25" t="str">
        <f>'04_MOTOR_CÁLCULO'!D1311</f>
        <v>REPARAÇÃO E MANU</v>
      </c>
      <c r="E982" s="78" t="str">
        <f>'04_MOTOR_CÁLCULO'!N1311</f>
        <v>CNAE-STG</v>
      </c>
      <c r="F982" s="55">
        <f>'04_MOTOR_CÁLCULO'!K1311</f>
        <v>1</v>
      </c>
      <c r="G982" s="56">
        <f>'04_MOTOR_CÁLCULO'!K1311-1</f>
        <v>0</v>
      </c>
      <c r="H982" s="57" t="str">
        <f>'04_MOTOR_CÁLCULO'!M1311</f>
        <v>Médio</v>
      </c>
    </row>
    <row r="983" spans="1:8" ht="13.5" customHeight="1" x14ac:dyDescent="0.25">
      <c r="A983" s="13" t="str">
        <f>'04_MOTOR_CÁLCULO'!A1312</f>
        <v>9529-1/03</v>
      </c>
      <c r="B983" s="49" t="str">
        <f>'04_MOTOR_CÁLCULO'!B1312</f>
        <v>S</v>
      </c>
      <c r="C983" s="101" t="str">
        <f>'04_MOTOR_CÁLCULO'!C1312</f>
        <v>Reparação de relógios</v>
      </c>
      <c r="D983" s="14" t="str">
        <f>'04_MOTOR_CÁLCULO'!D1312</f>
        <v>REPARAÇÃO E MANU</v>
      </c>
      <c r="E983" s="78" t="str">
        <f>'04_MOTOR_CÁLCULO'!N1312</f>
        <v>CNAE-STG</v>
      </c>
      <c r="F983" s="55">
        <f>'04_MOTOR_CÁLCULO'!K1312</f>
        <v>1</v>
      </c>
      <c r="G983" s="56">
        <f>'04_MOTOR_CÁLCULO'!K1312-1</f>
        <v>0</v>
      </c>
      <c r="H983" s="57" t="str">
        <f>'04_MOTOR_CÁLCULO'!M1312</f>
        <v>Médio</v>
      </c>
    </row>
    <row r="984" spans="1:8" ht="13.5" customHeight="1" x14ac:dyDescent="0.25">
      <c r="A984" s="24" t="str">
        <f>'04_MOTOR_CÁLCULO'!A1313</f>
        <v>9529-1/04</v>
      </c>
      <c r="B984" s="38" t="str">
        <f>'04_MOTOR_CÁLCULO'!B1313</f>
        <v>S</v>
      </c>
      <c r="C984" s="100" t="str">
        <f>'04_MOTOR_CÁLCULO'!C1313</f>
        <v>Reparação de bicicletas, triciclos e outros veículos não motorizados</v>
      </c>
      <c r="D984" s="25" t="str">
        <f>'04_MOTOR_CÁLCULO'!D1313</f>
        <v>REPARAÇÃO E MANU</v>
      </c>
      <c r="E984" s="78" t="str">
        <f>'04_MOTOR_CÁLCULO'!N1313</f>
        <v>CNAE-STG</v>
      </c>
      <c r="F984" s="55">
        <f>'04_MOTOR_CÁLCULO'!K1313</f>
        <v>1</v>
      </c>
      <c r="G984" s="56">
        <f>'04_MOTOR_CÁLCULO'!K1313-1</f>
        <v>0</v>
      </c>
      <c r="H984" s="57" t="str">
        <f>'04_MOTOR_CÁLCULO'!M1313</f>
        <v>Médio</v>
      </c>
    </row>
    <row r="985" spans="1:8" ht="13.5" customHeight="1" x14ac:dyDescent="0.25">
      <c r="A985" s="13" t="str">
        <f>'04_MOTOR_CÁLCULO'!A1314</f>
        <v>9529-1/05</v>
      </c>
      <c r="B985" s="49" t="str">
        <f>'04_MOTOR_CÁLCULO'!B1314</f>
        <v>S</v>
      </c>
      <c r="C985" s="101" t="str">
        <f>'04_MOTOR_CÁLCULO'!C1314</f>
        <v>Reparação de artigos do mobiliário</v>
      </c>
      <c r="D985" s="14" t="str">
        <f>'04_MOTOR_CÁLCULO'!D1314</f>
        <v>REPARAÇÃO E MANU</v>
      </c>
      <c r="E985" s="78" t="str">
        <f>'04_MOTOR_CÁLCULO'!N1314</f>
        <v>CNAE-STG</v>
      </c>
      <c r="F985" s="55">
        <f>'04_MOTOR_CÁLCULO'!K1314</f>
        <v>1</v>
      </c>
      <c r="G985" s="56">
        <f>'04_MOTOR_CÁLCULO'!K1314-1</f>
        <v>0</v>
      </c>
      <c r="H985" s="57" t="str">
        <f>'04_MOTOR_CÁLCULO'!M1314</f>
        <v>Médio</v>
      </c>
    </row>
    <row r="986" spans="1:8" ht="13.5" customHeight="1" x14ac:dyDescent="0.25">
      <c r="A986" s="24" t="str">
        <f>'04_MOTOR_CÁLCULO'!A1315</f>
        <v>9529-1/06</v>
      </c>
      <c r="B986" s="38" t="str">
        <f>'04_MOTOR_CÁLCULO'!B1315</f>
        <v>S</v>
      </c>
      <c r="C986" s="100" t="str">
        <f>'04_MOTOR_CÁLCULO'!C1315</f>
        <v>Reparação de jóias</v>
      </c>
      <c r="D986" s="25" t="str">
        <f>'04_MOTOR_CÁLCULO'!D1315</f>
        <v>REPARAÇÃO E MANU</v>
      </c>
      <c r="E986" s="78" t="str">
        <f>'04_MOTOR_CÁLCULO'!N1315</f>
        <v>CNAE-STG</v>
      </c>
      <c r="F986" s="55">
        <f>'04_MOTOR_CÁLCULO'!K1315</f>
        <v>1</v>
      </c>
      <c r="G986" s="56">
        <f>'04_MOTOR_CÁLCULO'!K1315-1</f>
        <v>0</v>
      </c>
      <c r="H986" s="57" t="str">
        <f>'04_MOTOR_CÁLCULO'!M1315</f>
        <v>Médio</v>
      </c>
    </row>
    <row r="987" spans="1:8" ht="13.5" customHeight="1" x14ac:dyDescent="0.25">
      <c r="A987" s="13" t="str">
        <f>'04_MOTOR_CÁLCULO'!A1316</f>
        <v>9529-1/99</v>
      </c>
      <c r="B987" s="49" t="str">
        <f>'04_MOTOR_CÁLCULO'!B1316</f>
        <v>S</v>
      </c>
      <c r="C987" s="101" t="str">
        <f>'04_MOTOR_CÁLCULO'!C1316</f>
        <v>Reparação e manutenção de outros objetos e equipamentos pessoais e domésticos não especificados anteriormente</v>
      </c>
      <c r="D987" s="14" t="str">
        <f>'04_MOTOR_CÁLCULO'!D1316</f>
        <v>REPARAÇÃO E MANU</v>
      </c>
      <c r="E987" s="78" t="str">
        <f>'04_MOTOR_CÁLCULO'!N1316</f>
        <v>CNAE-STG</v>
      </c>
      <c r="F987" s="55">
        <f>'04_MOTOR_CÁLCULO'!K1316</f>
        <v>1</v>
      </c>
      <c r="G987" s="56">
        <f>'04_MOTOR_CÁLCULO'!K1316-1</f>
        <v>0</v>
      </c>
      <c r="H987" s="57" t="str">
        <f>'04_MOTOR_CÁLCULO'!M1316</f>
        <v>Médio</v>
      </c>
    </row>
    <row r="988" spans="1:8" ht="13.5" customHeight="1" x14ac:dyDescent="0.25">
      <c r="A988" s="24" t="str">
        <f>'04_MOTOR_CÁLCULO'!A25</f>
        <v>0119-9/07</v>
      </c>
      <c r="B988" s="38" t="str">
        <f>'04_MOTOR_CÁLCULO'!B25</f>
        <v>A</v>
      </c>
      <c r="C988" s="100" t="str">
        <f>'04_MOTOR_CÁLCULO'!C25</f>
        <v>Cultivo de melão</v>
      </c>
      <c r="D988" s="25" t="str">
        <f>'04_MOTOR_CÁLCULO'!D25</f>
        <v>AGRICULTURA, PEC</v>
      </c>
      <c r="E988" s="82" t="str">
        <f>'04_MOTOR_CÁLCULO'!N25</f>
        <v>FAP/MPS</v>
      </c>
      <c r="F988" s="55">
        <f>'04_MOTOR_CÁLCULO'!K25</f>
        <v>1.0175399999999999</v>
      </c>
      <c r="G988" s="56">
        <f>'04_MOTOR_CÁLCULO'!K25-1</f>
        <v>1.7539999999999889E-2</v>
      </c>
      <c r="H988" s="57" t="str">
        <f>'04_MOTOR_CÁLCULO'!M25</f>
        <v>Médio</v>
      </c>
    </row>
    <row r="989" spans="1:8" ht="13.5" customHeight="1" x14ac:dyDescent="0.25">
      <c r="A989" s="13" t="str">
        <f>'04_MOTOR_CÁLCULO'!A15</f>
        <v>0116-4/01</v>
      </c>
      <c r="B989" s="49" t="str">
        <f>'04_MOTOR_CÁLCULO'!B15</f>
        <v>A</v>
      </c>
      <c r="C989" s="101" t="str">
        <f>'04_MOTOR_CÁLCULO'!C15</f>
        <v>Cultivo de amendoim</v>
      </c>
      <c r="D989" s="14" t="str">
        <f>'04_MOTOR_CÁLCULO'!D15</f>
        <v>AGRICULTURA, PEC</v>
      </c>
      <c r="E989" s="82" t="str">
        <f>'04_MOTOR_CÁLCULO'!N15</f>
        <v>FAP/MPS</v>
      </c>
      <c r="F989" s="55">
        <f>'04_MOTOR_CÁLCULO'!K15</f>
        <v>1.0729799999999998</v>
      </c>
      <c r="G989" s="56">
        <f>'04_MOTOR_CÁLCULO'!K15-1</f>
        <v>7.2979999999999823E-2</v>
      </c>
      <c r="H989" s="57" t="str">
        <f>'04_MOTOR_CÁLCULO'!M15</f>
        <v>Médio</v>
      </c>
    </row>
    <row r="990" spans="1:8" ht="13.5" customHeight="1" x14ac:dyDescent="0.25">
      <c r="A990" s="24" t="str">
        <f>'04_MOTOR_CÁLCULO'!A67</f>
        <v>0155-5/01</v>
      </c>
      <c r="B990" s="38" t="str">
        <f>'04_MOTOR_CÁLCULO'!B67</f>
        <v>A</v>
      </c>
      <c r="C990" s="100" t="str">
        <f>'04_MOTOR_CÁLCULO'!C67</f>
        <v>Criação de frangos para corte</v>
      </c>
      <c r="D990" s="25" t="str">
        <f>'04_MOTOR_CÁLCULO'!D67</f>
        <v>AGRICULTURA, PEC</v>
      </c>
      <c r="E990" s="82" t="str">
        <f>'04_MOTOR_CÁLCULO'!N67</f>
        <v>FAP/MPS</v>
      </c>
      <c r="F990" s="45">
        <f>'04_MOTOR_CÁLCULO'!K67</f>
        <v>1.078965</v>
      </c>
      <c r="G990" s="46">
        <f>'04_MOTOR_CÁLCULO'!K67-1</f>
        <v>7.8964999999999952E-2</v>
      </c>
      <c r="H990" s="47" t="str">
        <f>'04_MOTOR_CÁLCULO'!M67</f>
        <v>Alto</v>
      </c>
    </row>
    <row r="991" spans="1:8" ht="13.5" customHeight="1" x14ac:dyDescent="0.25">
      <c r="A991" s="13" t="str">
        <f>'04_MOTOR_CÁLCULO'!A9</f>
        <v>0112-1/01</v>
      </c>
      <c r="B991" s="49" t="str">
        <f>'04_MOTOR_CÁLCULO'!B9</f>
        <v>A</v>
      </c>
      <c r="C991" s="101" t="str">
        <f>'04_MOTOR_CÁLCULO'!C9</f>
        <v>Cultivo de algodão herbáceo</v>
      </c>
      <c r="D991" s="14" t="str">
        <f>'04_MOTOR_CÁLCULO'!D9</f>
        <v>AGRICULTURA, PEC</v>
      </c>
      <c r="E991" s="82" t="str">
        <f>'04_MOTOR_CÁLCULO'!N9</f>
        <v>FAP/MPS</v>
      </c>
      <c r="F991" s="45">
        <f>'04_MOTOR_CÁLCULO'!K9</f>
        <v>1.0977600000000001</v>
      </c>
      <c r="G991" s="46">
        <f>'04_MOTOR_CÁLCULO'!K9-1</f>
        <v>9.7760000000000069E-2</v>
      </c>
      <c r="H991" s="47" t="str">
        <f>'04_MOTOR_CÁLCULO'!M9</f>
        <v>Alto</v>
      </c>
    </row>
    <row r="992" spans="1:8" ht="13.5" customHeight="1" x14ac:dyDescent="0.25">
      <c r="A992" s="24" t="str">
        <f>'04_MOTOR_CÁLCULO'!A147</f>
        <v>0729-4/05</v>
      </c>
      <c r="B992" s="38" t="str">
        <f>'04_MOTOR_CÁLCULO'!B147</f>
        <v>B</v>
      </c>
      <c r="C992" s="100" t="str">
        <f>'04_MOTOR_CÁLCULO'!C147</f>
        <v>Beneficiamento de minérios de cobre, chumbo, zinco e outros minerais metálicos não ferrosos não especificados anteriormente</v>
      </c>
      <c r="D992" s="25" t="str">
        <f>'04_MOTOR_CÁLCULO'!D147</f>
        <v>EXTRAÇÃO DE MINE</v>
      </c>
      <c r="E992" s="82" t="str">
        <f>'04_MOTOR_CÁLCULO'!N147</f>
        <v>FAP/MPS</v>
      </c>
      <c r="F992" s="45">
        <f>'04_MOTOR_CÁLCULO'!K147</f>
        <v>1.1078649999999999</v>
      </c>
      <c r="G992" s="46">
        <f>'04_MOTOR_CÁLCULO'!K147-1</f>
        <v>0.10786499999999988</v>
      </c>
      <c r="H992" s="47" t="str">
        <f>'04_MOTOR_CÁLCULO'!M147</f>
        <v>Alto</v>
      </c>
    </row>
    <row r="993" spans="1:8" ht="13.5" customHeight="1" x14ac:dyDescent="0.25">
      <c r="A993" s="13" t="str">
        <f>'04_MOTOR_CÁLCULO'!A54</f>
        <v>0139-3/99</v>
      </c>
      <c r="B993" s="49" t="str">
        <f>'04_MOTOR_CÁLCULO'!B54</f>
        <v>A</v>
      </c>
      <c r="C993" s="101" t="str">
        <f>'04_MOTOR_CÁLCULO'!C54</f>
        <v>Cultivo de outras plantas de lavoura permanente não especificadas anteriormente</v>
      </c>
      <c r="D993" s="14" t="str">
        <f>'04_MOTOR_CÁLCULO'!D54</f>
        <v>AGRICULTURA, PEC</v>
      </c>
      <c r="E993" s="82" t="str">
        <f>'04_MOTOR_CÁLCULO'!N54</f>
        <v>FAP/MPS</v>
      </c>
      <c r="F993" s="45">
        <f>'04_MOTOR_CÁLCULO'!K54</f>
        <v>1.112195</v>
      </c>
      <c r="G993" s="46">
        <f>'04_MOTOR_CÁLCULO'!K54-1</f>
        <v>0.11219500000000004</v>
      </c>
      <c r="H993" s="47" t="str">
        <f>'04_MOTOR_CÁLCULO'!M54</f>
        <v>Alto</v>
      </c>
    </row>
    <row r="994" spans="1:8" ht="13.5" customHeight="1" x14ac:dyDescent="0.25">
      <c r="A994" s="24" t="str">
        <f>'04_MOTOR_CÁLCULO'!A5</f>
        <v>0111-3/01</v>
      </c>
      <c r="B994" s="38" t="str">
        <f>'04_MOTOR_CÁLCULO'!B5</f>
        <v>A</v>
      </c>
      <c r="C994" s="100" t="str">
        <f>'04_MOTOR_CÁLCULO'!C5</f>
        <v>Cultivo de arroz</v>
      </c>
      <c r="D994" s="25" t="str">
        <f>'04_MOTOR_CÁLCULO'!D5</f>
        <v>AGRICULTURA, PEC</v>
      </c>
      <c r="E994" s="82" t="str">
        <f>'04_MOTOR_CÁLCULO'!N5</f>
        <v>FAP/MPS</v>
      </c>
      <c r="F994" s="45">
        <f>'04_MOTOR_CÁLCULO'!K5</f>
        <v>1.12263</v>
      </c>
      <c r="G994" s="46">
        <f>'04_MOTOR_CÁLCULO'!K5-1</f>
        <v>0.12263000000000002</v>
      </c>
      <c r="H994" s="47" t="str">
        <f>'04_MOTOR_CÁLCULO'!M5</f>
        <v>Alto</v>
      </c>
    </row>
    <row r="995" spans="1:8" ht="13.5" customHeight="1" x14ac:dyDescent="0.25">
      <c r="A995" s="13" t="str">
        <f>'04_MOTOR_CÁLCULO'!A41</f>
        <v>0133-4/08</v>
      </c>
      <c r="B995" s="49" t="str">
        <f>'04_MOTOR_CÁLCULO'!B41</f>
        <v>A</v>
      </c>
      <c r="C995" s="101" t="str">
        <f>'04_MOTOR_CÁLCULO'!C41</f>
        <v>Cultivo de mamão</v>
      </c>
      <c r="D995" s="14" t="str">
        <f>'04_MOTOR_CÁLCULO'!D41</f>
        <v>AGRICULTURA, PEC</v>
      </c>
      <c r="E995" s="82" t="str">
        <f>'04_MOTOR_CÁLCULO'!N41</f>
        <v>FAP/MPS</v>
      </c>
      <c r="F995" s="45">
        <f>'04_MOTOR_CÁLCULO'!K41</f>
        <v>1.1278599999999999</v>
      </c>
      <c r="G995" s="46">
        <f>'04_MOTOR_CÁLCULO'!K41-1</f>
        <v>0.12785999999999986</v>
      </c>
      <c r="H995" s="47" t="str">
        <f>'04_MOTOR_CÁLCULO'!M41</f>
        <v>Alto</v>
      </c>
    </row>
    <row r="996" spans="1:8" ht="13.5" customHeight="1" x14ac:dyDescent="0.25">
      <c r="A996" s="24" t="str">
        <f>'04_MOTOR_CÁLCULO'!A160</f>
        <v>0892-4/01</v>
      </c>
      <c r="B996" s="38" t="str">
        <f>'04_MOTOR_CÁLCULO'!B160</f>
        <v>B</v>
      </c>
      <c r="C996" s="100" t="str">
        <f>'04_MOTOR_CÁLCULO'!C160</f>
        <v>Extração de sal marinho</v>
      </c>
      <c r="D996" s="25" t="str">
        <f>'04_MOTOR_CÁLCULO'!D160</f>
        <v>EXTRAÇÃO DE MINE</v>
      </c>
      <c r="E996" s="82" t="str">
        <f>'04_MOTOR_CÁLCULO'!N160</f>
        <v>FAP/MPS</v>
      </c>
      <c r="F996" s="45">
        <f>'04_MOTOR_CÁLCULO'!K160</f>
        <v>1.134555</v>
      </c>
      <c r="G996" s="46">
        <f>'04_MOTOR_CÁLCULO'!K160-1</f>
        <v>0.13455499999999998</v>
      </c>
      <c r="H996" s="47" t="str">
        <f>'04_MOTOR_CÁLCULO'!M160</f>
        <v>Alto</v>
      </c>
    </row>
    <row r="997" spans="1:8" ht="13.5" customHeight="1" x14ac:dyDescent="0.25">
      <c r="A997" s="13" t="str">
        <f>'04_MOTOR_CÁLCULO'!A13</f>
        <v>0114-8/00</v>
      </c>
      <c r="B997" s="49" t="str">
        <f>'04_MOTOR_CÁLCULO'!B13</f>
        <v>A</v>
      </c>
      <c r="C997" s="101" t="str">
        <f>'04_MOTOR_CÁLCULO'!C13</f>
        <v>Cultivo de fumo</v>
      </c>
      <c r="D997" s="14" t="str">
        <f>'04_MOTOR_CÁLCULO'!D13</f>
        <v>AGRICULTURA, PEC</v>
      </c>
      <c r="E997" s="82" t="str">
        <f>'04_MOTOR_CÁLCULO'!N13</f>
        <v>FAP/MPS</v>
      </c>
      <c r="F997" s="45">
        <f>'04_MOTOR_CÁLCULO'!K13</f>
        <v>1.1451849999999999</v>
      </c>
      <c r="G997" s="46">
        <f>'04_MOTOR_CÁLCULO'!K13-1</f>
        <v>0.1451849999999999</v>
      </c>
      <c r="H997" s="47" t="str">
        <f>'04_MOTOR_CÁLCULO'!M13</f>
        <v>Alto</v>
      </c>
    </row>
    <row r="998" spans="1:8" ht="13.5" customHeight="1" x14ac:dyDescent="0.25">
      <c r="A998" s="24" t="str">
        <f>'04_MOTOR_CÁLCULO'!A33</f>
        <v>0132-6/00</v>
      </c>
      <c r="B998" s="38" t="str">
        <f>'04_MOTOR_CÁLCULO'!B33</f>
        <v>A</v>
      </c>
      <c r="C998" s="100" t="str">
        <f>'04_MOTOR_CÁLCULO'!C33</f>
        <v>Cultivo de uva</v>
      </c>
      <c r="D998" s="25" t="str">
        <f>'04_MOTOR_CÁLCULO'!D33</f>
        <v>AGRICULTURA, PEC</v>
      </c>
      <c r="E998" s="82" t="str">
        <f>'04_MOTOR_CÁLCULO'!N33</f>
        <v>FAP/MPS</v>
      </c>
      <c r="F998" s="45">
        <f>'04_MOTOR_CÁLCULO'!K33</f>
        <v>1.1463950000000001</v>
      </c>
      <c r="G998" s="46">
        <f>'04_MOTOR_CÁLCULO'!K33-1</f>
        <v>0.14639500000000005</v>
      </c>
      <c r="H998" s="47" t="str">
        <f>'04_MOTOR_CÁLCULO'!M33</f>
        <v>Alto</v>
      </c>
    </row>
    <row r="999" spans="1:8" ht="13.5" customHeight="1" x14ac:dyDescent="0.25">
      <c r="A999" s="13" t="str">
        <f>'04_MOTOR_CÁLCULO'!A110</f>
        <v>0312-4/02</v>
      </c>
      <c r="B999" s="49" t="str">
        <f>'04_MOTOR_CÁLCULO'!B110</f>
        <v>A</v>
      </c>
      <c r="C999" s="101" t="str">
        <f>'04_MOTOR_CÁLCULO'!C110</f>
        <v>Pesca de crustáceos e moluscos em água doce</v>
      </c>
      <c r="D999" s="14" t="str">
        <f>'04_MOTOR_CÁLCULO'!D110</f>
        <v>PESCA E AQÜICULT</v>
      </c>
      <c r="E999" s="78" t="str">
        <f>'04_MOTOR_CÁLCULO'!N110</f>
        <v>CNAE-STG</v>
      </c>
      <c r="F999" s="45">
        <f>'04_MOTOR_CÁLCULO'!K110</f>
        <v>1.1499999999999999</v>
      </c>
      <c r="G999" s="46">
        <f>'04_MOTOR_CÁLCULO'!K110-1</f>
        <v>0.14999999999999991</v>
      </c>
      <c r="H999" s="47" t="str">
        <f>'04_MOTOR_CÁLCULO'!M110</f>
        <v>Alto</v>
      </c>
    </row>
    <row r="1000" spans="1:8" ht="13.5" customHeight="1" x14ac:dyDescent="0.25">
      <c r="A1000" s="24" t="str">
        <f>'04_MOTOR_CÁLCULO'!A112</f>
        <v>0312-4/04</v>
      </c>
      <c r="B1000" s="38" t="str">
        <f>'04_MOTOR_CÁLCULO'!B112</f>
        <v>A</v>
      </c>
      <c r="C1000" s="100" t="str">
        <f>'04_MOTOR_CÁLCULO'!C112</f>
        <v>Atividades de apoio à pesca em água doce</v>
      </c>
      <c r="D1000" s="25" t="str">
        <f>'04_MOTOR_CÁLCULO'!D112</f>
        <v>PESCA E AQÜICULT</v>
      </c>
      <c r="E1000" s="78" t="str">
        <f>'04_MOTOR_CÁLCULO'!N112</f>
        <v>CNAE-STG</v>
      </c>
      <c r="F1000" s="45">
        <f>'04_MOTOR_CÁLCULO'!K112</f>
        <v>1.1499999999999999</v>
      </c>
      <c r="G1000" s="46">
        <f>'04_MOTOR_CÁLCULO'!K112-1</f>
        <v>0.14999999999999991</v>
      </c>
      <c r="H1000" s="47" t="str">
        <f>'04_MOTOR_CÁLCULO'!M112</f>
        <v>Alto</v>
      </c>
    </row>
    <row r="1001" spans="1:8" ht="13.5" customHeight="1" x14ac:dyDescent="0.25">
      <c r="A1001" s="13" t="str">
        <f>'04_MOTOR_CÁLCULO'!A113</f>
        <v>0321-3/01</v>
      </c>
      <c r="B1001" s="49" t="str">
        <f>'04_MOTOR_CÁLCULO'!B113</f>
        <v>A</v>
      </c>
      <c r="C1001" s="101" t="str">
        <f>'04_MOTOR_CÁLCULO'!C113</f>
        <v>Criação de peixes em água salgada e salobra</v>
      </c>
      <c r="D1001" s="14" t="str">
        <f>'04_MOTOR_CÁLCULO'!D113</f>
        <v>PESCA E AQÜICULT</v>
      </c>
      <c r="E1001" s="78" t="str">
        <f>'04_MOTOR_CÁLCULO'!N113</f>
        <v>CNAE-STG</v>
      </c>
      <c r="F1001" s="45">
        <f>'04_MOTOR_CÁLCULO'!K113</f>
        <v>1.1499999999999999</v>
      </c>
      <c r="G1001" s="46">
        <f>'04_MOTOR_CÁLCULO'!K113-1</f>
        <v>0.14999999999999991</v>
      </c>
      <c r="H1001" s="47" t="str">
        <f>'04_MOTOR_CÁLCULO'!M113</f>
        <v>Alto</v>
      </c>
    </row>
    <row r="1002" spans="1:8" ht="13.5" customHeight="1" x14ac:dyDescent="0.25">
      <c r="A1002" s="24" t="str">
        <f>'04_MOTOR_CÁLCULO'!A115</f>
        <v>0321-3/03</v>
      </c>
      <c r="B1002" s="38" t="str">
        <f>'04_MOTOR_CÁLCULO'!B115</f>
        <v>A</v>
      </c>
      <c r="C1002" s="100" t="str">
        <f>'04_MOTOR_CÁLCULO'!C115</f>
        <v>Criação de ostras e mexilhões em água salgada e salobra</v>
      </c>
      <c r="D1002" s="25" t="str">
        <f>'04_MOTOR_CÁLCULO'!D115</f>
        <v>PESCA E AQÜICULT</v>
      </c>
      <c r="E1002" s="78" t="str">
        <f>'04_MOTOR_CÁLCULO'!N115</f>
        <v>CNAE-STG</v>
      </c>
      <c r="F1002" s="45">
        <f>'04_MOTOR_CÁLCULO'!K115</f>
        <v>1.1499999999999999</v>
      </c>
      <c r="G1002" s="46">
        <f>'04_MOTOR_CÁLCULO'!K115-1</f>
        <v>0.14999999999999991</v>
      </c>
      <c r="H1002" s="47" t="str">
        <f>'04_MOTOR_CÁLCULO'!M115</f>
        <v>Alto</v>
      </c>
    </row>
    <row r="1003" spans="1:8" ht="13.5" customHeight="1" x14ac:dyDescent="0.25">
      <c r="A1003" s="13" t="str">
        <f>'04_MOTOR_CÁLCULO'!A121</f>
        <v>0322-1/03</v>
      </c>
      <c r="B1003" s="49" t="str">
        <f>'04_MOTOR_CÁLCULO'!B121</f>
        <v>A</v>
      </c>
      <c r="C1003" s="101" t="str">
        <f>'04_MOTOR_CÁLCULO'!C121</f>
        <v>Criação de ostras e mexilhões em água doce</v>
      </c>
      <c r="D1003" s="14" t="str">
        <f>'04_MOTOR_CÁLCULO'!D121</f>
        <v>PESCA E AQÜICULT</v>
      </c>
      <c r="E1003" s="78" t="str">
        <f>'04_MOTOR_CÁLCULO'!N121</f>
        <v>CNAE-STG</v>
      </c>
      <c r="F1003" s="45">
        <f>'04_MOTOR_CÁLCULO'!K121</f>
        <v>1.1499999999999999</v>
      </c>
      <c r="G1003" s="46">
        <f>'04_MOTOR_CÁLCULO'!K121-1</f>
        <v>0.14999999999999991</v>
      </c>
      <c r="H1003" s="47" t="str">
        <f>'04_MOTOR_CÁLCULO'!M121</f>
        <v>Alto</v>
      </c>
    </row>
    <row r="1004" spans="1:8" ht="13.5" customHeight="1" x14ac:dyDescent="0.25">
      <c r="A1004" s="24" t="str">
        <f>'04_MOTOR_CÁLCULO'!A124</f>
        <v>0322-1/06</v>
      </c>
      <c r="B1004" s="38" t="str">
        <f>'04_MOTOR_CÁLCULO'!B124</f>
        <v>A</v>
      </c>
      <c r="C1004" s="100" t="str">
        <f>'04_MOTOR_CÁLCULO'!C124</f>
        <v>Criação de jacaré</v>
      </c>
      <c r="D1004" s="25" t="str">
        <f>'04_MOTOR_CÁLCULO'!D124</f>
        <v>PESCA E AQÜICULT</v>
      </c>
      <c r="E1004" s="78" t="str">
        <f>'04_MOTOR_CÁLCULO'!N124</f>
        <v>CNAE-STG</v>
      </c>
      <c r="F1004" s="45">
        <f>'04_MOTOR_CÁLCULO'!K124</f>
        <v>1.1499999999999999</v>
      </c>
      <c r="G1004" s="46">
        <f>'04_MOTOR_CÁLCULO'!K124-1</f>
        <v>0.14999999999999991</v>
      </c>
      <c r="H1004" s="47" t="str">
        <f>'04_MOTOR_CÁLCULO'!M124</f>
        <v>Alto</v>
      </c>
    </row>
    <row r="1005" spans="1:8" ht="13.5" customHeight="1" x14ac:dyDescent="0.25">
      <c r="A1005" s="13" t="str">
        <f>'04_MOTOR_CÁLCULO'!A125</f>
        <v>0322-1/07</v>
      </c>
      <c r="B1005" s="49" t="str">
        <f>'04_MOTOR_CÁLCULO'!B125</f>
        <v>A</v>
      </c>
      <c r="C1005" s="101" t="str">
        <f>'04_MOTOR_CÁLCULO'!C125</f>
        <v>Atividades de apoio à aquicultura em água doce</v>
      </c>
      <c r="D1005" s="14" t="str">
        <f>'04_MOTOR_CÁLCULO'!D125</f>
        <v>PESCA E AQÜICULT</v>
      </c>
      <c r="E1005" s="78" t="str">
        <f>'04_MOTOR_CÁLCULO'!N125</f>
        <v>CNAE-STG</v>
      </c>
      <c r="F1005" s="45">
        <f>'04_MOTOR_CÁLCULO'!K125</f>
        <v>1.1499999999999999</v>
      </c>
      <c r="G1005" s="46">
        <f>'04_MOTOR_CÁLCULO'!K125-1</f>
        <v>0.14999999999999991</v>
      </c>
      <c r="H1005" s="47" t="str">
        <f>'04_MOTOR_CÁLCULO'!M125</f>
        <v>Alto</v>
      </c>
    </row>
    <row r="1006" spans="1:8" ht="13.5" customHeight="1" x14ac:dyDescent="0.25">
      <c r="A1006" s="24" t="str">
        <f>'04_MOTOR_CÁLCULO'!A131</f>
        <v>0600-0/03</v>
      </c>
      <c r="B1006" s="38" t="str">
        <f>'04_MOTOR_CÁLCULO'!B131</f>
        <v>B</v>
      </c>
      <c r="C1006" s="100" t="str">
        <f>'04_MOTOR_CÁLCULO'!C131</f>
        <v>Extração e beneficiamento de areias betuminosas</v>
      </c>
      <c r="D1006" s="25" t="str">
        <f>'04_MOTOR_CÁLCULO'!D131</f>
        <v>EXTRAÇÃO DE PETR</v>
      </c>
      <c r="E1006" s="78" t="str">
        <f>'04_MOTOR_CÁLCULO'!N131</f>
        <v>CNAE-STG</v>
      </c>
      <c r="F1006" s="45">
        <f>'04_MOTOR_CÁLCULO'!K131</f>
        <v>1.1499999999999999</v>
      </c>
      <c r="G1006" s="46">
        <f>'04_MOTOR_CÁLCULO'!K131-1</f>
        <v>0.14999999999999991</v>
      </c>
      <c r="H1006" s="47" t="str">
        <f>'04_MOTOR_CÁLCULO'!M131</f>
        <v>Alto</v>
      </c>
    </row>
    <row r="1007" spans="1:8" ht="13.5" customHeight="1" x14ac:dyDescent="0.25">
      <c r="A1007" s="13" t="str">
        <f>'04_MOTOR_CÁLCULO'!A142</f>
        <v>0725-1/00</v>
      </c>
      <c r="B1007" s="49" t="str">
        <f>'04_MOTOR_CÁLCULO'!B142</f>
        <v>B</v>
      </c>
      <c r="C1007" s="101" t="str">
        <f>'04_MOTOR_CÁLCULO'!C142</f>
        <v>Extração de minerais radioativos</v>
      </c>
      <c r="D1007" s="14" t="str">
        <f>'04_MOTOR_CÁLCULO'!D142</f>
        <v>EXTRAÇÃO DE MINE</v>
      </c>
      <c r="E1007" s="78" t="str">
        <f>'04_MOTOR_CÁLCULO'!N142</f>
        <v>CNAE-STG</v>
      </c>
      <c r="F1007" s="45">
        <f>'04_MOTOR_CÁLCULO'!K142</f>
        <v>1.1499999999999999</v>
      </c>
      <c r="G1007" s="46">
        <f>'04_MOTOR_CÁLCULO'!K142-1</f>
        <v>0.14999999999999991</v>
      </c>
      <c r="H1007" s="47" t="str">
        <f>'04_MOTOR_CÁLCULO'!M142</f>
        <v>Alto</v>
      </c>
    </row>
    <row r="1008" spans="1:8" ht="13.5" customHeight="1" x14ac:dyDescent="0.25">
      <c r="A1008" s="24" t="str">
        <f>'04_MOTOR_CÁLCULO'!A172</f>
        <v>1011-2/01</v>
      </c>
      <c r="B1008" s="38" t="str">
        <f>'04_MOTOR_CÁLCULO'!B172</f>
        <v>C</v>
      </c>
      <c r="C1008" s="100" t="str">
        <f>'04_MOTOR_CÁLCULO'!C172</f>
        <v>Frigorífico - abate de bovinos</v>
      </c>
      <c r="D1008" s="25" t="str">
        <f>'04_MOTOR_CÁLCULO'!D172</f>
        <v>FABRICAÇÃO DE PR</v>
      </c>
      <c r="E1008" s="78" t="str">
        <f>'04_MOTOR_CÁLCULO'!N172</f>
        <v>CNAE-STG</v>
      </c>
      <c r="F1008" s="45">
        <f>'04_MOTOR_CÁLCULO'!K172</f>
        <v>1.1499999999999999</v>
      </c>
      <c r="G1008" s="46">
        <f>'04_MOTOR_CÁLCULO'!K172-1</f>
        <v>0.14999999999999991</v>
      </c>
      <c r="H1008" s="47" t="str">
        <f>'04_MOTOR_CÁLCULO'!M172</f>
        <v>Alto</v>
      </c>
    </row>
    <row r="1009" spans="1:8" ht="13.5" customHeight="1" x14ac:dyDescent="0.25">
      <c r="A1009" s="13" t="str">
        <f>'04_MOTOR_CÁLCULO'!A173</f>
        <v>1011-2/02</v>
      </c>
      <c r="B1009" s="49" t="str">
        <f>'04_MOTOR_CÁLCULO'!B173</f>
        <v>C</v>
      </c>
      <c r="C1009" s="101" t="str">
        <f>'04_MOTOR_CÁLCULO'!C173</f>
        <v>Frigorífico - abate de equinos</v>
      </c>
      <c r="D1009" s="14" t="str">
        <f>'04_MOTOR_CÁLCULO'!D173</f>
        <v>FABRICAÇÃO DE PR</v>
      </c>
      <c r="E1009" s="78" t="str">
        <f>'04_MOTOR_CÁLCULO'!N173</f>
        <v>CNAE-STG</v>
      </c>
      <c r="F1009" s="45">
        <f>'04_MOTOR_CÁLCULO'!K173</f>
        <v>1.1499999999999999</v>
      </c>
      <c r="G1009" s="46">
        <f>'04_MOTOR_CÁLCULO'!K173-1</f>
        <v>0.14999999999999991</v>
      </c>
      <c r="H1009" s="47" t="str">
        <f>'04_MOTOR_CÁLCULO'!M173</f>
        <v>Alto</v>
      </c>
    </row>
    <row r="1010" spans="1:8" ht="13.5" customHeight="1" x14ac:dyDescent="0.25">
      <c r="A1010" s="24" t="str">
        <f>'04_MOTOR_CÁLCULO'!A174</f>
        <v>1011-2/03</v>
      </c>
      <c r="B1010" s="38" t="str">
        <f>'04_MOTOR_CÁLCULO'!B174</f>
        <v>C</v>
      </c>
      <c r="C1010" s="100" t="str">
        <f>'04_MOTOR_CÁLCULO'!C174</f>
        <v>Frigorífico - abate de ovinos e caprinos</v>
      </c>
      <c r="D1010" s="25" t="str">
        <f>'04_MOTOR_CÁLCULO'!D174</f>
        <v>FABRICAÇÃO DE PR</v>
      </c>
      <c r="E1010" s="78" t="str">
        <f>'04_MOTOR_CÁLCULO'!N174</f>
        <v>CNAE-STG</v>
      </c>
      <c r="F1010" s="45">
        <f>'04_MOTOR_CÁLCULO'!K174</f>
        <v>1.1499999999999999</v>
      </c>
      <c r="G1010" s="46">
        <f>'04_MOTOR_CÁLCULO'!K174-1</f>
        <v>0.14999999999999991</v>
      </c>
      <c r="H1010" s="47" t="str">
        <f>'04_MOTOR_CÁLCULO'!M174</f>
        <v>Alto</v>
      </c>
    </row>
    <row r="1011" spans="1:8" ht="13.5" customHeight="1" x14ac:dyDescent="0.25">
      <c r="A1011" s="13" t="str">
        <f>'04_MOTOR_CÁLCULO'!A175</f>
        <v>1011-2/04</v>
      </c>
      <c r="B1011" s="49" t="str">
        <f>'04_MOTOR_CÁLCULO'!B175</f>
        <v>C</v>
      </c>
      <c r="C1011" s="101" t="str">
        <f>'04_MOTOR_CÁLCULO'!C175</f>
        <v>Frigorífico - abate de bufalinos</v>
      </c>
      <c r="D1011" s="14" t="str">
        <f>'04_MOTOR_CÁLCULO'!D175</f>
        <v>FABRICAÇÃO DE PR</v>
      </c>
      <c r="E1011" s="78" t="str">
        <f>'04_MOTOR_CÁLCULO'!N175</f>
        <v>CNAE-STG</v>
      </c>
      <c r="F1011" s="45">
        <f>'04_MOTOR_CÁLCULO'!K175</f>
        <v>1.1499999999999999</v>
      </c>
      <c r="G1011" s="46">
        <f>'04_MOTOR_CÁLCULO'!K175-1</f>
        <v>0.14999999999999991</v>
      </c>
      <c r="H1011" s="47" t="str">
        <f>'04_MOTOR_CÁLCULO'!M175</f>
        <v>Alto</v>
      </c>
    </row>
    <row r="1012" spans="1:8" ht="13.5" customHeight="1" x14ac:dyDescent="0.25">
      <c r="A1012" s="24" t="str">
        <f>'04_MOTOR_CÁLCULO'!A176</f>
        <v>1011-2/05</v>
      </c>
      <c r="B1012" s="38" t="str">
        <f>'04_MOTOR_CÁLCULO'!B176</f>
        <v>C</v>
      </c>
      <c r="C1012" s="100" t="str">
        <f>'04_MOTOR_CÁLCULO'!C176</f>
        <v>Matadouro - abate de reses sob contrato, exceto abate de suínos</v>
      </c>
      <c r="D1012" s="25" t="str">
        <f>'04_MOTOR_CÁLCULO'!D176</f>
        <v>FABRICAÇÃO DE PR</v>
      </c>
      <c r="E1012" s="78" t="str">
        <f>'04_MOTOR_CÁLCULO'!N176</f>
        <v>CNAE-STG</v>
      </c>
      <c r="F1012" s="45">
        <f>'04_MOTOR_CÁLCULO'!K176</f>
        <v>1.1499999999999999</v>
      </c>
      <c r="G1012" s="46">
        <f>'04_MOTOR_CÁLCULO'!K176-1</f>
        <v>0.14999999999999991</v>
      </c>
      <c r="H1012" s="47" t="str">
        <f>'04_MOTOR_CÁLCULO'!M176</f>
        <v>Alto</v>
      </c>
    </row>
    <row r="1013" spans="1:8" ht="13.5" customHeight="1" x14ac:dyDescent="0.25">
      <c r="A1013" s="13" t="str">
        <f>'04_MOTOR_CÁLCULO'!A177</f>
        <v>1012-1/01</v>
      </c>
      <c r="B1013" s="49" t="str">
        <f>'04_MOTOR_CÁLCULO'!B177</f>
        <v>C</v>
      </c>
      <c r="C1013" s="101" t="str">
        <f>'04_MOTOR_CÁLCULO'!C177</f>
        <v>Abate de aves</v>
      </c>
      <c r="D1013" s="14" t="str">
        <f>'04_MOTOR_CÁLCULO'!D177</f>
        <v>FABRICAÇÃO DE PR</v>
      </c>
      <c r="E1013" s="78" t="str">
        <f>'04_MOTOR_CÁLCULO'!N177</f>
        <v>CNAE-STG</v>
      </c>
      <c r="F1013" s="45">
        <f>'04_MOTOR_CÁLCULO'!K177</f>
        <v>1.1499999999999999</v>
      </c>
      <c r="G1013" s="46">
        <f>'04_MOTOR_CÁLCULO'!K177-1</f>
        <v>0.14999999999999991</v>
      </c>
      <c r="H1013" s="47" t="str">
        <f>'04_MOTOR_CÁLCULO'!M177</f>
        <v>Alto</v>
      </c>
    </row>
    <row r="1014" spans="1:8" ht="13.5" customHeight="1" x14ac:dyDescent="0.25">
      <c r="A1014" s="24" t="str">
        <f>'04_MOTOR_CÁLCULO'!A178</f>
        <v>1012-1/02</v>
      </c>
      <c r="B1014" s="38" t="str">
        <f>'04_MOTOR_CÁLCULO'!B178</f>
        <v>C</v>
      </c>
      <c r="C1014" s="100" t="str">
        <f>'04_MOTOR_CÁLCULO'!C178</f>
        <v>Abate de pequenos animais</v>
      </c>
      <c r="D1014" s="25" t="str">
        <f>'04_MOTOR_CÁLCULO'!D178</f>
        <v>FABRICAÇÃO DE PR</v>
      </c>
      <c r="E1014" s="78" t="str">
        <f>'04_MOTOR_CÁLCULO'!N178</f>
        <v>CNAE-STG</v>
      </c>
      <c r="F1014" s="45">
        <f>'04_MOTOR_CÁLCULO'!K178</f>
        <v>1.1499999999999999</v>
      </c>
      <c r="G1014" s="46">
        <f>'04_MOTOR_CÁLCULO'!K178-1</f>
        <v>0.14999999999999991</v>
      </c>
      <c r="H1014" s="47" t="str">
        <f>'04_MOTOR_CÁLCULO'!M178</f>
        <v>Alto</v>
      </c>
    </row>
    <row r="1015" spans="1:8" ht="13.5" customHeight="1" x14ac:dyDescent="0.25">
      <c r="A1015" s="13" t="str">
        <f>'04_MOTOR_CÁLCULO'!A179</f>
        <v>1012-1/03</v>
      </c>
      <c r="B1015" s="49" t="str">
        <f>'04_MOTOR_CÁLCULO'!B179</f>
        <v>C</v>
      </c>
      <c r="C1015" s="101" t="str">
        <f>'04_MOTOR_CÁLCULO'!C179</f>
        <v>Frigorífico - abate de suínos</v>
      </c>
      <c r="D1015" s="14" t="str">
        <f>'04_MOTOR_CÁLCULO'!D179</f>
        <v>FABRICAÇÃO DE PR</v>
      </c>
      <c r="E1015" s="78" t="str">
        <f>'04_MOTOR_CÁLCULO'!N179</f>
        <v>CNAE-STG</v>
      </c>
      <c r="F1015" s="45">
        <f>'04_MOTOR_CÁLCULO'!K179</f>
        <v>1.1499999999999999</v>
      </c>
      <c r="G1015" s="46">
        <f>'04_MOTOR_CÁLCULO'!K179-1</f>
        <v>0.14999999999999991</v>
      </c>
      <c r="H1015" s="47" t="str">
        <f>'04_MOTOR_CÁLCULO'!M179</f>
        <v>Alto</v>
      </c>
    </row>
    <row r="1016" spans="1:8" ht="13.5" customHeight="1" x14ac:dyDescent="0.25">
      <c r="A1016" s="24" t="str">
        <f>'04_MOTOR_CÁLCULO'!A180</f>
        <v>1012-1/04</v>
      </c>
      <c r="B1016" s="38" t="str">
        <f>'04_MOTOR_CÁLCULO'!B180</f>
        <v>C</v>
      </c>
      <c r="C1016" s="100" t="str">
        <f>'04_MOTOR_CÁLCULO'!C180</f>
        <v>Matadouro - abate de suínos sob contrato</v>
      </c>
      <c r="D1016" s="25" t="str">
        <f>'04_MOTOR_CÁLCULO'!D180</f>
        <v>FABRICAÇÃO DE PR</v>
      </c>
      <c r="E1016" s="78" t="str">
        <f>'04_MOTOR_CÁLCULO'!N180</f>
        <v>CNAE-STG</v>
      </c>
      <c r="F1016" s="45">
        <f>'04_MOTOR_CÁLCULO'!K180</f>
        <v>1.1499999999999999</v>
      </c>
      <c r="G1016" s="46">
        <f>'04_MOTOR_CÁLCULO'!K180-1</f>
        <v>0.14999999999999991</v>
      </c>
      <c r="H1016" s="47" t="str">
        <f>'04_MOTOR_CÁLCULO'!M180</f>
        <v>Alto</v>
      </c>
    </row>
    <row r="1017" spans="1:8" ht="13.5" customHeight="1" x14ac:dyDescent="0.25">
      <c r="A1017" s="13" t="str">
        <f>'04_MOTOR_CÁLCULO'!A181</f>
        <v>1013-9/01</v>
      </c>
      <c r="B1017" s="49" t="str">
        <f>'04_MOTOR_CÁLCULO'!B181</f>
        <v>C</v>
      </c>
      <c r="C1017" s="101" t="str">
        <f>'04_MOTOR_CÁLCULO'!C181</f>
        <v>Fabricação de produtos de carne</v>
      </c>
      <c r="D1017" s="14" t="str">
        <f>'04_MOTOR_CÁLCULO'!D181</f>
        <v>FABRICAÇÃO DE PR</v>
      </c>
      <c r="E1017" s="78" t="str">
        <f>'04_MOTOR_CÁLCULO'!N181</f>
        <v>CNAE-STG</v>
      </c>
      <c r="F1017" s="45">
        <f>'04_MOTOR_CÁLCULO'!K181</f>
        <v>1.1499999999999999</v>
      </c>
      <c r="G1017" s="46">
        <f>'04_MOTOR_CÁLCULO'!K181-1</f>
        <v>0.14999999999999991</v>
      </c>
      <c r="H1017" s="47" t="str">
        <f>'04_MOTOR_CÁLCULO'!M181</f>
        <v>Alto</v>
      </c>
    </row>
    <row r="1018" spans="1:8" ht="13.5" customHeight="1" x14ac:dyDescent="0.25">
      <c r="A1018" s="24" t="str">
        <f>'04_MOTOR_CÁLCULO'!A182</f>
        <v>1013-9/02</v>
      </c>
      <c r="B1018" s="38" t="str">
        <f>'04_MOTOR_CÁLCULO'!B182</f>
        <v>C</v>
      </c>
      <c r="C1018" s="100" t="str">
        <f>'04_MOTOR_CÁLCULO'!C182</f>
        <v>Preparação de subprodutos do abate</v>
      </c>
      <c r="D1018" s="25" t="str">
        <f>'04_MOTOR_CÁLCULO'!D182</f>
        <v>FABRICAÇÃO DE PR</v>
      </c>
      <c r="E1018" s="78" t="str">
        <f>'04_MOTOR_CÁLCULO'!N182</f>
        <v>CNAE-STG</v>
      </c>
      <c r="F1018" s="45">
        <f>'04_MOTOR_CÁLCULO'!K182</f>
        <v>1.1499999999999999</v>
      </c>
      <c r="G1018" s="46">
        <f>'04_MOTOR_CÁLCULO'!K182-1</f>
        <v>0.14999999999999991</v>
      </c>
      <c r="H1018" s="47" t="str">
        <f>'04_MOTOR_CÁLCULO'!M182</f>
        <v>Alto</v>
      </c>
    </row>
    <row r="1019" spans="1:8" ht="13.5" customHeight="1" x14ac:dyDescent="0.25">
      <c r="A1019" s="13" t="str">
        <f>'04_MOTOR_CÁLCULO'!A271</f>
        <v>1510-6/00</v>
      </c>
      <c r="B1019" s="49" t="str">
        <f>'04_MOTOR_CÁLCULO'!B271</f>
        <v>C</v>
      </c>
      <c r="C1019" s="101" t="str">
        <f>'04_MOTOR_CÁLCULO'!C271</f>
        <v>Curtimento e outras preparações de couro</v>
      </c>
      <c r="D1019" s="14" t="str">
        <f>'04_MOTOR_CÁLCULO'!D271</f>
        <v>PREPARAÇÃO DE CO</v>
      </c>
      <c r="E1019" s="78" t="str">
        <f>'04_MOTOR_CÁLCULO'!N271</f>
        <v>CNAE-STG</v>
      </c>
      <c r="F1019" s="45">
        <f>'04_MOTOR_CÁLCULO'!K271</f>
        <v>1.1499999999999999</v>
      </c>
      <c r="G1019" s="46">
        <f>'04_MOTOR_CÁLCULO'!K271-1</f>
        <v>0.14999999999999991</v>
      </c>
      <c r="H1019" s="47" t="str">
        <f>'04_MOTOR_CÁLCULO'!M271</f>
        <v>Alto</v>
      </c>
    </row>
    <row r="1020" spans="1:8" ht="13.5" customHeight="1" x14ac:dyDescent="0.25">
      <c r="A1020" s="24" t="str">
        <f>'04_MOTOR_CÁLCULO'!A280</f>
        <v>1610-2/03</v>
      </c>
      <c r="B1020" s="38" t="str">
        <f>'04_MOTOR_CÁLCULO'!B280</f>
        <v>C</v>
      </c>
      <c r="C1020" s="100" t="str">
        <f>'04_MOTOR_CÁLCULO'!C280</f>
        <v>Serrarias com desdobramento de madeira em bruto</v>
      </c>
      <c r="D1020" s="25" t="str">
        <f>'04_MOTOR_CÁLCULO'!D280</f>
        <v>FABRICAÇÃO DE PR</v>
      </c>
      <c r="E1020" s="78" t="str">
        <f>'04_MOTOR_CÁLCULO'!N280</f>
        <v>CNAE-STG</v>
      </c>
      <c r="F1020" s="45">
        <f>'04_MOTOR_CÁLCULO'!K280</f>
        <v>1.1499999999999999</v>
      </c>
      <c r="G1020" s="46">
        <f>'04_MOTOR_CÁLCULO'!K280-1</f>
        <v>0.14999999999999991</v>
      </c>
      <c r="H1020" s="47" t="str">
        <f>'04_MOTOR_CÁLCULO'!M280</f>
        <v>Alto</v>
      </c>
    </row>
    <row r="1021" spans="1:8" ht="13.5" customHeight="1" x14ac:dyDescent="0.25">
      <c r="A1021" s="13" t="str">
        <f>'04_MOTOR_CÁLCULO'!A281</f>
        <v>1610-2/04</v>
      </c>
      <c r="B1021" s="49" t="str">
        <f>'04_MOTOR_CÁLCULO'!B281</f>
        <v>C</v>
      </c>
      <c r="C1021" s="101" t="str">
        <f>'04_MOTOR_CÁLCULO'!C281</f>
        <v>Serrarias sem desdobramento de madeira em bruto - Resseragem</v>
      </c>
      <c r="D1021" s="14" t="str">
        <f>'04_MOTOR_CÁLCULO'!D281</f>
        <v>FABRICAÇÃO DE PR</v>
      </c>
      <c r="E1021" s="78" t="str">
        <f>'04_MOTOR_CÁLCULO'!N281</f>
        <v>CNAE-STG</v>
      </c>
      <c r="F1021" s="45">
        <f>'04_MOTOR_CÁLCULO'!K281</f>
        <v>1.1499999999999999</v>
      </c>
      <c r="G1021" s="46">
        <f>'04_MOTOR_CÁLCULO'!K281-1</f>
        <v>0.14999999999999991</v>
      </c>
      <c r="H1021" s="47" t="str">
        <f>'04_MOTOR_CÁLCULO'!M281</f>
        <v>Alto</v>
      </c>
    </row>
    <row r="1022" spans="1:8" ht="13.5" customHeight="1" x14ac:dyDescent="0.25">
      <c r="A1022" s="24" t="str">
        <f>'04_MOTOR_CÁLCULO'!A282</f>
        <v>1610-2/05</v>
      </c>
      <c r="B1022" s="38" t="str">
        <f>'04_MOTOR_CÁLCULO'!B282</f>
        <v>C</v>
      </c>
      <c r="C1022" s="100" t="str">
        <f>'04_MOTOR_CÁLCULO'!C282</f>
        <v>Serviço de tratamento de madeira realizado sob contrato</v>
      </c>
      <c r="D1022" s="25" t="str">
        <f>'04_MOTOR_CÁLCULO'!D282</f>
        <v>FABRICAÇÃO DE PR</v>
      </c>
      <c r="E1022" s="78" t="str">
        <f>'04_MOTOR_CÁLCULO'!N282</f>
        <v>CNAE-STG</v>
      </c>
      <c r="F1022" s="45">
        <f>'04_MOTOR_CÁLCULO'!K282</f>
        <v>1.1499999999999999</v>
      </c>
      <c r="G1022" s="46">
        <f>'04_MOTOR_CÁLCULO'!K282-1</f>
        <v>0.14999999999999991</v>
      </c>
      <c r="H1022" s="47" t="str">
        <f>'04_MOTOR_CÁLCULO'!M282</f>
        <v>Alto</v>
      </c>
    </row>
    <row r="1023" spans="1:8" ht="13.5" customHeight="1" x14ac:dyDescent="0.25">
      <c r="A1023" s="13" t="str">
        <f>'04_MOTOR_CÁLCULO'!A283</f>
        <v>1621-8/00</v>
      </c>
      <c r="B1023" s="49" t="str">
        <f>'04_MOTOR_CÁLCULO'!B283</f>
        <v>C</v>
      </c>
      <c r="C1023" s="101" t="str">
        <f>'04_MOTOR_CÁLCULO'!C283</f>
        <v>Fabricação de madeira laminada e de chapas de madeira compensada, prensada e aglomerada</v>
      </c>
      <c r="D1023" s="14" t="str">
        <f>'04_MOTOR_CÁLCULO'!D283</f>
        <v>FABRICAÇÃO DE PR</v>
      </c>
      <c r="E1023" s="78" t="str">
        <f>'04_MOTOR_CÁLCULO'!N283</f>
        <v>CNAE-STG</v>
      </c>
      <c r="F1023" s="45">
        <f>'04_MOTOR_CÁLCULO'!K283</f>
        <v>1.1499999999999999</v>
      </c>
      <c r="G1023" s="46">
        <f>'04_MOTOR_CÁLCULO'!K283-1</f>
        <v>0.14999999999999991</v>
      </c>
      <c r="H1023" s="47" t="str">
        <f>'04_MOTOR_CÁLCULO'!M283</f>
        <v>Alto</v>
      </c>
    </row>
    <row r="1024" spans="1:8" ht="13.5" customHeight="1" x14ac:dyDescent="0.25">
      <c r="A1024" s="24" t="str">
        <f>'04_MOTOR_CÁLCULO'!A284</f>
        <v>1622-6/01</v>
      </c>
      <c r="B1024" s="38" t="str">
        <f>'04_MOTOR_CÁLCULO'!B284</f>
        <v>C</v>
      </c>
      <c r="C1024" s="100" t="str">
        <f>'04_MOTOR_CÁLCULO'!C284</f>
        <v>Fabricação de casas de madeira pré-fabricadas</v>
      </c>
      <c r="D1024" s="25" t="str">
        <f>'04_MOTOR_CÁLCULO'!D284</f>
        <v>FABRICAÇÃO DE PR</v>
      </c>
      <c r="E1024" s="78" t="str">
        <f>'04_MOTOR_CÁLCULO'!N284</f>
        <v>CNAE-STG</v>
      </c>
      <c r="F1024" s="45">
        <f>'04_MOTOR_CÁLCULO'!K284</f>
        <v>1.1499999999999999</v>
      </c>
      <c r="G1024" s="46">
        <f>'04_MOTOR_CÁLCULO'!K284-1</f>
        <v>0.14999999999999991</v>
      </c>
      <c r="H1024" s="47" t="str">
        <f>'04_MOTOR_CÁLCULO'!M284</f>
        <v>Alto</v>
      </c>
    </row>
    <row r="1025" spans="1:8" ht="13.5" customHeight="1" x14ac:dyDescent="0.25">
      <c r="A1025" s="13" t="str">
        <f>'04_MOTOR_CÁLCULO'!A285</f>
        <v>1622-6/02</v>
      </c>
      <c r="B1025" s="49" t="str">
        <f>'04_MOTOR_CÁLCULO'!B285</f>
        <v>C</v>
      </c>
      <c r="C1025" s="101" t="str">
        <f>'04_MOTOR_CÁLCULO'!C285</f>
        <v>Fabricação de esquadrias de madeira e de peças de madeira para instalações industriais e comerciais</v>
      </c>
      <c r="D1025" s="14" t="str">
        <f>'04_MOTOR_CÁLCULO'!D285</f>
        <v>FABRICAÇÃO DE PR</v>
      </c>
      <c r="E1025" s="78" t="str">
        <f>'04_MOTOR_CÁLCULO'!N285</f>
        <v>CNAE-STG</v>
      </c>
      <c r="F1025" s="45">
        <f>'04_MOTOR_CÁLCULO'!K285</f>
        <v>1.1499999999999999</v>
      </c>
      <c r="G1025" s="46">
        <f>'04_MOTOR_CÁLCULO'!K285-1</f>
        <v>0.14999999999999991</v>
      </c>
      <c r="H1025" s="47" t="str">
        <f>'04_MOTOR_CÁLCULO'!M285</f>
        <v>Alto</v>
      </c>
    </row>
    <row r="1026" spans="1:8" ht="13.5" customHeight="1" x14ac:dyDescent="0.25">
      <c r="A1026" s="24" t="str">
        <f>'04_MOTOR_CÁLCULO'!A286</f>
        <v>1622-6/99</v>
      </c>
      <c r="B1026" s="38" t="str">
        <f>'04_MOTOR_CÁLCULO'!B286</f>
        <v>C</v>
      </c>
      <c r="C1026" s="100" t="str">
        <f>'04_MOTOR_CÁLCULO'!C286</f>
        <v>Fabricação de outros artigos de carpintaria para construção</v>
      </c>
      <c r="D1026" s="25" t="str">
        <f>'04_MOTOR_CÁLCULO'!D286</f>
        <v>FABRICAÇÃO DE PR</v>
      </c>
      <c r="E1026" s="78" t="str">
        <f>'04_MOTOR_CÁLCULO'!N286</f>
        <v>CNAE-STG</v>
      </c>
      <c r="F1026" s="45">
        <f>'04_MOTOR_CÁLCULO'!K286</f>
        <v>1.1499999999999999</v>
      </c>
      <c r="G1026" s="46">
        <f>'04_MOTOR_CÁLCULO'!K286-1</f>
        <v>0.14999999999999991</v>
      </c>
      <c r="H1026" s="47" t="str">
        <f>'04_MOTOR_CÁLCULO'!M286</f>
        <v>Alto</v>
      </c>
    </row>
    <row r="1027" spans="1:8" ht="13.5" customHeight="1" x14ac:dyDescent="0.25">
      <c r="A1027" s="13" t="str">
        <f>'04_MOTOR_CÁLCULO'!A287</f>
        <v>1623-4/00</v>
      </c>
      <c r="B1027" s="49" t="str">
        <f>'04_MOTOR_CÁLCULO'!B287</f>
        <v>C</v>
      </c>
      <c r="C1027" s="101" t="str">
        <f>'04_MOTOR_CÁLCULO'!C287</f>
        <v>Fabricação de artefatos de tanoaria e de embalagens de madeira</v>
      </c>
      <c r="D1027" s="14" t="str">
        <f>'04_MOTOR_CÁLCULO'!D287</f>
        <v>FABRICAÇÃO DE PR</v>
      </c>
      <c r="E1027" s="78" t="str">
        <f>'04_MOTOR_CÁLCULO'!N287</f>
        <v>CNAE-STG</v>
      </c>
      <c r="F1027" s="45">
        <f>'04_MOTOR_CÁLCULO'!K287</f>
        <v>1.1499999999999999</v>
      </c>
      <c r="G1027" s="46">
        <f>'04_MOTOR_CÁLCULO'!K287-1</f>
        <v>0.14999999999999991</v>
      </c>
      <c r="H1027" s="47" t="str">
        <f>'04_MOTOR_CÁLCULO'!M287</f>
        <v>Alto</v>
      </c>
    </row>
    <row r="1028" spans="1:8" ht="13.5" customHeight="1" x14ac:dyDescent="0.25">
      <c r="A1028" s="24" t="str">
        <f>'04_MOTOR_CÁLCULO'!A288</f>
        <v>1629-3/01</v>
      </c>
      <c r="B1028" s="38" t="str">
        <f>'04_MOTOR_CÁLCULO'!B288</f>
        <v>C</v>
      </c>
      <c r="C1028" s="100" t="str">
        <f>'04_MOTOR_CÁLCULO'!C288</f>
        <v>Fabricação de artefatos diversos de madeira, exceto móveis</v>
      </c>
      <c r="D1028" s="25" t="str">
        <f>'04_MOTOR_CÁLCULO'!D288</f>
        <v>FABRICAÇÃO DE PR</v>
      </c>
      <c r="E1028" s="78" t="str">
        <f>'04_MOTOR_CÁLCULO'!N288</f>
        <v>CNAE-STG</v>
      </c>
      <c r="F1028" s="45">
        <f>'04_MOTOR_CÁLCULO'!K288</f>
        <v>1.1499999999999999</v>
      </c>
      <c r="G1028" s="46">
        <f>'04_MOTOR_CÁLCULO'!K288-1</f>
        <v>0.14999999999999991</v>
      </c>
      <c r="H1028" s="47" t="str">
        <f>'04_MOTOR_CÁLCULO'!M288</f>
        <v>Alto</v>
      </c>
    </row>
    <row r="1029" spans="1:8" ht="13.5" customHeight="1" x14ac:dyDescent="0.25">
      <c r="A1029" s="13" t="str">
        <f>'04_MOTOR_CÁLCULO'!A289</f>
        <v>1629-3/02</v>
      </c>
      <c r="B1029" s="49" t="str">
        <f>'04_MOTOR_CÁLCULO'!B289</f>
        <v>C</v>
      </c>
      <c r="C1029" s="101" t="str">
        <f>'04_MOTOR_CÁLCULO'!C289</f>
        <v>Fabricação de artefatos diversos de cortiça, bambu, palha, vime e outros materiais trançados, exceto móveis</v>
      </c>
      <c r="D1029" s="14" t="str">
        <f>'04_MOTOR_CÁLCULO'!D289</f>
        <v>FABRICAÇÃO DE PR</v>
      </c>
      <c r="E1029" s="78" t="str">
        <f>'04_MOTOR_CÁLCULO'!N289</f>
        <v>CNAE-STG</v>
      </c>
      <c r="F1029" s="45">
        <f>'04_MOTOR_CÁLCULO'!K289</f>
        <v>1.1499999999999999</v>
      </c>
      <c r="G1029" s="46">
        <f>'04_MOTOR_CÁLCULO'!K289-1</f>
        <v>0.14999999999999991</v>
      </c>
      <c r="H1029" s="47" t="str">
        <f>'04_MOTOR_CÁLCULO'!M289</f>
        <v>Alto</v>
      </c>
    </row>
    <row r="1030" spans="1:8" ht="13.5" customHeight="1" x14ac:dyDescent="0.25">
      <c r="A1030" s="24" t="str">
        <f>'04_MOTOR_CÁLCULO'!A290</f>
        <v>1710-9/00</v>
      </c>
      <c r="B1030" s="38" t="str">
        <f>'04_MOTOR_CÁLCULO'!B290</f>
        <v>C</v>
      </c>
      <c r="C1030" s="100" t="str">
        <f>'04_MOTOR_CÁLCULO'!C290</f>
        <v>Fabricação de celulose e outras pastas para a fabricação de papel</v>
      </c>
      <c r="D1030" s="25" t="str">
        <f>'04_MOTOR_CÁLCULO'!D290</f>
        <v>FABRICAÇÃO DE CE</v>
      </c>
      <c r="E1030" s="78" t="str">
        <f>'04_MOTOR_CÁLCULO'!N290</f>
        <v>CNAE-STG</v>
      </c>
      <c r="F1030" s="45">
        <f>'04_MOTOR_CÁLCULO'!K290</f>
        <v>1.1499999999999999</v>
      </c>
      <c r="G1030" s="46">
        <f>'04_MOTOR_CÁLCULO'!K290-1</f>
        <v>0.14999999999999991</v>
      </c>
      <c r="H1030" s="47" t="str">
        <f>'04_MOTOR_CÁLCULO'!M290</f>
        <v>Alto</v>
      </c>
    </row>
    <row r="1031" spans="1:8" ht="13.5" customHeight="1" x14ac:dyDescent="0.25">
      <c r="A1031" s="13" t="str">
        <f>'04_MOTOR_CÁLCULO'!A313</f>
        <v>1910-1/00</v>
      </c>
      <c r="B1031" s="49" t="str">
        <f>'04_MOTOR_CÁLCULO'!B313</f>
        <v>C</v>
      </c>
      <c r="C1031" s="101" t="str">
        <f>'04_MOTOR_CÁLCULO'!C313</f>
        <v>Coquerias</v>
      </c>
      <c r="D1031" s="14" t="str">
        <f>'04_MOTOR_CÁLCULO'!D313</f>
        <v>FABRICAÇÃO DE CO</v>
      </c>
      <c r="E1031" s="78" t="str">
        <f>'04_MOTOR_CÁLCULO'!N313</f>
        <v>CNAE-STG</v>
      </c>
      <c r="F1031" s="45">
        <f>'04_MOTOR_CÁLCULO'!K313</f>
        <v>1.1499999999999999</v>
      </c>
      <c r="G1031" s="46">
        <f>'04_MOTOR_CÁLCULO'!K313-1</f>
        <v>0.14999999999999991</v>
      </c>
      <c r="H1031" s="47" t="str">
        <f>'04_MOTOR_CÁLCULO'!M313</f>
        <v>Alto</v>
      </c>
    </row>
    <row r="1032" spans="1:8" ht="13.5" customHeight="1" x14ac:dyDescent="0.25">
      <c r="A1032" s="24" t="str">
        <f>'04_MOTOR_CÁLCULO'!A314</f>
        <v>1921-7/00</v>
      </c>
      <c r="B1032" s="38" t="str">
        <f>'04_MOTOR_CÁLCULO'!B314</f>
        <v>C</v>
      </c>
      <c r="C1032" s="100" t="str">
        <f>'04_MOTOR_CÁLCULO'!C314</f>
        <v>Fabricação de produtos do refino de petróleo</v>
      </c>
      <c r="D1032" s="25" t="str">
        <f>'04_MOTOR_CÁLCULO'!D314</f>
        <v>FABRICAÇÃO DE CO</v>
      </c>
      <c r="E1032" s="78" t="str">
        <f>'04_MOTOR_CÁLCULO'!N314</f>
        <v>CNAE-STG</v>
      </c>
      <c r="F1032" s="45">
        <f>'04_MOTOR_CÁLCULO'!K314</f>
        <v>1.1499999999999999</v>
      </c>
      <c r="G1032" s="46">
        <f>'04_MOTOR_CÁLCULO'!K314-1</f>
        <v>0.14999999999999991</v>
      </c>
      <c r="H1032" s="47" t="str">
        <f>'04_MOTOR_CÁLCULO'!M314</f>
        <v>Alto</v>
      </c>
    </row>
    <row r="1033" spans="1:8" ht="13.5" customHeight="1" x14ac:dyDescent="0.25">
      <c r="A1033" s="13" t="str">
        <f>'04_MOTOR_CÁLCULO'!A315</f>
        <v>1922-5/01</v>
      </c>
      <c r="B1033" s="49" t="str">
        <f>'04_MOTOR_CÁLCULO'!B315</f>
        <v>C</v>
      </c>
      <c r="C1033" s="101" t="str">
        <f>'04_MOTOR_CÁLCULO'!C315</f>
        <v>Formulação de combustíveis</v>
      </c>
      <c r="D1033" s="14" t="str">
        <f>'04_MOTOR_CÁLCULO'!D315</f>
        <v>FABRICAÇÃO DE CO</v>
      </c>
      <c r="E1033" s="78" t="str">
        <f>'04_MOTOR_CÁLCULO'!N315</f>
        <v>CNAE-STG</v>
      </c>
      <c r="F1033" s="45">
        <f>'04_MOTOR_CÁLCULO'!K315</f>
        <v>1.1499999999999999</v>
      </c>
      <c r="G1033" s="46">
        <f>'04_MOTOR_CÁLCULO'!K315-1</f>
        <v>0.14999999999999991</v>
      </c>
      <c r="H1033" s="47" t="str">
        <f>'04_MOTOR_CÁLCULO'!M315</f>
        <v>Alto</v>
      </c>
    </row>
    <row r="1034" spans="1:8" ht="13.5" customHeight="1" x14ac:dyDescent="0.25">
      <c r="A1034" s="24" t="str">
        <f>'04_MOTOR_CÁLCULO'!A316</f>
        <v>1922-5/02</v>
      </c>
      <c r="B1034" s="38" t="str">
        <f>'04_MOTOR_CÁLCULO'!B316</f>
        <v>C</v>
      </c>
      <c r="C1034" s="100" t="str">
        <f>'04_MOTOR_CÁLCULO'!C316</f>
        <v>Rerrefino de óleos lubrificantes</v>
      </c>
      <c r="D1034" s="25" t="str">
        <f>'04_MOTOR_CÁLCULO'!D316</f>
        <v>FABRICAÇÃO DE CO</v>
      </c>
      <c r="E1034" s="78" t="str">
        <f>'04_MOTOR_CÁLCULO'!N316</f>
        <v>CNAE-STG</v>
      </c>
      <c r="F1034" s="45">
        <f>'04_MOTOR_CÁLCULO'!K316</f>
        <v>1.1499999999999999</v>
      </c>
      <c r="G1034" s="46">
        <f>'04_MOTOR_CÁLCULO'!K316-1</f>
        <v>0.14999999999999991</v>
      </c>
      <c r="H1034" s="47" t="str">
        <f>'04_MOTOR_CÁLCULO'!M316</f>
        <v>Alto</v>
      </c>
    </row>
    <row r="1035" spans="1:8" ht="13.5" customHeight="1" x14ac:dyDescent="0.25">
      <c r="A1035" s="13" t="str">
        <f>'04_MOTOR_CÁLCULO'!A317</f>
        <v>1922-5/99</v>
      </c>
      <c r="B1035" s="49" t="str">
        <f>'04_MOTOR_CÁLCULO'!B317</f>
        <v>C</v>
      </c>
      <c r="C1035" s="101" t="str">
        <f>'04_MOTOR_CÁLCULO'!C317</f>
        <v>Fabricação de outros produtos derivados do petróleo, exceto produtos do refino</v>
      </c>
      <c r="D1035" s="14" t="str">
        <f>'04_MOTOR_CÁLCULO'!D317</f>
        <v>FABRICAÇÃO DE CO</v>
      </c>
      <c r="E1035" s="78" t="str">
        <f>'04_MOTOR_CÁLCULO'!N317</f>
        <v>CNAE-STG</v>
      </c>
      <c r="F1035" s="45">
        <f>'04_MOTOR_CÁLCULO'!K317</f>
        <v>1.1499999999999999</v>
      </c>
      <c r="G1035" s="46">
        <f>'04_MOTOR_CÁLCULO'!K317-1</f>
        <v>0.14999999999999991</v>
      </c>
      <c r="H1035" s="47" t="str">
        <f>'04_MOTOR_CÁLCULO'!M317</f>
        <v>Alto</v>
      </c>
    </row>
    <row r="1036" spans="1:8" ht="13.5" customHeight="1" x14ac:dyDescent="0.25">
      <c r="A1036" s="24" t="str">
        <f>'04_MOTOR_CÁLCULO'!A318</f>
        <v>1931-4/00</v>
      </c>
      <c r="B1036" s="38" t="str">
        <f>'04_MOTOR_CÁLCULO'!B318</f>
        <v>C</v>
      </c>
      <c r="C1036" s="100" t="str">
        <f>'04_MOTOR_CÁLCULO'!C318</f>
        <v>Fabricação de álcool</v>
      </c>
      <c r="D1036" s="25" t="str">
        <f>'04_MOTOR_CÁLCULO'!D318</f>
        <v>FABRICAÇÃO DE CO</v>
      </c>
      <c r="E1036" s="78" t="str">
        <f>'04_MOTOR_CÁLCULO'!N318</f>
        <v>CNAE-STG</v>
      </c>
      <c r="F1036" s="45">
        <f>'04_MOTOR_CÁLCULO'!K318</f>
        <v>1.1499999999999999</v>
      </c>
      <c r="G1036" s="46">
        <f>'04_MOTOR_CÁLCULO'!K318-1</f>
        <v>0.14999999999999991</v>
      </c>
      <c r="H1036" s="47" t="str">
        <f>'04_MOTOR_CÁLCULO'!M318</f>
        <v>Alto</v>
      </c>
    </row>
    <row r="1037" spans="1:8" ht="13.5" customHeight="1" x14ac:dyDescent="0.25">
      <c r="A1037" s="13" t="str">
        <f>'04_MOTOR_CÁLCULO'!A319</f>
        <v>1932-2/00</v>
      </c>
      <c r="B1037" s="49" t="str">
        <f>'04_MOTOR_CÁLCULO'!B319</f>
        <v>C</v>
      </c>
      <c r="C1037" s="101" t="str">
        <f>'04_MOTOR_CÁLCULO'!C319</f>
        <v>Fabricação de biocombustíveis, exceto álcool</v>
      </c>
      <c r="D1037" s="14" t="str">
        <f>'04_MOTOR_CÁLCULO'!D319</f>
        <v>FABRICAÇÃO DE CO</v>
      </c>
      <c r="E1037" s="78" t="str">
        <f>'04_MOTOR_CÁLCULO'!N319</f>
        <v>CNAE-STG</v>
      </c>
      <c r="F1037" s="45">
        <f>'04_MOTOR_CÁLCULO'!K319</f>
        <v>1.1499999999999999</v>
      </c>
      <c r="G1037" s="46">
        <f>'04_MOTOR_CÁLCULO'!K319-1</f>
        <v>0.14999999999999991</v>
      </c>
      <c r="H1037" s="47" t="str">
        <f>'04_MOTOR_CÁLCULO'!M319</f>
        <v>Alto</v>
      </c>
    </row>
    <row r="1038" spans="1:8" ht="13.5" customHeight="1" x14ac:dyDescent="0.25">
      <c r="A1038" s="24" t="str">
        <f>'04_MOTOR_CÁLCULO'!A320</f>
        <v>2011-8/00</v>
      </c>
      <c r="B1038" s="38" t="str">
        <f>'04_MOTOR_CÁLCULO'!B320</f>
        <v>C</v>
      </c>
      <c r="C1038" s="100" t="str">
        <f>'04_MOTOR_CÁLCULO'!C320</f>
        <v>Fabricação de cloro e álcalis</v>
      </c>
      <c r="D1038" s="25" t="str">
        <f>'04_MOTOR_CÁLCULO'!D320</f>
        <v>FABRICAÇÃO DE PR</v>
      </c>
      <c r="E1038" s="78" t="str">
        <f>'04_MOTOR_CÁLCULO'!N320</f>
        <v>CNAE-STG</v>
      </c>
      <c r="F1038" s="45">
        <f>'04_MOTOR_CÁLCULO'!K320</f>
        <v>1.1499999999999999</v>
      </c>
      <c r="G1038" s="46">
        <f>'04_MOTOR_CÁLCULO'!K320-1</f>
        <v>0.14999999999999991</v>
      </c>
      <c r="H1038" s="47" t="str">
        <f>'04_MOTOR_CÁLCULO'!M320</f>
        <v>Alto</v>
      </c>
    </row>
    <row r="1039" spans="1:8" ht="13.5" customHeight="1" x14ac:dyDescent="0.25">
      <c r="A1039" s="13" t="str">
        <f>'04_MOTOR_CÁLCULO'!A321</f>
        <v>2012-6/00</v>
      </c>
      <c r="B1039" s="49" t="str">
        <f>'04_MOTOR_CÁLCULO'!B321</f>
        <v>C</v>
      </c>
      <c r="C1039" s="101" t="str">
        <f>'04_MOTOR_CÁLCULO'!C321</f>
        <v>Fabricação de intermediários para fertilizantes</v>
      </c>
      <c r="D1039" s="14" t="str">
        <f>'04_MOTOR_CÁLCULO'!D321</f>
        <v>FABRICAÇÃO DE PR</v>
      </c>
      <c r="E1039" s="78" t="str">
        <f>'04_MOTOR_CÁLCULO'!N321</f>
        <v>CNAE-STG</v>
      </c>
      <c r="F1039" s="45">
        <f>'04_MOTOR_CÁLCULO'!K321</f>
        <v>1.1499999999999999</v>
      </c>
      <c r="G1039" s="46">
        <f>'04_MOTOR_CÁLCULO'!K321-1</f>
        <v>0.14999999999999991</v>
      </c>
      <c r="H1039" s="47" t="str">
        <f>'04_MOTOR_CÁLCULO'!M321</f>
        <v>Alto</v>
      </c>
    </row>
    <row r="1040" spans="1:8" ht="13.5" customHeight="1" x14ac:dyDescent="0.25">
      <c r="A1040" s="24" t="str">
        <f>'04_MOTOR_CÁLCULO'!A322</f>
        <v>2013-4/01</v>
      </c>
      <c r="B1040" s="38" t="str">
        <f>'04_MOTOR_CÁLCULO'!B322</f>
        <v>C</v>
      </c>
      <c r="C1040" s="100" t="str">
        <f>'04_MOTOR_CÁLCULO'!C322</f>
        <v>Fabricação de adubos e fertilizantes organo-minerais</v>
      </c>
      <c r="D1040" s="25" t="str">
        <f>'04_MOTOR_CÁLCULO'!D322</f>
        <v>FABRICAÇÃO DE PR</v>
      </c>
      <c r="E1040" s="78" t="str">
        <f>'04_MOTOR_CÁLCULO'!N322</f>
        <v>CNAE-STG</v>
      </c>
      <c r="F1040" s="45">
        <f>'04_MOTOR_CÁLCULO'!K322</f>
        <v>1.1499999999999999</v>
      </c>
      <c r="G1040" s="46">
        <f>'04_MOTOR_CÁLCULO'!K322-1</f>
        <v>0.14999999999999991</v>
      </c>
      <c r="H1040" s="47" t="str">
        <f>'04_MOTOR_CÁLCULO'!M322</f>
        <v>Alto</v>
      </c>
    </row>
    <row r="1041" spans="1:8" ht="13.5" customHeight="1" x14ac:dyDescent="0.25">
      <c r="A1041" s="13" t="str">
        <f>'04_MOTOR_CÁLCULO'!A323</f>
        <v>2013-4/02</v>
      </c>
      <c r="B1041" s="49" t="str">
        <f>'04_MOTOR_CÁLCULO'!B323</f>
        <v>C</v>
      </c>
      <c r="C1041" s="101" t="str">
        <f>'04_MOTOR_CÁLCULO'!C323</f>
        <v>Fabricação de adubos e fertilizantes, exceto organo-minerais</v>
      </c>
      <c r="D1041" s="14" t="str">
        <f>'04_MOTOR_CÁLCULO'!D323</f>
        <v>FABRICAÇÃO DE PR</v>
      </c>
      <c r="E1041" s="78" t="str">
        <f>'04_MOTOR_CÁLCULO'!N323</f>
        <v>CNAE-STG</v>
      </c>
      <c r="F1041" s="45">
        <f>'04_MOTOR_CÁLCULO'!K323</f>
        <v>1.1499999999999999</v>
      </c>
      <c r="G1041" s="46">
        <f>'04_MOTOR_CÁLCULO'!K323-1</f>
        <v>0.14999999999999991</v>
      </c>
      <c r="H1041" s="47" t="str">
        <f>'04_MOTOR_CÁLCULO'!M323</f>
        <v>Alto</v>
      </c>
    </row>
    <row r="1042" spans="1:8" ht="13.5" customHeight="1" x14ac:dyDescent="0.25">
      <c r="A1042" s="24" t="str">
        <f>'04_MOTOR_CÁLCULO'!A324</f>
        <v>2014-2/00</v>
      </c>
      <c r="B1042" s="38" t="str">
        <f>'04_MOTOR_CÁLCULO'!B324</f>
        <v>C</v>
      </c>
      <c r="C1042" s="100" t="str">
        <f>'04_MOTOR_CÁLCULO'!C324</f>
        <v>Fabricação de gases industriais</v>
      </c>
      <c r="D1042" s="25" t="str">
        <f>'04_MOTOR_CÁLCULO'!D324</f>
        <v>FABRICAÇÃO DE PR</v>
      </c>
      <c r="E1042" s="78" t="str">
        <f>'04_MOTOR_CÁLCULO'!N324</f>
        <v>CNAE-STG</v>
      </c>
      <c r="F1042" s="45">
        <f>'04_MOTOR_CÁLCULO'!K324</f>
        <v>1.1499999999999999</v>
      </c>
      <c r="G1042" s="46">
        <f>'04_MOTOR_CÁLCULO'!K324-1</f>
        <v>0.14999999999999991</v>
      </c>
      <c r="H1042" s="47" t="str">
        <f>'04_MOTOR_CÁLCULO'!M324</f>
        <v>Alto</v>
      </c>
    </row>
    <row r="1043" spans="1:8" ht="13.5" customHeight="1" x14ac:dyDescent="0.25">
      <c r="A1043" s="13" t="str">
        <f>'04_MOTOR_CÁLCULO'!A325</f>
        <v>2019-3/01</v>
      </c>
      <c r="B1043" s="49" t="str">
        <f>'04_MOTOR_CÁLCULO'!B325</f>
        <v>C</v>
      </c>
      <c r="C1043" s="101" t="str">
        <f>'04_MOTOR_CÁLCULO'!C325</f>
        <v>Elaboração de combustíveis nucleares</v>
      </c>
      <c r="D1043" s="14" t="str">
        <f>'04_MOTOR_CÁLCULO'!D325</f>
        <v>FABRICAÇÃO DE PR</v>
      </c>
      <c r="E1043" s="78" t="str">
        <f>'04_MOTOR_CÁLCULO'!N325</f>
        <v>CNAE-STG</v>
      </c>
      <c r="F1043" s="45">
        <f>'04_MOTOR_CÁLCULO'!K325</f>
        <v>1.1499999999999999</v>
      </c>
      <c r="G1043" s="46">
        <f>'04_MOTOR_CÁLCULO'!K325-1</f>
        <v>0.14999999999999991</v>
      </c>
      <c r="H1043" s="47" t="str">
        <f>'04_MOTOR_CÁLCULO'!M325</f>
        <v>Alto</v>
      </c>
    </row>
    <row r="1044" spans="1:8" ht="13.5" customHeight="1" x14ac:dyDescent="0.25">
      <c r="A1044" s="24" t="str">
        <f>'04_MOTOR_CÁLCULO'!A326</f>
        <v>2019-3/99</v>
      </c>
      <c r="B1044" s="38" t="str">
        <f>'04_MOTOR_CÁLCULO'!B326</f>
        <v>C</v>
      </c>
      <c r="C1044" s="100" t="str">
        <f>'04_MOTOR_CÁLCULO'!C326</f>
        <v>Fabricação de outros produtos químicos inorgânicos não especificados anteriormente</v>
      </c>
      <c r="D1044" s="25" t="str">
        <f>'04_MOTOR_CÁLCULO'!D326</f>
        <v>FABRICAÇÃO DE PR</v>
      </c>
      <c r="E1044" s="78" t="str">
        <f>'04_MOTOR_CÁLCULO'!N326</f>
        <v>CNAE-STG</v>
      </c>
      <c r="F1044" s="45">
        <f>'04_MOTOR_CÁLCULO'!K326</f>
        <v>1.1499999999999999</v>
      </c>
      <c r="G1044" s="46">
        <f>'04_MOTOR_CÁLCULO'!K326-1</f>
        <v>0.14999999999999991</v>
      </c>
      <c r="H1044" s="47" t="str">
        <f>'04_MOTOR_CÁLCULO'!M326</f>
        <v>Alto</v>
      </c>
    </row>
    <row r="1045" spans="1:8" ht="13.5" customHeight="1" x14ac:dyDescent="0.25">
      <c r="A1045" s="13" t="str">
        <f>'04_MOTOR_CÁLCULO'!A327</f>
        <v>2021-5/00</v>
      </c>
      <c r="B1045" s="49" t="str">
        <f>'04_MOTOR_CÁLCULO'!B327</f>
        <v>C</v>
      </c>
      <c r="C1045" s="101" t="str">
        <f>'04_MOTOR_CÁLCULO'!C327</f>
        <v>Fabricação de produtos petroquímicos básicos</v>
      </c>
      <c r="D1045" s="14" t="str">
        <f>'04_MOTOR_CÁLCULO'!D327</f>
        <v>FABRICAÇÃO DE PR</v>
      </c>
      <c r="E1045" s="78" t="str">
        <f>'04_MOTOR_CÁLCULO'!N327</f>
        <v>CNAE-STG</v>
      </c>
      <c r="F1045" s="45">
        <f>'04_MOTOR_CÁLCULO'!K327</f>
        <v>1.1499999999999999</v>
      </c>
      <c r="G1045" s="46">
        <f>'04_MOTOR_CÁLCULO'!K327-1</f>
        <v>0.14999999999999991</v>
      </c>
      <c r="H1045" s="47" t="str">
        <f>'04_MOTOR_CÁLCULO'!M327</f>
        <v>Alto</v>
      </c>
    </row>
    <row r="1046" spans="1:8" ht="13.5" customHeight="1" x14ac:dyDescent="0.25">
      <c r="A1046" s="24" t="str">
        <f>'04_MOTOR_CÁLCULO'!A328</f>
        <v>2022-3/00</v>
      </c>
      <c r="B1046" s="38" t="str">
        <f>'04_MOTOR_CÁLCULO'!B328</f>
        <v>C</v>
      </c>
      <c r="C1046" s="100" t="str">
        <f>'04_MOTOR_CÁLCULO'!C328</f>
        <v>Fabricação de intermediários para plastificantes, resinas e fibras</v>
      </c>
      <c r="D1046" s="25" t="str">
        <f>'04_MOTOR_CÁLCULO'!D328</f>
        <v>FABRICAÇÃO DE PR</v>
      </c>
      <c r="E1046" s="78" t="str">
        <f>'04_MOTOR_CÁLCULO'!N328</f>
        <v>CNAE-STG</v>
      </c>
      <c r="F1046" s="45">
        <f>'04_MOTOR_CÁLCULO'!K328</f>
        <v>1.1499999999999999</v>
      </c>
      <c r="G1046" s="46">
        <f>'04_MOTOR_CÁLCULO'!K328-1</f>
        <v>0.14999999999999991</v>
      </c>
      <c r="H1046" s="47" t="str">
        <f>'04_MOTOR_CÁLCULO'!M328</f>
        <v>Alto</v>
      </c>
    </row>
    <row r="1047" spans="1:8" ht="13.5" customHeight="1" x14ac:dyDescent="0.25">
      <c r="A1047" s="13" t="str">
        <f>'04_MOTOR_CÁLCULO'!A329</f>
        <v>2029-1/00</v>
      </c>
      <c r="B1047" s="49" t="str">
        <f>'04_MOTOR_CÁLCULO'!B329</f>
        <v>C</v>
      </c>
      <c r="C1047" s="101" t="str">
        <f>'04_MOTOR_CÁLCULO'!C329</f>
        <v>Fabricação de produtos químicos orgânicos não especificados anteriormente</v>
      </c>
      <c r="D1047" s="14" t="str">
        <f>'04_MOTOR_CÁLCULO'!D329</f>
        <v>FABRICAÇÃO DE PR</v>
      </c>
      <c r="E1047" s="78" t="str">
        <f>'04_MOTOR_CÁLCULO'!N329</f>
        <v>CNAE-STG</v>
      </c>
      <c r="F1047" s="45">
        <f>'04_MOTOR_CÁLCULO'!K329</f>
        <v>1.1499999999999999</v>
      </c>
      <c r="G1047" s="46">
        <f>'04_MOTOR_CÁLCULO'!K329-1</f>
        <v>0.14999999999999991</v>
      </c>
      <c r="H1047" s="47" t="str">
        <f>'04_MOTOR_CÁLCULO'!M329</f>
        <v>Alto</v>
      </c>
    </row>
    <row r="1048" spans="1:8" ht="13.5" customHeight="1" x14ac:dyDescent="0.25">
      <c r="A1048" s="24" t="str">
        <f>'04_MOTOR_CÁLCULO'!A330</f>
        <v>2031-2/00</v>
      </c>
      <c r="B1048" s="38" t="str">
        <f>'04_MOTOR_CÁLCULO'!B330</f>
        <v>C</v>
      </c>
      <c r="C1048" s="100" t="str">
        <f>'04_MOTOR_CÁLCULO'!C330</f>
        <v>Fabricação de resinas termoplásticas</v>
      </c>
      <c r="D1048" s="25" t="str">
        <f>'04_MOTOR_CÁLCULO'!D330</f>
        <v>FABRICAÇÃO DE PR</v>
      </c>
      <c r="E1048" s="78" t="str">
        <f>'04_MOTOR_CÁLCULO'!N330</f>
        <v>CNAE-STG</v>
      </c>
      <c r="F1048" s="45">
        <f>'04_MOTOR_CÁLCULO'!K330</f>
        <v>1.1499999999999999</v>
      </c>
      <c r="G1048" s="46">
        <f>'04_MOTOR_CÁLCULO'!K330-1</f>
        <v>0.14999999999999991</v>
      </c>
      <c r="H1048" s="47" t="str">
        <f>'04_MOTOR_CÁLCULO'!M330</f>
        <v>Alto</v>
      </c>
    </row>
    <row r="1049" spans="1:8" ht="13.5" customHeight="1" x14ac:dyDescent="0.25">
      <c r="A1049" s="13" t="str">
        <f>'04_MOTOR_CÁLCULO'!A331</f>
        <v>2032-1/00</v>
      </c>
      <c r="B1049" s="49" t="str">
        <f>'04_MOTOR_CÁLCULO'!B331</f>
        <v>C</v>
      </c>
      <c r="C1049" s="101" t="str">
        <f>'04_MOTOR_CÁLCULO'!C331</f>
        <v>Fabricação de resinas termofixas</v>
      </c>
      <c r="D1049" s="14" t="str">
        <f>'04_MOTOR_CÁLCULO'!D331</f>
        <v>FABRICAÇÃO DE PR</v>
      </c>
      <c r="E1049" s="78" t="str">
        <f>'04_MOTOR_CÁLCULO'!N331</f>
        <v>CNAE-STG</v>
      </c>
      <c r="F1049" s="45">
        <f>'04_MOTOR_CÁLCULO'!K331</f>
        <v>1.1499999999999999</v>
      </c>
      <c r="G1049" s="46">
        <f>'04_MOTOR_CÁLCULO'!K331-1</f>
        <v>0.14999999999999991</v>
      </c>
      <c r="H1049" s="47" t="str">
        <f>'04_MOTOR_CÁLCULO'!M331</f>
        <v>Alto</v>
      </c>
    </row>
    <row r="1050" spans="1:8" ht="13.5" customHeight="1" x14ac:dyDescent="0.25">
      <c r="A1050" s="24" t="str">
        <f>'04_MOTOR_CÁLCULO'!A332</f>
        <v>2033-9/00</v>
      </c>
      <c r="B1050" s="38" t="str">
        <f>'04_MOTOR_CÁLCULO'!B332</f>
        <v>C</v>
      </c>
      <c r="C1050" s="100" t="str">
        <f>'04_MOTOR_CÁLCULO'!C332</f>
        <v>Fabricação de elastômeros</v>
      </c>
      <c r="D1050" s="25" t="str">
        <f>'04_MOTOR_CÁLCULO'!D332</f>
        <v>FABRICAÇÃO DE PR</v>
      </c>
      <c r="E1050" s="78" t="str">
        <f>'04_MOTOR_CÁLCULO'!N332</f>
        <v>CNAE-STG</v>
      </c>
      <c r="F1050" s="45">
        <f>'04_MOTOR_CÁLCULO'!K332</f>
        <v>1.1499999999999999</v>
      </c>
      <c r="G1050" s="46">
        <f>'04_MOTOR_CÁLCULO'!K332-1</f>
        <v>0.14999999999999991</v>
      </c>
      <c r="H1050" s="47" t="str">
        <f>'04_MOTOR_CÁLCULO'!M332</f>
        <v>Alto</v>
      </c>
    </row>
    <row r="1051" spans="1:8" ht="13.5" customHeight="1" x14ac:dyDescent="0.25">
      <c r="A1051" s="13" t="str">
        <f>'04_MOTOR_CÁLCULO'!A333</f>
        <v>2040-1/00</v>
      </c>
      <c r="B1051" s="49" t="str">
        <f>'04_MOTOR_CÁLCULO'!B333</f>
        <v>C</v>
      </c>
      <c r="C1051" s="101" t="str">
        <f>'04_MOTOR_CÁLCULO'!C333</f>
        <v>Fabricação de fibras artificiais e sintéticas</v>
      </c>
      <c r="D1051" s="14" t="str">
        <f>'04_MOTOR_CÁLCULO'!D333</f>
        <v>FABRICAÇÃO DE PR</v>
      </c>
      <c r="E1051" s="78" t="str">
        <f>'04_MOTOR_CÁLCULO'!N333</f>
        <v>CNAE-STG</v>
      </c>
      <c r="F1051" s="45">
        <f>'04_MOTOR_CÁLCULO'!K333</f>
        <v>1.1499999999999999</v>
      </c>
      <c r="G1051" s="46">
        <f>'04_MOTOR_CÁLCULO'!K333-1</f>
        <v>0.14999999999999991</v>
      </c>
      <c r="H1051" s="47" t="str">
        <f>'04_MOTOR_CÁLCULO'!M333</f>
        <v>Alto</v>
      </c>
    </row>
    <row r="1052" spans="1:8" ht="13.5" customHeight="1" x14ac:dyDescent="0.25">
      <c r="A1052" s="24" t="str">
        <f>'04_MOTOR_CÁLCULO'!A334</f>
        <v>2051-7/00</v>
      </c>
      <c r="B1052" s="38" t="str">
        <f>'04_MOTOR_CÁLCULO'!B334</f>
        <v>C</v>
      </c>
      <c r="C1052" s="100" t="str">
        <f>'04_MOTOR_CÁLCULO'!C334</f>
        <v>Fabricação de defensivos agrícolas</v>
      </c>
      <c r="D1052" s="25" t="str">
        <f>'04_MOTOR_CÁLCULO'!D334</f>
        <v>FABRICAÇÃO DE PR</v>
      </c>
      <c r="E1052" s="78" t="str">
        <f>'04_MOTOR_CÁLCULO'!N334</f>
        <v>CNAE-STG</v>
      </c>
      <c r="F1052" s="45">
        <f>'04_MOTOR_CÁLCULO'!K334</f>
        <v>1.1499999999999999</v>
      </c>
      <c r="G1052" s="46">
        <f>'04_MOTOR_CÁLCULO'!K334-1</f>
        <v>0.14999999999999991</v>
      </c>
      <c r="H1052" s="47" t="str">
        <f>'04_MOTOR_CÁLCULO'!M334</f>
        <v>Alto</v>
      </c>
    </row>
    <row r="1053" spans="1:8" ht="13.5" customHeight="1" x14ac:dyDescent="0.25">
      <c r="A1053" s="13" t="str">
        <f>'04_MOTOR_CÁLCULO'!A335</f>
        <v>2052-5/00</v>
      </c>
      <c r="B1053" s="49" t="str">
        <f>'04_MOTOR_CÁLCULO'!B335</f>
        <v>C</v>
      </c>
      <c r="C1053" s="101" t="str">
        <f>'04_MOTOR_CÁLCULO'!C335</f>
        <v>Fabricação de desinfestantes domissanitários</v>
      </c>
      <c r="D1053" s="14" t="str">
        <f>'04_MOTOR_CÁLCULO'!D335</f>
        <v>FABRICAÇÃO DE PR</v>
      </c>
      <c r="E1053" s="78" t="str">
        <f>'04_MOTOR_CÁLCULO'!N335</f>
        <v>CNAE-STG</v>
      </c>
      <c r="F1053" s="45">
        <f>'04_MOTOR_CÁLCULO'!K335</f>
        <v>1.1499999999999999</v>
      </c>
      <c r="G1053" s="46">
        <f>'04_MOTOR_CÁLCULO'!K335-1</f>
        <v>0.14999999999999991</v>
      </c>
      <c r="H1053" s="47" t="str">
        <f>'04_MOTOR_CÁLCULO'!M335</f>
        <v>Alto</v>
      </c>
    </row>
    <row r="1054" spans="1:8" ht="13.5" customHeight="1" x14ac:dyDescent="0.25">
      <c r="A1054" s="24" t="str">
        <f>'04_MOTOR_CÁLCULO'!A336</f>
        <v>2061-4/00</v>
      </c>
      <c r="B1054" s="38" t="str">
        <f>'04_MOTOR_CÁLCULO'!B336</f>
        <v>C</v>
      </c>
      <c r="C1054" s="100" t="str">
        <f>'04_MOTOR_CÁLCULO'!C336</f>
        <v>Fabricação de sabões e detergentes sintéticos</v>
      </c>
      <c r="D1054" s="25" t="str">
        <f>'04_MOTOR_CÁLCULO'!D336</f>
        <v>FABRICAÇÃO DE PR</v>
      </c>
      <c r="E1054" s="78" t="str">
        <f>'04_MOTOR_CÁLCULO'!N336</f>
        <v>CNAE-STG</v>
      </c>
      <c r="F1054" s="45">
        <f>'04_MOTOR_CÁLCULO'!K336</f>
        <v>1.1499999999999999</v>
      </c>
      <c r="G1054" s="46">
        <f>'04_MOTOR_CÁLCULO'!K336-1</f>
        <v>0.14999999999999991</v>
      </c>
      <c r="H1054" s="47" t="str">
        <f>'04_MOTOR_CÁLCULO'!M336</f>
        <v>Alto</v>
      </c>
    </row>
    <row r="1055" spans="1:8" ht="13.5" customHeight="1" x14ac:dyDescent="0.25">
      <c r="A1055" s="13" t="str">
        <f>'04_MOTOR_CÁLCULO'!A337</f>
        <v>2062-2/00</v>
      </c>
      <c r="B1055" s="49" t="str">
        <f>'04_MOTOR_CÁLCULO'!B337</f>
        <v>C</v>
      </c>
      <c r="C1055" s="101" t="str">
        <f>'04_MOTOR_CÁLCULO'!C337</f>
        <v>Fabricação de produtos de limpeza e polimento</v>
      </c>
      <c r="D1055" s="14" t="str">
        <f>'04_MOTOR_CÁLCULO'!D337</f>
        <v>FABRICAÇÃO DE PR</v>
      </c>
      <c r="E1055" s="78" t="str">
        <f>'04_MOTOR_CÁLCULO'!N337</f>
        <v>CNAE-STG</v>
      </c>
      <c r="F1055" s="45">
        <f>'04_MOTOR_CÁLCULO'!K337</f>
        <v>1.1499999999999999</v>
      </c>
      <c r="G1055" s="46">
        <f>'04_MOTOR_CÁLCULO'!K337-1</f>
        <v>0.14999999999999991</v>
      </c>
      <c r="H1055" s="47" t="str">
        <f>'04_MOTOR_CÁLCULO'!M337</f>
        <v>Alto</v>
      </c>
    </row>
    <row r="1056" spans="1:8" ht="13.5" customHeight="1" x14ac:dyDescent="0.25">
      <c r="A1056" s="24" t="str">
        <f>'04_MOTOR_CÁLCULO'!A338</f>
        <v>2063-1/00</v>
      </c>
      <c r="B1056" s="38" t="str">
        <f>'04_MOTOR_CÁLCULO'!B338</f>
        <v>C</v>
      </c>
      <c r="C1056" s="100" t="str">
        <f>'04_MOTOR_CÁLCULO'!C338</f>
        <v>Fabricação de cosméticos, produtos de perfumaria e de higiene pessoal</v>
      </c>
      <c r="D1056" s="25" t="str">
        <f>'04_MOTOR_CÁLCULO'!D338</f>
        <v>FABRICAÇÃO DE PR</v>
      </c>
      <c r="E1056" s="78" t="str">
        <f>'04_MOTOR_CÁLCULO'!N338</f>
        <v>CNAE-STG</v>
      </c>
      <c r="F1056" s="45">
        <f>'04_MOTOR_CÁLCULO'!K338</f>
        <v>1.1499999999999999</v>
      </c>
      <c r="G1056" s="46">
        <f>'04_MOTOR_CÁLCULO'!K338-1</f>
        <v>0.14999999999999991</v>
      </c>
      <c r="H1056" s="47" t="str">
        <f>'04_MOTOR_CÁLCULO'!M338</f>
        <v>Alto</v>
      </c>
    </row>
    <row r="1057" spans="1:8" ht="13.5" customHeight="1" x14ac:dyDescent="0.25">
      <c r="A1057" s="13" t="str">
        <f>'04_MOTOR_CÁLCULO'!A339</f>
        <v>2071-1/00</v>
      </c>
      <c r="B1057" s="49" t="str">
        <f>'04_MOTOR_CÁLCULO'!B339</f>
        <v>C</v>
      </c>
      <c r="C1057" s="101" t="str">
        <f>'04_MOTOR_CÁLCULO'!C339</f>
        <v>Fabricação de tintas, vernizes, esmaltes e lacas</v>
      </c>
      <c r="D1057" s="14" t="str">
        <f>'04_MOTOR_CÁLCULO'!D339</f>
        <v>FABRICAÇÃO DE PR</v>
      </c>
      <c r="E1057" s="78" t="str">
        <f>'04_MOTOR_CÁLCULO'!N339</f>
        <v>CNAE-STG</v>
      </c>
      <c r="F1057" s="45">
        <f>'04_MOTOR_CÁLCULO'!K339</f>
        <v>1.1499999999999999</v>
      </c>
      <c r="G1057" s="46">
        <f>'04_MOTOR_CÁLCULO'!K339-1</f>
        <v>0.14999999999999991</v>
      </c>
      <c r="H1057" s="47" t="str">
        <f>'04_MOTOR_CÁLCULO'!M339</f>
        <v>Alto</v>
      </c>
    </row>
    <row r="1058" spans="1:8" ht="13.5" customHeight="1" x14ac:dyDescent="0.25">
      <c r="A1058" s="24" t="str">
        <f>'04_MOTOR_CÁLCULO'!A340</f>
        <v>2072-0/00</v>
      </c>
      <c r="B1058" s="38" t="str">
        <f>'04_MOTOR_CÁLCULO'!B340</f>
        <v>C</v>
      </c>
      <c r="C1058" s="100" t="str">
        <f>'04_MOTOR_CÁLCULO'!C340</f>
        <v>Fabricação de tintas de impressão</v>
      </c>
      <c r="D1058" s="25" t="str">
        <f>'04_MOTOR_CÁLCULO'!D340</f>
        <v>FABRICAÇÃO DE PR</v>
      </c>
      <c r="E1058" s="78" t="str">
        <f>'04_MOTOR_CÁLCULO'!N340</f>
        <v>CNAE-STG</v>
      </c>
      <c r="F1058" s="45">
        <f>'04_MOTOR_CÁLCULO'!K340</f>
        <v>1.1499999999999999</v>
      </c>
      <c r="G1058" s="46">
        <f>'04_MOTOR_CÁLCULO'!K340-1</f>
        <v>0.14999999999999991</v>
      </c>
      <c r="H1058" s="47" t="str">
        <f>'04_MOTOR_CÁLCULO'!M340</f>
        <v>Alto</v>
      </c>
    </row>
    <row r="1059" spans="1:8" ht="13.5" customHeight="1" x14ac:dyDescent="0.25">
      <c r="A1059" s="13" t="str">
        <f>'04_MOTOR_CÁLCULO'!A341</f>
        <v>2073-8/00</v>
      </c>
      <c r="B1059" s="49" t="str">
        <f>'04_MOTOR_CÁLCULO'!B341</f>
        <v>C</v>
      </c>
      <c r="C1059" s="101" t="str">
        <f>'04_MOTOR_CÁLCULO'!C341</f>
        <v>Fabricação de impermeabilizantes, solventes e produtos afins</v>
      </c>
      <c r="D1059" s="14" t="str">
        <f>'04_MOTOR_CÁLCULO'!D341</f>
        <v>FABRICAÇÃO DE PR</v>
      </c>
      <c r="E1059" s="78" t="str">
        <f>'04_MOTOR_CÁLCULO'!N341</f>
        <v>CNAE-STG</v>
      </c>
      <c r="F1059" s="45">
        <f>'04_MOTOR_CÁLCULO'!K341</f>
        <v>1.1499999999999999</v>
      </c>
      <c r="G1059" s="46">
        <f>'04_MOTOR_CÁLCULO'!K341-1</f>
        <v>0.14999999999999991</v>
      </c>
      <c r="H1059" s="47" t="str">
        <f>'04_MOTOR_CÁLCULO'!M341</f>
        <v>Alto</v>
      </c>
    </row>
    <row r="1060" spans="1:8" ht="13.5" customHeight="1" x14ac:dyDescent="0.25">
      <c r="A1060" s="24" t="str">
        <f>'04_MOTOR_CÁLCULO'!A342</f>
        <v>2091-6/00</v>
      </c>
      <c r="B1060" s="38" t="str">
        <f>'04_MOTOR_CÁLCULO'!B342</f>
        <v>C</v>
      </c>
      <c r="C1060" s="100" t="str">
        <f>'04_MOTOR_CÁLCULO'!C342</f>
        <v>Fabricação de adesivos e selantes</v>
      </c>
      <c r="D1060" s="25" t="str">
        <f>'04_MOTOR_CÁLCULO'!D342</f>
        <v>FABRICAÇÃO DE PR</v>
      </c>
      <c r="E1060" s="78" t="str">
        <f>'04_MOTOR_CÁLCULO'!N342</f>
        <v>CNAE-STG</v>
      </c>
      <c r="F1060" s="45">
        <f>'04_MOTOR_CÁLCULO'!K342</f>
        <v>1.1499999999999999</v>
      </c>
      <c r="G1060" s="46">
        <f>'04_MOTOR_CÁLCULO'!K342-1</f>
        <v>0.14999999999999991</v>
      </c>
      <c r="H1060" s="47" t="str">
        <f>'04_MOTOR_CÁLCULO'!M342</f>
        <v>Alto</v>
      </c>
    </row>
    <row r="1061" spans="1:8" ht="13.5" customHeight="1" x14ac:dyDescent="0.25">
      <c r="A1061" s="13" t="str">
        <f>'04_MOTOR_CÁLCULO'!A343</f>
        <v>2092-4/01</v>
      </c>
      <c r="B1061" s="49" t="str">
        <f>'04_MOTOR_CÁLCULO'!B343</f>
        <v>C</v>
      </c>
      <c r="C1061" s="101" t="str">
        <f>'04_MOTOR_CÁLCULO'!C343</f>
        <v>Fabricação de pólvoras, explosivos e detonantes</v>
      </c>
      <c r="D1061" s="14" t="str">
        <f>'04_MOTOR_CÁLCULO'!D343</f>
        <v>FABRICAÇÃO DE PR</v>
      </c>
      <c r="E1061" s="78" t="str">
        <f>'04_MOTOR_CÁLCULO'!N343</f>
        <v>CNAE-STG</v>
      </c>
      <c r="F1061" s="45">
        <f>'04_MOTOR_CÁLCULO'!K343</f>
        <v>1.1499999999999999</v>
      </c>
      <c r="G1061" s="46">
        <f>'04_MOTOR_CÁLCULO'!K343-1</f>
        <v>0.14999999999999991</v>
      </c>
      <c r="H1061" s="47" t="str">
        <f>'04_MOTOR_CÁLCULO'!M343</f>
        <v>Alto</v>
      </c>
    </row>
    <row r="1062" spans="1:8" ht="13.5" customHeight="1" x14ac:dyDescent="0.25">
      <c r="A1062" s="24" t="str">
        <f>'04_MOTOR_CÁLCULO'!A344</f>
        <v>2092-4/02</v>
      </c>
      <c r="B1062" s="38" t="str">
        <f>'04_MOTOR_CÁLCULO'!B344</f>
        <v>C</v>
      </c>
      <c r="C1062" s="100" t="str">
        <f>'04_MOTOR_CÁLCULO'!C344</f>
        <v>Fabricação de artigos pirotécnicos</v>
      </c>
      <c r="D1062" s="25" t="str">
        <f>'04_MOTOR_CÁLCULO'!D344</f>
        <v>FABRICAÇÃO DE PR</v>
      </c>
      <c r="E1062" s="78" t="str">
        <f>'04_MOTOR_CÁLCULO'!N344</f>
        <v>CNAE-STG</v>
      </c>
      <c r="F1062" s="45">
        <f>'04_MOTOR_CÁLCULO'!K344</f>
        <v>1.1499999999999999</v>
      </c>
      <c r="G1062" s="46">
        <f>'04_MOTOR_CÁLCULO'!K344-1</f>
        <v>0.14999999999999991</v>
      </c>
      <c r="H1062" s="47" t="str">
        <f>'04_MOTOR_CÁLCULO'!M344</f>
        <v>Alto</v>
      </c>
    </row>
    <row r="1063" spans="1:8" ht="13.5" customHeight="1" x14ac:dyDescent="0.25">
      <c r="A1063" s="13" t="str">
        <f>'04_MOTOR_CÁLCULO'!A345</f>
        <v>2092-4/03</v>
      </c>
      <c r="B1063" s="49" t="str">
        <f>'04_MOTOR_CÁLCULO'!B345</f>
        <v>C</v>
      </c>
      <c r="C1063" s="101" t="str">
        <f>'04_MOTOR_CÁLCULO'!C345</f>
        <v>Fabricação de fósforos de segurança</v>
      </c>
      <c r="D1063" s="14" t="str">
        <f>'04_MOTOR_CÁLCULO'!D345</f>
        <v>FABRICAÇÃO DE PR</v>
      </c>
      <c r="E1063" s="78" t="str">
        <f>'04_MOTOR_CÁLCULO'!N345</f>
        <v>CNAE-STG</v>
      </c>
      <c r="F1063" s="45">
        <f>'04_MOTOR_CÁLCULO'!K345</f>
        <v>1.1499999999999999</v>
      </c>
      <c r="G1063" s="46">
        <f>'04_MOTOR_CÁLCULO'!K345-1</f>
        <v>0.14999999999999991</v>
      </c>
      <c r="H1063" s="47" t="str">
        <f>'04_MOTOR_CÁLCULO'!M345</f>
        <v>Alto</v>
      </c>
    </row>
    <row r="1064" spans="1:8" ht="13.5" customHeight="1" x14ac:dyDescent="0.25">
      <c r="A1064" s="24" t="str">
        <f>'04_MOTOR_CÁLCULO'!A346</f>
        <v>2093-2/00</v>
      </c>
      <c r="B1064" s="38" t="str">
        <f>'04_MOTOR_CÁLCULO'!B346</f>
        <v>C</v>
      </c>
      <c r="C1064" s="100" t="str">
        <f>'04_MOTOR_CÁLCULO'!C346</f>
        <v>Fabricação de aditivos de uso industrial</v>
      </c>
      <c r="D1064" s="25" t="str">
        <f>'04_MOTOR_CÁLCULO'!D346</f>
        <v>FABRICAÇÃO DE PR</v>
      </c>
      <c r="E1064" s="78" t="str">
        <f>'04_MOTOR_CÁLCULO'!N346</f>
        <v>CNAE-STG</v>
      </c>
      <c r="F1064" s="45">
        <f>'04_MOTOR_CÁLCULO'!K346</f>
        <v>1.1499999999999999</v>
      </c>
      <c r="G1064" s="46">
        <f>'04_MOTOR_CÁLCULO'!K346-1</f>
        <v>0.14999999999999991</v>
      </c>
      <c r="H1064" s="47" t="str">
        <f>'04_MOTOR_CÁLCULO'!M346</f>
        <v>Alto</v>
      </c>
    </row>
    <row r="1065" spans="1:8" ht="13.5" customHeight="1" x14ac:dyDescent="0.25">
      <c r="A1065" s="13" t="str">
        <f>'04_MOTOR_CÁLCULO'!A347</f>
        <v>2094-1/00</v>
      </c>
      <c r="B1065" s="49" t="str">
        <f>'04_MOTOR_CÁLCULO'!B347</f>
        <v>C</v>
      </c>
      <c r="C1065" s="101" t="str">
        <f>'04_MOTOR_CÁLCULO'!C347</f>
        <v>Fabricação de catalisadores</v>
      </c>
      <c r="D1065" s="14" t="str">
        <f>'04_MOTOR_CÁLCULO'!D347</f>
        <v>FABRICAÇÃO DE PR</v>
      </c>
      <c r="E1065" s="78" t="str">
        <f>'04_MOTOR_CÁLCULO'!N347</f>
        <v>CNAE-STG</v>
      </c>
      <c r="F1065" s="45">
        <f>'04_MOTOR_CÁLCULO'!K347</f>
        <v>1.1499999999999999</v>
      </c>
      <c r="G1065" s="46">
        <f>'04_MOTOR_CÁLCULO'!K347-1</f>
        <v>0.14999999999999991</v>
      </c>
      <c r="H1065" s="47" t="str">
        <f>'04_MOTOR_CÁLCULO'!M347</f>
        <v>Alto</v>
      </c>
    </row>
    <row r="1066" spans="1:8" ht="13.5" customHeight="1" x14ac:dyDescent="0.25">
      <c r="A1066" s="24" t="str">
        <f>'04_MOTOR_CÁLCULO'!A348</f>
        <v>2099-1/01</v>
      </c>
      <c r="B1066" s="38" t="str">
        <f>'04_MOTOR_CÁLCULO'!B348</f>
        <v>C</v>
      </c>
      <c r="C1066" s="100" t="str">
        <f>'04_MOTOR_CÁLCULO'!C348</f>
        <v>Fabricação de chapas, filmes, papéis e outros materiais e produtos químicos para fotografia</v>
      </c>
      <c r="D1066" s="25" t="str">
        <f>'04_MOTOR_CÁLCULO'!D348</f>
        <v>FABRICAÇÃO DE PR</v>
      </c>
      <c r="E1066" s="78" t="str">
        <f>'04_MOTOR_CÁLCULO'!N348</f>
        <v>CNAE-STG</v>
      </c>
      <c r="F1066" s="45">
        <f>'04_MOTOR_CÁLCULO'!K348</f>
        <v>1.1499999999999999</v>
      </c>
      <c r="G1066" s="46">
        <f>'04_MOTOR_CÁLCULO'!K348-1</f>
        <v>0.14999999999999991</v>
      </c>
      <c r="H1066" s="47" t="str">
        <f>'04_MOTOR_CÁLCULO'!M348</f>
        <v>Alto</v>
      </c>
    </row>
    <row r="1067" spans="1:8" ht="13.5" customHeight="1" x14ac:dyDescent="0.25">
      <c r="A1067" s="13" t="str">
        <f>'04_MOTOR_CÁLCULO'!A349</f>
        <v>2099-1/99</v>
      </c>
      <c r="B1067" s="49" t="str">
        <f>'04_MOTOR_CÁLCULO'!B349</f>
        <v>C</v>
      </c>
      <c r="C1067" s="101" t="str">
        <f>'04_MOTOR_CÁLCULO'!C349</f>
        <v>Fabricação de outros produtos químicos não especificados anteriormente</v>
      </c>
      <c r="D1067" s="14" t="str">
        <f>'04_MOTOR_CÁLCULO'!D349</f>
        <v>FABRICAÇÃO DE PR</v>
      </c>
      <c r="E1067" s="78" t="str">
        <f>'04_MOTOR_CÁLCULO'!N349</f>
        <v>CNAE-STG</v>
      </c>
      <c r="F1067" s="45">
        <f>'04_MOTOR_CÁLCULO'!K349</f>
        <v>1.1499999999999999</v>
      </c>
      <c r="G1067" s="46">
        <f>'04_MOTOR_CÁLCULO'!K349-1</f>
        <v>0.14999999999999991</v>
      </c>
      <c r="H1067" s="47" t="str">
        <f>'04_MOTOR_CÁLCULO'!M349</f>
        <v>Alto</v>
      </c>
    </row>
    <row r="1068" spans="1:8" ht="13.5" customHeight="1" x14ac:dyDescent="0.25">
      <c r="A1068" s="24" t="str">
        <f>'04_MOTOR_CÁLCULO'!A366</f>
        <v>2311-7/00</v>
      </c>
      <c r="B1068" s="38" t="str">
        <f>'04_MOTOR_CÁLCULO'!B366</f>
        <v>C</v>
      </c>
      <c r="C1068" s="100" t="str">
        <f>'04_MOTOR_CÁLCULO'!C366</f>
        <v>Fabricação de vidro plano e de segurança</v>
      </c>
      <c r="D1068" s="25" t="str">
        <f>'04_MOTOR_CÁLCULO'!D366</f>
        <v>FABRICAÇÃO DE PR</v>
      </c>
      <c r="E1068" s="78" t="str">
        <f>'04_MOTOR_CÁLCULO'!N366</f>
        <v>CNAE-STG</v>
      </c>
      <c r="F1068" s="45">
        <f>'04_MOTOR_CÁLCULO'!K366</f>
        <v>1.1499999999999999</v>
      </c>
      <c r="G1068" s="46">
        <f>'04_MOTOR_CÁLCULO'!K366-1</f>
        <v>0.14999999999999991</v>
      </c>
      <c r="H1068" s="47" t="str">
        <f>'04_MOTOR_CÁLCULO'!M366</f>
        <v>Alto</v>
      </c>
    </row>
    <row r="1069" spans="1:8" ht="13.5" customHeight="1" x14ac:dyDescent="0.25">
      <c r="A1069" s="13" t="str">
        <f>'04_MOTOR_CÁLCULO'!A367</f>
        <v>2312-5/00</v>
      </c>
      <c r="B1069" s="49" t="str">
        <f>'04_MOTOR_CÁLCULO'!B367</f>
        <v>C</v>
      </c>
      <c r="C1069" s="101" t="str">
        <f>'04_MOTOR_CÁLCULO'!C367</f>
        <v>Fabricação de embalagens de vidro</v>
      </c>
      <c r="D1069" s="14" t="str">
        <f>'04_MOTOR_CÁLCULO'!D367</f>
        <v>FABRICAÇÃO DE PR</v>
      </c>
      <c r="E1069" s="78" t="str">
        <f>'04_MOTOR_CÁLCULO'!N367</f>
        <v>CNAE-STG</v>
      </c>
      <c r="F1069" s="45">
        <f>'04_MOTOR_CÁLCULO'!K367</f>
        <v>1.1499999999999999</v>
      </c>
      <c r="G1069" s="46">
        <f>'04_MOTOR_CÁLCULO'!K367-1</f>
        <v>0.14999999999999991</v>
      </c>
      <c r="H1069" s="47" t="str">
        <f>'04_MOTOR_CÁLCULO'!M367</f>
        <v>Alto</v>
      </c>
    </row>
    <row r="1070" spans="1:8" ht="13.5" customHeight="1" x14ac:dyDescent="0.25">
      <c r="A1070" s="24" t="str">
        <f>'04_MOTOR_CÁLCULO'!A368</f>
        <v>2319-2/00</v>
      </c>
      <c r="B1070" s="38" t="str">
        <f>'04_MOTOR_CÁLCULO'!B368</f>
        <v>C</v>
      </c>
      <c r="C1070" s="100" t="str">
        <f>'04_MOTOR_CÁLCULO'!C368</f>
        <v>Fabricação de artigos de vidro</v>
      </c>
      <c r="D1070" s="25" t="str">
        <f>'04_MOTOR_CÁLCULO'!D368</f>
        <v>FABRICAÇÃO DE PR</v>
      </c>
      <c r="E1070" s="78" t="str">
        <f>'04_MOTOR_CÁLCULO'!N368</f>
        <v>CNAE-STG</v>
      </c>
      <c r="F1070" s="45">
        <f>'04_MOTOR_CÁLCULO'!K368</f>
        <v>1.1499999999999999</v>
      </c>
      <c r="G1070" s="46">
        <f>'04_MOTOR_CÁLCULO'!K368-1</f>
        <v>0.14999999999999991</v>
      </c>
      <c r="H1070" s="47" t="str">
        <f>'04_MOTOR_CÁLCULO'!M368</f>
        <v>Alto</v>
      </c>
    </row>
    <row r="1071" spans="1:8" ht="13.5" customHeight="1" x14ac:dyDescent="0.25">
      <c r="A1071" s="13" t="str">
        <f>'04_MOTOR_CÁLCULO'!A369</f>
        <v>2320-6/00</v>
      </c>
      <c r="B1071" s="49" t="str">
        <f>'04_MOTOR_CÁLCULO'!B369</f>
        <v>C</v>
      </c>
      <c r="C1071" s="101" t="str">
        <f>'04_MOTOR_CÁLCULO'!C369</f>
        <v>Fabricação de cimento</v>
      </c>
      <c r="D1071" s="14" t="str">
        <f>'04_MOTOR_CÁLCULO'!D369</f>
        <v>FABRICAÇÃO DE PR</v>
      </c>
      <c r="E1071" s="78" t="str">
        <f>'04_MOTOR_CÁLCULO'!N369</f>
        <v>CNAE-STG</v>
      </c>
      <c r="F1071" s="45">
        <f>'04_MOTOR_CÁLCULO'!K369</f>
        <v>1.1499999999999999</v>
      </c>
      <c r="G1071" s="46">
        <f>'04_MOTOR_CÁLCULO'!K369-1</f>
        <v>0.14999999999999991</v>
      </c>
      <c r="H1071" s="47" t="str">
        <f>'04_MOTOR_CÁLCULO'!M369</f>
        <v>Alto</v>
      </c>
    </row>
    <row r="1072" spans="1:8" ht="13.5" customHeight="1" x14ac:dyDescent="0.25">
      <c r="A1072" s="24" t="str">
        <f>'04_MOTOR_CÁLCULO'!A370</f>
        <v>2330-3/01</v>
      </c>
      <c r="B1072" s="38" t="str">
        <f>'04_MOTOR_CÁLCULO'!B370</f>
        <v>C</v>
      </c>
      <c r="C1072" s="100" t="str">
        <f>'04_MOTOR_CÁLCULO'!C370</f>
        <v>Fabricação de estruturas pré-moldadas de concreto armado, em série e sob encomenda</v>
      </c>
      <c r="D1072" s="25" t="str">
        <f>'04_MOTOR_CÁLCULO'!D370</f>
        <v>FABRICAÇÃO DE PR</v>
      </c>
      <c r="E1072" s="78" t="str">
        <f>'04_MOTOR_CÁLCULO'!N370</f>
        <v>CNAE-STG</v>
      </c>
      <c r="F1072" s="45">
        <f>'04_MOTOR_CÁLCULO'!K370</f>
        <v>1.1499999999999999</v>
      </c>
      <c r="G1072" s="46">
        <f>'04_MOTOR_CÁLCULO'!K370-1</f>
        <v>0.14999999999999991</v>
      </c>
      <c r="H1072" s="47" t="str">
        <f>'04_MOTOR_CÁLCULO'!M370</f>
        <v>Alto</v>
      </c>
    </row>
    <row r="1073" spans="1:8" ht="13.5" customHeight="1" x14ac:dyDescent="0.25">
      <c r="A1073" s="13" t="str">
        <f>'04_MOTOR_CÁLCULO'!A371</f>
        <v>2330-3/02</v>
      </c>
      <c r="B1073" s="49" t="str">
        <f>'04_MOTOR_CÁLCULO'!B371</f>
        <v>C</v>
      </c>
      <c r="C1073" s="101" t="str">
        <f>'04_MOTOR_CÁLCULO'!C371</f>
        <v>Fabricação de artefatos de cimento para uso na construção</v>
      </c>
      <c r="D1073" s="14" t="str">
        <f>'04_MOTOR_CÁLCULO'!D371</f>
        <v>FABRICAÇÃO DE PR</v>
      </c>
      <c r="E1073" s="78" t="str">
        <f>'04_MOTOR_CÁLCULO'!N371</f>
        <v>CNAE-STG</v>
      </c>
      <c r="F1073" s="45">
        <f>'04_MOTOR_CÁLCULO'!K371</f>
        <v>1.1499999999999999</v>
      </c>
      <c r="G1073" s="46">
        <f>'04_MOTOR_CÁLCULO'!K371-1</f>
        <v>0.14999999999999991</v>
      </c>
      <c r="H1073" s="47" t="str">
        <f>'04_MOTOR_CÁLCULO'!M371</f>
        <v>Alto</v>
      </c>
    </row>
    <row r="1074" spans="1:8" ht="13.5" customHeight="1" x14ac:dyDescent="0.25">
      <c r="A1074" s="24" t="str">
        <f>'04_MOTOR_CÁLCULO'!A372</f>
        <v>2330-3/03</v>
      </c>
      <c r="B1074" s="38" t="str">
        <f>'04_MOTOR_CÁLCULO'!B372</f>
        <v>C</v>
      </c>
      <c r="C1074" s="100" t="str">
        <f>'04_MOTOR_CÁLCULO'!C372</f>
        <v>Fabricação de artefatos de fibrocimento para uso na construção</v>
      </c>
      <c r="D1074" s="25" t="str">
        <f>'04_MOTOR_CÁLCULO'!D372</f>
        <v>FABRICAÇÃO DE PR</v>
      </c>
      <c r="E1074" s="78" t="str">
        <f>'04_MOTOR_CÁLCULO'!N372</f>
        <v>CNAE-STG</v>
      </c>
      <c r="F1074" s="45">
        <f>'04_MOTOR_CÁLCULO'!K372</f>
        <v>1.1499999999999999</v>
      </c>
      <c r="G1074" s="46">
        <f>'04_MOTOR_CÁLCULO'!K372-1</f>
        <v>0.14999999999999991</v>
      </c>
      <c r="H1074" s="47" t="str">
        <f>'04_MOTOR_CÁLCULO'!M372</f>
        <v>Alto</v>
      </c>
    </row>
    <row r="1075" spans="1:8" ht="13.5" customHeight="1" x14ac:dyDescent="0.25">
      <c r="A1075" s="13" t="str">
        <f>'04_MOTOR_CÁLCULO'!A373</f>
        <v>2330-3/04</v>
      </c>
      <c r="B1075" s="49" t="str">
        <f>'04_MOTOR_CÁLCULO'!B373</f>
        <v>C</v>
      </c>
      <c r="C1075" s="101" t="str">
        <f>'04_MOTOR_CÁLCULO'!C373</f>
        <v>Fabricação de casas pré-moldadas de concreto</v>
      </c>
      <c r="D1075" s="14" t="str">
        <f>'04_MOTOR_CÁLCULO'!D373</f>
        <v>FABRICAÇÃO DE PR</v>
      </c>
      <c r="E1075" s="78" t="str">
        <f>'04_MOTOR_CÁLCULO'!N373</f>
        <v>CNAE-STG</v>
      </c>
      <c r="F1075" s="45">
        <f>'04_MOTOR_CÁLCULO'!K373</f>
        <v>1.1499999999999999</v>
      </c>
      <c r="G1075" s="46">
        <f>'04_MOTOR_CÁLCULO'!K373-1</f>
        <v>0.14999999999999991</v>
      </c>
      <c r="H1075" s="47" t="str">
        <f>'04_MOTOR_CÁLCULO'!M373</f>
        <v>Alto</v>
      </c>
    </row>
    <row r="1076" spans="1:8" ht="13.5" customHeight="1" x14ac:dyDescent="0.25">
      <c r="A1076" s="24" t="str">
        <f>'04_MOTOR_CÁLCULO'!A374</f>
        <v>2330-3/05</v>
      </c>
      <c r="B1076" s="38" t="str">
        <f>'04_MOTOR_CÁLCULO'!B374</f>
        <v>C</v>
      </c>
      <c r="C1076" s="100" t="str">
        <f>'04_MOTOR_CÁLCULO'!C374</f>
        <v>Preparação de massa de concreto e argamassa para construção</v>
      </c>
      <c r="D1076" s="25" t="str">
        <f>'04_MOTOR_CÁLCULO'!D374</f>
        <v>FABRICAÇÃO DE PR</v>
      </c>
      <c r="E1076" s="78" t="str">
        <f>'04_MOTOR_CÁLCULO'!N374</f>
        <v>CNAE-STG</v>
      </c>
      <c r="F1076" s="45">
        <f>'04_MOTOR_CÁLCULO'!K374</f>
        <v>1.1499999999999999</v>
      </c>
      <c r="G1076" s="46">
        <f>'04_MOTOR_CÁLCULO'!K374-1</f>
        <v>0.14999999999999991</v>
      </c>
      <c r="H1076" s="47" t="str">
        <f>'04_MOTOR_CÁLCULO'!M374</f>
        <v>Alto</v>
      </c>
    </row>
    <row r="1077" spans="1:8" ht="13.5" customHeight="1" x14ac:dyDescent="0.25">
      <c r="A1077" s="13" t="str">
        <f>'04_MOTOR_CÁLCULO'!A375</f>
        <v>2330-3/99</v>
      </c>
      <c r="B1077" s="49" t="str">
        <f>'04_MOTOR_CÁLCULO'!B375</f>
        <v>C</v>
      </c>
      <c r="C1077" s="101" t="str">
        <f>'04_MOTOR_CÁLCULO'!C375</f>
        <v>Fabricação de outros artefatos e produtos de concreto, cimento, fibrocimento, gesso e materiais semelhantes</v>
      </c>
      <c r="D1077" s="14" t="str">
        <f>'04_MOTOR_CÁLCULO'!D375</f>
        <v>FABRICAÇÃO DE PR</v>
      </c>
      <c r="E1077" s="78" t="str">
        <f>'04_MOTOR_CÁLCULO'!N375</f>
        <v>CNAE-STG</v>
      </c>
      <c r="F1077" s="45">
        <f>'04_MOTOR_CÁLCULO'!K375</f>
        <v>1.1499999999999999</v>
      </c>
      <c r="G1077" s="46">
        <f>'04_MOTOR_CÁLCULO'!K375-1</f>
        <v>0.14999999999999991</v>
      </c>
      <c r="H1077" s="47" t="str">
        <f>'04_MOTOR_CÁLCULO'!M375</f>
        <v>Alto</v>
      </c>
    </row>
    <row r="1078" spans="1:8" ht="13.5" customHeight="1" x14ac:dyDescent="0.25">
      <c r="A1078" s="24" t="str">
        <f>'04_MOTOR_CÁLCULO'!A376</f>
        <v>2341-9/00</v>
      </c>
      <c r="B1078" s="38" t="str">
        <f>'04_MOTOR_CÁLCULO'!B376</f>
        <v>C</v>
      </c>
      <c r="C1078" s="100" t="str">
        <f>'04_MOTOR_CÁLCULO'!C376</f>
        <v>Fabricação de produtos cerâmicos refratários</v>
      </c>
      <c r="D1078" s="25" t="str">
        <f>'04_MOTOR_CÁLCULO'!D376</f>
        <v>FABRICAÇÃO DE PR</v>
      </c>
      <c r="E1078" s="78" t="str">
        <f>'04_MOTOR_CÁLCULO'!N376</f>
        <v>CNAE-STG</v>
      </c>
      <c r="F1078" s="45">
        <f>'04_MOTOR_CÁLCULO'!K376</f>
        <v>1.1499999999999999</v>
      </c>
      <c r="G1078" s="46">
        <f>'04_MOTOR_CÁLCULO'!K376-1</f>
        <v>0.14999999999999991</v>
      </c>
      <c r="H1078" s="47" t="str">
        <f>'04_MOTOR_CÁLCULO'!M376</f>
        <v>Alto</v>
      </c>
    </row>
    <row r="1079" spans="1:8" ht="13.5" customHeight="1" x14ac:dyDescent="0.25">
      <c r="A1079" s="13" t="str">
        <f>'04_MOTOR_CÁLCULO'!A377</f>
        <v>2342-7/01</v>
      </c>
      <c r="B1079" s="49" t="str">
        <f>'04_MOTOR_CÁLCULO'!B377</f>
        <v>C</v>
      </c>
      <c r="C1079" s="101" t="str">
        <f>'04_MOTOR_CÁLCULO'!C377</f>
        <v>Fabricação de azulejos e pisos</v>
      </c>
      <c r="D1079" s="14" t="str">
        <f>'04_MOTOR_CÁLCULO'!D377</f>
        <v>FABRICAÇÃO DE PR</v>
      </c>
      <c r="E1079" s="78" t="str">
        <f>'04_MOTOR_CÁLCULO'!N377</f>
        <v>CNAE-STG</v>
      </c>
      <c r="F1079" s="45">
        <f>'04_MOTOR_CÁLCULO'!K377</f>
        <v>1.1499999999999999</v>
      </c>
      <c r="G1079" s="46">
        <f>'04_MOTOR_CÁLCULO'!K377-1</f>
        <v>0.14999999999999991</v>
      </c>
      <c r="H1079" s="47" t="str">
        <f>'04_MOTOR_CÁLCULO'!M377</f>
        <v>Alto</v>
      </c>
    </row>
    <row r="1080" spans="1:8" ht="13.5" customHeight="1" x14ac:dyDescent="0.25">
      <c r="A1080" s="24" t="str">
        <f>'04_MOTOR_CÁLCULO'!A378</f>
        <v>2342-7/02</v>
      </c>
      <c r="B1080" s="38" t="str">
        <f>'04_MOTOR_CÁLCULO'!B378</f>
        <v>C</v>
      </c>
      <c r="C1080" s="100" t="str">
        <f>'04_MOTOR_CÁLCULO'!C378</f>
        <v>Fabricação de artefatos de cerâmica e barro cozido para uso na construção, exceto azulejos e pisos</v>
      </c>
      <c r="D1080" s="25" t="str">
        <f>'04_MOTOR_CÁLCULO'!D378</f>
        <v>FABRICAÇÃO DE PR</v>
      </c>
      <c r="E1080" s="78" t="str">
        <f>'04_MOTOR_CÁLCULO'!N378</f>
        <v>CNAE-STG</v>
      </c>
      <c r="F1080" s="45">
        <f>'04_MOTOR_CÁLCULO'!K378</f>
        <v>1.1499999999999999</v>
      </c>
      <c r="G1080" s="46">
        <f>'04_MOTOR_CÁLCULO'!K378-1</f>
        <v>0.14999999999999991</v>
      </c>
      <c r="H1080" s="47" t="str">
        <f>'04_MOTOR_CÁLCULO'!M378</f>
        <v>Alto</v>
      </c>
    </row>
    <row r="1081" spans="1:8" ht="13.5" customHeight="1" x14ac:dyDescent="0.25">
      <c r="A1081" s="13" t="str">
        <f>'04_MOTOR_CÁLCULO'!A379</f>
        <v>2349-4/01</v>
      </c>
      <c r="B1081" s="49" t="str">
        <f>'04_MOTOR_CÁLCULO'!B379</f>
        <v>C</v>
      </c>
      <c r="C1081" s="101" t="str">
        <f>'04_MOTOR_CÁLCULO'!C379</f>
        <v>Fabricação de material sanitário de cerâmica</v>
      </c>
      <c r="D1081" s="14" t="str">
        <f>'04_MOTOR_CÁLCULO'!D379</f>
        <v>FABRICAÇÃO DE PR</v>
      </c>
      <c r="E1081" s="78" t="str">
        <f>'04_MOTOR_CÁLCULO'!N379</f>
        <v>CNAE-STG</v>
      </c>
      <c r="F1081" s="45">
        <f>'04_MOTOR_CÁLCULO'!K379</f>
        <v>1.1499999999999999</v>
      </c>
      <c r="G1081" s="46">
        <f>'04_MOTOR_CÁLCULO'!K379-1</f>
        <v>0.14999999999999991</v>
      </c>
      <c r="H1081" s="47" t="str">
        <f>'04_MOTOR_CÁLCULO'!M379</f>
        <v>Alto</v>
      </c>
    </row>
    <row r="1082" spans="1:8" ht="13.5" customHeight="1" x14ac:dyDescent="0.25">
      <c r="A1082" s="24" t="str">
        <f>'04_MOTOR_CÁLCULO'!A380</f>
        <v>2349-4/99</v>
      </c>
      <c r="B1082" s="38" t="str">
        <f>'04_MOTOR_CÁLCULO'!B380</f>
        <v>C</v>
      </c>
      <c r="C1082" s="100" t="str">
        <f>'04_MOTOR_CÁLCULO'!C380</f>
        <v>Fabricação de produtos cerâmicos não refratários não especificados anteriormente</v>
      </c>
      <c r="D1082" s="25" t="str">
        <f>'04_MOTOR_CÁLCULO'!D380</f>
        <v>FABRICAÇÃO DE PR</v>
      </c>
      <c r="E1082" s="78" t="str">
        <f>'04_MOTOR_CÁLCULO'!N380</f>
        <v>CNAE-STG</v>
      </c>
      <c r="F1082" s="45">
        <f>'04_MOTOR_CÁLCULO'!K380</f>
        <v>1.1499999999999999</v>
      </c>
      <c r="G1082" s="46">
        <f>'04_MOTOR_CÁLCULO'!K380-1</f>
        <v>0.14999999999999991</v>
      </c>
      <c r="H1082" s="47" t="str">
        <f>'04_MOTOR_CÁLCULO'!M380</f>
        <v>Alto</v>
      </c>
    </row>
    <row r="1083" spans="1:8" ht="13.5" customHeight="1" x14ac:dyDescent="0.25">
      <c r="A1083" s="13" t="str">
        <f>'04_MOTOR_CÁLCULO'!A381</f>
        <v>2391-5/01</v>
      </c>
      <c r="B1083" s="49" t="str">
        <f>'04_MOTOR_CÁLCULO'!B381</f>
        <v>C</v>
      </c>
      <c r="C1083" s="101" t="str">
        <f>'04_MOTOR_CÁLCULO'!C381</f>
        <v>Britamento de pedras, exceto associado à extração</v>
      </c>
      <c r="D1083" s="14" t="str">
        <f>'04_MOTOR_CÁLCULO'!D381</f>
        <v>FABRICAÇÃO DE PR</v>
      </c>
      <c r="E1083" s="78" t="str">
        <f>'04_MOTOR_CÁLCULO'!N381</f>
        <v>CNAE-STG</v>
      </c>
      <c r="F1083" s="45">
        <f>'04_MOTOR_CÁLCULO'!K381</f>
        <v>1.1499999999999999</v>
      </c>
      <c r="G1083" s="46">
        <f>'04_MOTOR_CÁLCULO'!K381-1</f>
        <v>0.14999999999999991</v>
      </c>
      <c r="H1083" s="47" t="str">
        <f>'04_MOTOR_CÁLCULO'!M381</f>
        <v>Alto</v>
      </c>
    </row>
    <row r="1084" spans="1:8" ht="13.5" customHeight="1" x14ac:dyDescent="0.25">
      <c r="A1084" s="24" t="str">
        <f>'04_MOTOR_CÁLCULO'!A382</f>
        <v>2391-5/02</v>
      </c>
      <c r="B1084" s="38" t="str">
        <f>'04_MOTOR_CÁLCULO'!B382</f>
        <v>C</v>
      </c>
      <c r="C1084" s="100" t="str">
        <f>'04_MOTOR_CÁLCULO'!C382</f>
        <v>Aparelhamento de pedras para construção, exceto associado à extração</v>
      </c>
      <c r="D1084" s="25" t="str">
        <f>'04_MOTOR_CÁLCULO'!D382</f>
        <v>FABRICAÇÃO DE PR</v>
      </c>
      <c r="E1084" s="78" t="str">
        <f>'04_MOTOR_CÁLCULO'!N382</f>
        <v>CNAE-STG</v>
      </c>
      <c r="F1084" s="45">
        <f>'04_MOTOR_CÁLCULO'!K382</f>
        <v>1.1499999999999999</v>
      </c>
      <c r="G1084" s="46">
        <f>'04_MOTOR_CÁLCULO'!K382-1</f>
        <v>0.14999999999999991</v>
      </c>
      <c r="H1084" s="47" t="str">
        <f>'04_MOTOR_CÁLCULO'!M382</f>
        <v>Alto</v>
      </c>
    </row>
    <row r="1085" spans="1:8" ht="13.5" customHeight="1" x14ac:dyDescent="0.25">
      <c r="A1085" s="13" t="str">
        <f>'04_MOTOR_CÁLCULO'!A383</f>
        <v>2391-5/03</v>
      </c>
      <c r="B1085" s="49" t="str">
        <f>'04_MOTOR_CÁLCULO'!B383</f>
        <v>C</v>
      </c>
      <c r="C1085" s="101" t="str">
        <f>'04_MOTOR_CÁLCULO'!C383</f>
        <v>Aparelhamento de placas e execução de trabalhos em mármore, granito, ardósia e outras pedras</v>
      </c>
      <c r="D1085" s="14" t="str">
        <f>'04_MOTOR_CÁLCULO'!D383</f>
        <v>FABRICAÇÃO DE PR</v>
      </c>
      <c r="E1085" s="78" t="str">
        <f>'04_MOTOR_CÁLCULO'!N383</f>
        <v>CNAE-STG</v>
      </c>
      <c r="F1085" s="45">
        <f>'04_MOTOR_CÁLCULO'!K383</f>
        <v>1.1499999999999999</v>
      </c>
      <c r="G1085" s="46">
        <f>'04_MOTOR_CÁLCULO'!K383-1</f>
        <v>0.14999999999999991</v>
      </c>
      <c r="H1085" s="47" t="str">
        <f>'04_MOTOR_CÁLCULO'!M383</f>
        <v>Alto</v>
      </c>
    </row>
    <row r="1086" spans="1:8" ht="13.5" customHeight="1" x14ac:dyDescent="0.25">
      <c r="A1086" s="24" t="str">
        <f>'04_MOTOR_CÁLCULO'!A384</f>
        <v>2392-3/00</v>
      </c>
      <c r="B1086" s="38" t="str">
        <f>'04_MOTOR_CÁLCULO'!B384</f>
        <v>C</v>
      </c>
      <c r="C1086" s="100" t="str">
        <f>'04_MOTOR_CÁLCULO'!C384</f>
        <v>Fabricação de cal e gesso</v>
      </c>
      <c r="D1086" s="25" t="str">
        <f>'04_MOTOR_CÁLCULO'!D384</f>
        <v>FABRICAÇÃO DE PR</v>
      </c>
      <c r="E1086" s="78" t="str">
        <f>'04_MOTOR_CÁLCULO'!N384</f>
        <v>CNAE-STG</v>
      </c>
      <c r="F1086" s="45">
        <f>'04_MOTOR_CÁLCULO'!K384</f>
        <v>1.1499999999999999</v>
      </c>
      <c r="G1086" s="46">
        <f>'04_MOTOR_CÁLCULO'!K384-1</f>
        <v>0.14999999999999991</v>
      </c>
      <c r="H1086" s="47" t="str">
        <f>'04_MOTOR_CÁLCULO'!M384</f>
        <v>Alto</v>
      </c>
    </row>
    <row r="1087" spans="1:8" ht="13.5" customHeight="1" x14ac:dyDescent="0.25">
      <c r="A1087" s="13" t="str">
        <f>'04_MOTOR_CÁLCULO'!A385</f>
        <v>2399-1/01</v>
      </c>
      <c r="B1087" s="49" t="str">
        <f>'04_MOTOR_CÁLCULO'!B385</f>
        <v>C</v>
      </c>
      <c r="C1087" s="101" t="str">
        <f>'04_MOTOR_CÁLCULO'!C385</f>
        <v>Decoração, lapidação, gravação, vitrificação e outros trabalhos em cerâmica, louça, vidro e cristal</v>
      </c>
      <c r="D1087" s="14" t="str">
        <f>'04_MOTOR_CÁLCULO'!D385</f>
        <v>FABRICAÇÃO DE PR</v>
      </c>
      <c r="E1087" s="78" t="str">
        <f>'04_MOTOR_CÁLCULO'!N385</f>
        <v>CNAE-STG</v>
      </c>
      <c r="F1087" s="45">
        <f>'04_MOTOR_CÁLCULO'!K385</f>
        <v>1.1499999999999999</v>
      </c>
      <c r="G1087" s="46">
        <f>'04_MOTOR_CÁLCULO'!K385-1</f>
        <v>0.14999999999999991</v>
      </c>
      <c r="H1087" s="47" t="str">
        <f>'04_MOTOR_CÁLCULO'!M385</f>
        <v>Alto</v>
      </c>
    </row>
    <row r="1088" spans="1:8" ht="13.5" customHeight="1" x14ac:dyDescent="0.25">
      <c r="A1088" s="24" t="str">
        <f>'04_MOTOR_CÁLCULO'!A386</f>
        <v>2399-1/02</v>
      </c>
      <c r="B1088" s="38" t="str">
        <f>'04_MOTOR_CÁLCULO'!B386</f>
        <v>C</v>
      </c>
      <c r="C1088" s="100" t="str">
        <f>'04_MOTOR_CÁLCULO'!C386</f>
        <v>Fabricação de abrasivos</v>
      </c>
      <c r="D1088" s="25" t="str">
        <f>'04_MOTOR_CÁLCULO'!D386</f>
        <v>FABRICAÇÃO DE PR</v>
      </c>
      <c r="E1088" s="78" t="str">
        <f>'04_MOTOR_CÁLCULO'!N386</f>
        <v>CNAE-STG</v>
      </c>
      <c r="F1088" s="45">
        <f>'04_MOTOR_CÁLCULO'!K386</f>
        <v>1.1499999999999999</v>
      </c>
      <c r="G1088" s="46">
        <f>'04_MOTOR_CÁLCULO'!K386-1</f>
        <v>0.14999999999999991</v>
      </c>
      <c r="H1088" s="47" t="str">
        <f>'04_MOTOR_CÁLCULO'!M386</f>
        <v>Alto</v>
      </c>
    </row>
    <row r="1089" spans="1:8" ht="13.5" customHeight="1" x14ac:dyDescent="0.25">
      <c r="A1089" s="13" t="str">
        <f>'04_MOTOR_CÁLCULO'!A387</f>
        <v>2399-1/99</v>
      </c>
      <c r="B1089" s="49" t="str">
        <f>'04_MOTOR_CÁLCULO'!B387</f>
        <v>C</v>
      </c>
      <c r="C1089" s="101" t="str">
        <f>'04_MOTOR_CÁLCULO'!C387</f>
        <v>Fabricação de outros produtos de minerais não metálicos não especificados anteriormente</v>
      </c>
      <c r="D1089" s="14" t="str">
        <f>'04_MOTOR_CÁLCULO'!D387</f>
        <v>FABRICAÇÃO DE PR</v>
      </c>
      <c r="E1089" s="78" t="str">
        <f>'04_MOTOR_CÁLCULO'!N387</f>
        <v>CNAE-STG</v>
      </c>
      <c r="F1089" s="45">
        <f>'04_MOTOR_CÁLCULO'!K387</f>
        <v>1.1499999999999999</v>
      </c>
      <c r="G1089" s="46">
        <f>'04_MOTOR_CÁLCULO'!K387-1</f>
        <v>0.14999999999999991</v>
      </c>
      <c r="H1089" s="47" t="str">
        <f>'04_MOTOR_CÁLCULO'!M387</f>
        <v>Alto</v>
      </c>
    </row>
    <row r="1090" spans="1:8" ht="13.5" customHeight="1" x14ac:dyDescent="0.25">
      <c r="A1090" s="24" t="str">
        <f>'04_MOTOR_CÁLCULO'!A388</f>
        <v>2411-3/00</v>
      </c>
      <c r="B1090" s="38" t="str">
        <f>'04_MOTOR_CÁLCULO'!B388</f>
        <v>C</v>
      </c>
      <c r="C1090" s="100" t="str">
        <f>'04_MOTOR_CÁLCULO'!C388</f>
        <v>Produção de ferro-gusa</v>
      </c>
      <c r="D1090" s="25" t="str">
        <f>'04_MOTOR_CÁLCULO'!D388</f>
        <v>METALURGIA</v>
      </c>
      <c r="E1090" s="78" t="str">
        <f>'04_MOTOR_CÁLCULO'!N388</f>
        <v>CNAE-STG</v>
      </c>
      <c r="F1090" s="45">
        <f>'04_MOTOR_CÁLCULO'!K388</f>
        <v>1.1499999999999999</v>
      </c>
      <c r="G1090" s="46">
        <f>'04_MOTOR_CÁLCULO'!K388-1</f>
        <v>0.14999999999999991</v>
      </c>
      <c r="H1090" s="47" t="str">
        <f>'04_MOTOR_CÁLCULO'!M388</f>
        <v>Alto</v>
      </c>
    </row>
    <row r="1091" spans="1:8" ht="13.5" customHeight="1" x14ac:dyDescent="0.25">
      <c r="A1091" s="13" t="str">
        <f>'04_MOTOR_CÁLCULO'!A389</f>
        <v>2412-1/00</v>
      </c>
      <c r="B1091" s="49" t="str">
        <f>'04_MOTOR_CÁLCULO'!B389</f>
        <v>C</v>
      </c>
      <c r="C1091" s="101" t="str">
        <f>'04_MOTOR_CÁLCULO'!C389</f>
        <v>Produção de ferroligas</v>
      </c>
      <c r="D1091" s="14" t="str">
        <f>'04_MOTOR_CÁLCULO'!D389</f>
        <v>METALURGIA</v>
      </c>
      <c r="E1091" s="78" t="str">
        <f>'04_MOTOR_CÁLCULO'!N389</f>
        <v>CNAE-STG</v>
      </c>
      <c r="F1091" s="45">
        <f>'04_MOTOR_CÁLCULO'!K389</f>
        <v>1.1499999999999999</v>
      </c>
      <c r="G1091" s="46">
        <f>'04_MOTOR_CÁLCULO'!K389-1</f>
        <v>0.14999999999999991</v>
      </c>
      <c r="H1091" s="47" t="str">
        <f>'04_MOTOR_CÁLCULO'!M389</f>
        <v>Alto</v>
      </c>
    </row>
    <row r="1092" spans="1:8" ht="13.5" customHeight="1" x14ac:dyDescent="0.25">
      <c r="A1092" s="24" t="str">
        <f>'04_MOTOR_CÁLCULO'!A390</f>
        <v>2421-1/00</v>
      </c>
      <c r="B1092" s="38" t="str">
        <f>'04_MOTOR_CÁLCULO'!B390</f>
        <v>C</v>
      </c>
      <c r="C1092" s="100" t="str">
        <f>'04_MOTOR_CÁLCULO'!C390</f>
        <v>Produção de semiacabados de aço</v>
      </c>
      <c r="D1092" s="25" t="str">
        <f>'04_MOTOR_CÁLCULO'!D390</f>
        <v>METALURGIA</v>
      </c>
      <c r="E1092" s="78" t="str">
        <f>'04_MOTOR_CÁLCULO'!N390</f>
        <v>CNAE-STG</v>
      </c>
      <c r="F1092" s="45">
        <f>'04_MOTOR_CÁLCULO'!K390</f>
        <v>1.1499999999999999</v>
      </c>
      <c r="G1092" s="46">
        <f>'04_MOTOR_CÁLCULO'!K390-1</f>
        <v>0.14999999999999991</v>
      </c>
      <c r="H1092" s="47" t="str">
        <f>'04_MOTOR_CÁLCULO'!M390</f>
        <v>Alto</v>
      </c>
    </row>
    <row r="1093" spans="1:8" ht="13.5" customHeight="1" x14ac:dyDescent="0.25">
      <c r="A1093" s="13" t="str">
        <f>'04_MOTOR_CÁLCULO'!A391</f>
        <v>2422-9/01</v>
      </c>
      <c r="B1093" s="49" t="str">
        <f>'04_MOTOR_CÁLCULO'!B391</f>
        <v>C</v>
      </c>
      <c r="C1093" s="101" t="str">
        <f>'04_MOTOR_CÁLCULO'!C391</f>
        <v>Produção de laminados planos de aço ao carbono, revestidos ou não</v>
      </c>
      <c r="D1093" s="14" t="str">
        <f>'04_MOTOR_CÁLCULO'!D391</f>
        <v>METALURGIA</v>
      </c>
      <c r="E1093" s="78" t="str">
        <f>'04_MOTOR_CÁLCULO'!N391</f>
        <v>CNAE-STG</v>
      </c>
      <c r="F1093" s="45">
        <f>'04_MOTOR_CÁLCULO'!K391</f>
        <v>1.1499999999999999</v>
      </c>
      <c r="G1093" s="46">
        <f>'04_MOTOR_CÁLCULO'!K391-1</f>
        <v>0.14999999999999991</v>
      </c>
      <c r="H1093" s="47" t="str">
        <f>'04_MOTOR_CÁLCULO'!M391</f>
        <v>Alto</v>
      </c>
    </row>
    <row r="1094" spans="1:8" ht="13.5" customHeight="1" x14ac:dyDescent="0.25">
      <c r="A1094" s="24" t="str">
        <f>'04_MOTOR_CÁLCULO'!A392</f>
        <v>2422-9/02</v>
      </c>
      <c r="B1094" s="38" t="str">
        <f>'04_MOTOR_CÁLCULO'!B392</f>
        <v>C</v>
      </c>
      <c r="C1094" s="100" t="str">
        <f>'04_MOTOR_CÁLCULO'!C392</f>
        <v>Produção de laminados planos de aços especiais</v>
      </c>
      <c r="D1094" s="25" t="str">
        <f>'04_MOTOR_CÁLCULO'!D392</f>
        <v>METALURGIA</v>
      </c>
      <c r="E1094" s="78" t="str">
        <f>'04_MOTOR_CÁLCULO'!N392</f>
        <v>CNAE-STG</v>
      </c>
      <c r="F1094" s="45">
        <f>'04_MOTOR_CÁLCULO'!K392</f>
        <v>1.1499999999999999</v>
      </c>
      <c r="G1094" s="46">
        <f>'04_MOTOR_CÁLCULO'!K392-1</f>
        <v>0.14999999999999991</v>
      </c>
      <c r="H1094" s="47" t="str">
        <f>'04_MOTOR_CÁLCULO'!M392</f>
        <v>Alto</v>
      </c>
    </row>
    <row r="1095" spans="1:8" ht="13.5" customHeight="1" x14ac:dyDescent="0.25">
      <c r="A1095" s="13" t="str">
        <f>'04_MOTOR_CÁLCULO'!A393</f>
        <v>2423-7/01</v>
      </c>
      <c r="B1095" s="49" t="str">
        <f>'04_MOTOR_CÁLCULO'!B393</f>
        <v>C</v>
      </c>
      <c r="C1095" s="101" t="str">
        <f>'04_MOTOR_CÁLCULO'!C393</f>
        <v>Produção de tubos de aço sem costura</v>
      </c>
      <c r="D1095" s="14" t="str">
        <f>'04_MOTOR_CÁLCULO'!D393</f>
        <v>METALURGIA</v>
      </c>
      <c r="E1095" s="78" t="str">
        <f>'04_MOTOR_CÁLCULO'!N393</f>
        <v>CNAE-STG</v>
      </c>
      <c r="F1095" s="45">
        <f>'04_MOTOR_CÁLCULO'!K393</f>
        <v>1.1499999999999999</v>
      </c>
      <c r="G1095" s="46">
        <f>'04_MOTOR_CÁLCULO'!K393-1</f>
        <v>0.14999999999999991</v>
      </c>
      <c r="H1095" s="47" t="str">
        <f>'04_MOTOR_CÁLCULO'!M393</f>
        <v>Alto</v>
      </c>
    </row>
    <row r="1096" spans="1:8" ht="13.5" customHeight="1" x14ac:dyDescent="0.25">
      <c r="A1096" s="24" t="str">
        <f>'04_MOTOR_CÁLCULO'!A394</f>
        <v>2423-7/02</v>
      </c>
      <c r="B1096" s="38" t="str">
        <f>'04_MOTOR_CÁLCULO'!B394</f>
        <v>C</v>
      </c>
      <c r="C1096" s="100" t="str">
        <f>'04_MOTOR_CÁLCULO'!C394</f>
        <v>Produção de laminados longos de aço, exceto tubos</v>
      </c>
      <c r="D1096" s="25" t="str">
        <f>'04_MOTOR_CÁLCULO'!D394</f>
        <v>METALURGIA</v>
      </c>
      <c r="E1096" s="78" t="str">
        <f>'04_MOTOR_CÁLCULO'!N394</f>
        <v>CNAE-STG</v>
      </c>
      <c r="F1096" s="45">
        <f>'04_MOTOR_CÁLCULO'!K394</f>
        <v>1.1499999999999999</v>
      </c>
      <c r="G1096" s="46">
        <f>'04_MOTOR_CÁLCULO'!K394-1</f>
        <v>0.14999999999999991</v>
      </c>
      <c r="H1096" s="47" t="str">
        <f>'04_MOTOR_CÁLCULO'!M394</f>
        <v>Alto</v>
      </c>
    </row>
    <row r="1097" spans="1:8" ht="13.5" customHeight="1" x14ac:dyDescent="0.25">
      <c r="A1097" s="13" t="str">
        <f>'04_MOTOR_CÁLCULO'!A395</f>
        <v>2424-5/01</v>
      </c>
      <c r="B1097" s="49" t="str">
        <f>'04_MOTOR_CÁLCULO'!B395</f>
        <v>C</v>
      </c>
      <c r="C1097" s="101" t="str">
        <f>'04_MOTOR_CÁLCULO'!C395</f>
        <v>Produção de arames de aço</v>
      </c>
      <c r="D1097" s="14" t="str">
        <f>'04_MOTOR_CÁLCULO'!D395</f>
        <v>METALURGIA</v>
      </c>
      <c r="E1097" s="78" t="str">
        <f>'04_MOTOR_CÁLCULO'!N395</f>
        <v>CNAE-STG</v>
      </c>
      <c r="F1097" s="45">
        <f>'04_MOTOR_CÁLCULO'!K395</f>
        <v>1.1499999999999999</v>
      </c>
      <c r="G1097" s="46">
        <f>'04_MOTOR_CÁLCULO'!K395-1</f>
        <v>0.14999999999999991</v>
      </c>
      <c r="H1097" s="47" t="str">
        <f>'04_MOTOR_CÁLCULO'!M395</f>
        <v>Alto</v>
      </c>
    </row>
    <row r="1098" spans="1:8" ht="13.5" customHeight="1" x14ac:dyDescent="0.25">
      <c r="A1098" s="24" t="str">
        <f>'04_MOTOR_CÁLCULO'!A396</f>
        <v>2424-5/02</v>
      </c>
      <c r="B1098" s="38" t="str">
        <f>'04_MOTOR_CÁLCULO'!B396</f>
        <v>C</v>
      </c>
      <c r="C1098" s="100" t="str">
        <f>'04_MOTOR_CÁLCULO'!C396</f>
        <v>Produção de relaminados, trefilados e perfilados de aço, exceto arames</v>
      </c>
      <c r="D1098" s="25" t="str">
        <f>'04_MOTOR_CÁLCULO'!D396</f>
        <v>METALURGIA</v>
      </c>
      <c r="E1098" s="78" t="str">
        <f>'04_MOTOR_CÁLCULO'!N396</f>
        <v>CNAE-STG</v>
      </c>
      <c r="F1098" s="45">
        <f>'04_MOTOR_CÁLCULO'!K396</f>
        <v>1.1499999999999999</v>
      </c>
      <c r="G1098" s="46">
        <f>'04_MOTOR_CÁLCULO'!K396-1</f>
        <v>0.14999999999999991</v>
      </c>
      <c r="H1098" s="47" t="str">
        <f>'04_MOTOR_CÁLCULO'!M396</f>
        <v>Alto</v>
      </c>
    </row>
    <row r="1099" spans="1:8" ht="13.5" customHeight="1" x14ac:dyDescent="0.25">
      <c r="A1099" s="13" t="str">
        <f>'04_MOTOR_CÁLCULO'!A397</f>
        <v>2431-8/00</v>
      </c>
      <c r="B1099" s="49" t="str">
        <f>'04_MOTOR_CÁLCULO'!B397</f>
        <v>C</v>
      </c>
      <c r="C1099" s="101" t="str">
        <f>'04_MOTOR_CÁLCULO'!C397</f>
        <v>Produção de tubos de aço com costura</v>
      </c>
      <c r="D1099" s="14" t="str">
        <f>'04_MOTOR_CÁLCULO'!D397</f>
        <v>METALURGIA</v>
      </c>
      <c r="E1099" s="78" t="str">
        <f>'04_MOTOR_CÁLCULO'!N397</f>
        <v>CNAE-STG</v>
      </c>
      <c r="F1099" s="45">
        <f>'04_MOTOR_CÁLCULO'!K397</f>
        <v>1.1499999999999999</v>
      </c>
      <c r="G1099" s="46">
        <f>'04_MOTOR_CÁLCULO'!K397-1</f>
        <v>0.14999999999999991</v>
      </c>
      <c r="H1099" s="47" t="str">
        <f>'04_MOTOR_CÁLCULO'!M397</f>
        <v>Alto</v>
      </c>
    </row>
    <row r="1100" spans="1:8" ht="13.5" customHeight="1" x14ac:dyDescent="0.25">
      <c r="A1100" s="24" t="str">
        <f>'04_MOTOR_CÁLCULO'!A398</f>
        <v>2439-3/00</v>
      </c>
      <c r="B1100" s="38" t="str">
        <f>'04_MOTOR_CÁLCULO'!B398</f>
        <v>C</v>
      </c>
      <c r="C1100" s="100" t="str">
        <f>'04_MOTOR_CÁLCULO'!C398</f>
        <v>Produção de outros tubos de ferro e aço</v>
      </c>
      <c r="D1100" s="25" t="str">
        <f>'04_MOTOR_CÁLCULO'!D398</f>
        <v>METALURGIA</v>
      </c>
      <c r="E1100" s="78" t="str">
        <f>'04_MOTOR_CÁLCULO'!N398</f>
        <v>CNAE-STG</v>
      </c>
      <c r="F1100" s="45">
        <f>'04_MOTOR_CÁLCULO'!K398</f>
        <v>1.1499999999999999</v>
      </c>
      <c r="G1100" s="46">
        <f>'04_MOTOR_CÁLCULO'!K398-1</f>
        <v>0.14999999999999991</v>
      </c>
      <c r="H1100" s="47" t="str">
        <f>'04_MOTOR_CÁLCULO'!M398</f>
        <v>Alto</v>
      </c>
    </row>
    <row r="1101" spans="1:8" ht="13.5" customHeight="1" x14ac:dyDescent="0.25">
      <c r="A1101" s="13" t="str">
        <f>'04_MOTOR_CÁLCULO'!A399</f>
        <v>2441-5/01</v>
      </c>
      <c r="B1101" s="49" t="str">
        <f>'04_MOTOR_CÁLCULO'!B399</f>
        <v>C</v>
      </c>
      <c r="C1101" s="101" t="str">
        <f>'04_MOTOR_CÁLCULO'!C399</f>
        <v>Produção de alumínio e suas ligas em formas primárias</v>
      </c>
      <c r="D1101" s="14" t="str">
        <f>'04_MOTOR_CÁLCULO'!D399</f>
        <v>METALURGIA</v>
      </c>
      <c r="E1101" s="78" t="str">
        <f>'04_MOTOR_CÁLCULO'!N399</f>
        <v>CNAE-STG</v>
      </c>
      <c r="F1101" s="45">
        <f>'04_MOTOR_CÁLCULO'!K399</f>
        <v>1.1499999999999999</v>
      </c>
      <c r="G1101" s="46">
        <f>'04_MOTOR_CÁLCULO'!K399-1</f>
        <v>0.14999999999999991</v>
      </c>
      <c r="H1101" s="47" t="str">
        <f>'04_MOTOR_CÁLCULO'!M399</f>
        <v>Alto</v>
      </c>
    </row>
    <row r="1102" spans="1:8" ht="13.5" customHeight="1" x14ac:dyDescent="0.25">
      <c r="A1102" s="24" t="str">
        <f>'04_MOTOR_CÁLCULO'!A400</f>
        <v>2441-5/02</v>
      </c>
      <c r="B1102" s="38" t="str">
        <f>'04_MOTOR_CÁLCULO'!B400</f>
        <v>C</v>
      </c>
      <c r="C1102" s="100" t="str">
        <f>'04_MOTOR_CÁLCULO'!C400</f>
        <v>Produção de laminados de alumínio</v>
      </c>
      <c r="D1102" s="25" t="str">
        <f>'04_MOTOR_CÁLCULO'!D400</f>
        <v>METALURGIA</v>
      </c>
      <c r="E1102" s="78" t="str">
        <f>'04_MOTOR_CÁLCULO'!N400</f>
        <v>CNAE-STG</v>
      </c>
      <c r="F1102" s="45">
        <f>'04_MOTOR_CÁLCULO'!K400</f>
        <v>1.1499999999999999</v>
      </c>
      <c r="G1102" s="46">
        <f>'04_MOTOR_CÁLCULO'!K400-1</f>
        <v>0.14999999999999991</v>
      </c>
      <c r="H1102" s="47" t="str">
        <f>'04_MOTOR_CÁLCULO'!M400</f>
        <v>Alto</v>
      </c>
    </row>
    <row r="1103" spans="1:8" ht="13.5" customHeight="1" x14ac:dyDescent="0.25">
      <c r="A1103" s="13" t="str">
        <f>'04_MOTOR_CÁLCULO'!A401</f>
        <v>2442-3/00</v>
      </c>
      <c r="B1103" s="49" t="str">
        <f>'04_MOTOR_CÁLCULO'!B401</f>
        <v>C</v>
      </c>
      <c r="C1103" s="101" t="str">
        <f>'04_MOTOR_CÁLCULO'!C401</f>
        <v>Metalurgia dos metais preciosos</v>
      </c>
      <c r="D1103" s="14" t="str">
        <f>'04_MOTOR_CÁLCULO'!D401</f>
        <v>METALURGIA</v>
      </c>
      <c r="E1103" s="78" t="str">
        <f>'04_MOTOR_CÁLCULO'!N401</f>
        <v>CNAE-STG</v>
      </c>
      <c r="F1103" s="45">
        <f>'04_MOTOR_CÁLCULO'!K401</f>
        <v>1.1499999999999999</v>
      </c>
      <c r="G1103" s="46">
        <f>'04_MOTOR_CÁLCULO'!K401-1</f>
        <v>0.14999999999999991</v>
      </c>
      <c r="H1103" s="47" t="str">
        <f>'04_MOTOR_CÁLCULO'!M401</f>
        <v>Alto</v>
      </c>
    </row>
    <row r="1104" spans="1:8" ht="13.5" customHeight="1" x14ac:dyDescent="0.25">
      <c r="A1104" s="24" t="str">
        <f>'04_MOTOR_CÁLCULO'!A402</f>
        <v>2443-1/00</v>
      </c>
      <c r="B1104" s="38" t="str">
        <f>'04_MOTOR_CÁLCULO'!B402</f>
        <v>C</v>
      </c>
      <c r="C1104" s="100" t="str">
        <f>'04_MOTOR_CÁLCULO'!C402</f>
        <v>Metalurgia do cobre</v>
      </c>
      <c r="D1104" s="25" t="str">
        <f>'04_MOTOR_CÁLCULO'!D402</f>
        <v>METALURGIA</v>
      </c>
      <c r="E1104" s="78" t="str">
        <f>'04_MOTOR_CÁLCULO'!N402</f>
        <v>CNAE-STG</v>
      </c>
      <c r="F1104" s="45">
        <f>'04_MOTOR_CÁLCULO'!K402</f>
        <v>1.1499999999999999</v>
      </c>
      <c r="G1104" s="46">
        <f>'04_MOTOR_CÁLCULO'!K402-1</f>
        <v>0.14999999999999991</v>
      </c>
      <c r="H1104" s="47" t="str">
        <f>'04_MOTOR_CÁLCULO'!M402</f>
        <v>Alto</v>
      </c>
    </row>
    <row r="1105" spans="1:8" ht="13.5" customHeight="1" x14ac:dyDescent="0.25">
      <c r="A1105" s="13" t="str">
        <f>'04_MOTOR_CÁLCULO'!A403</f>
        <v>2449-1/01</v>
      </c>
      <c r="B1105" s="49" t="str">
        <f>'04_MOTOR_CÁLCULO'!B403</f>
        <v>C</v>
      </c>
      <c r="C1105" s="101" t="str">
        <f>'04_MOTOR_CÁLCULO'!C403</f>
        <v>Produção de zinco em formas primárias</v>
      </c>
      <c r="D1105" s="14" t="str">
        <f>'04_MOTOR_CÁLCULO'!D403</f>
        <v>METALURGIA</v>
      </c>
      <c r="E1105" s="78" t="str">
        <f>'04_MOTOR_CÁLCULO'!N403</f>
        <v>CNAE-STG</v>
      </c>
      <c r="F1105" s="45">
        <f>'04_MOTOR_CÁLCULO'!K403</f>
        <v>1.1499999999999999</v>
      </c>
      <c r="G1105" s="46">
        <f>'04_MOTOR_CÁLCULO'!K403-1</f>
        <v>0.14999999999999991</v>
      </c>
      <c r="H1105" s="47" t="str">
        <f>'04_MOTOR_CÁLCULO'!M403</f>
        <v>Alto</v>
      </c>
    </row>
    <row r="1106" spans="1:8" ht="13.5" customHeight="1" x14ac:dyDescent="0.25">
      <c r="A1106" s="24" t="str">
        <f>'04_MOTOR_CÁLCULO'!A404</f>
        <v>2449-1/02</v>
      </c>
      <c r="B1106" s="38" t="str">
        <f>'04_MOTOR_CÁLCULO'!B404</f>
        <v>C</v>
      </c>
      <c r="C1106" s="100" t="str">
        <f>'04_MOTOR_CÁLCULO'!C404</f>
        <v>Produção de laminados de zinco</v>
      </c>
      <c r="D1106" s="25" t="str">
        <f>'04_MOTOR_CÁLCULO'!D404</f>
        <v>METALURGIA</v>
      </c>
      <c r="E1106" s="78" t="str">
        <f>'04_MOTOR_CÁLCULO'!N404</f>
        <v>CNAE-STG</v>
      </c>
      <c r="F1106" s="45">
        <f>'04_MOTOR_CÁLCULO'!K404</f>
        <v>1.1499999999999999</v>
      </c>
      <c r="G1106" s="46">
        <f>'04_MOTOR_CÁLCULO'!K404-1</f>
        <v>0.14999999999999991</v>
      </c>
      <c r="H1106" s="47" t="str">
        <f>'04_MOTOR_CÁLCULO'!M404</f>
        <v>Alto</v>
      </c>
    </row>
    <row r="1107" spans="1:8" ht="13.5" customHeight="1" x14ac:dyDescent="0.25">
      <c r="A1107" s="13" t="str">
        <f>'04_MOTOR_CÁLCULO'!A405</f>
        <v>2449-1/03</v>
      </c>
      <c r="B1107" s="49" t="str">
        <f>'04_MOTOR_CÁLCULO'!B405</f>
        <v>C</v>
      </c>
      <c r="C1107" s="101" t="str">
        <f>'04_MOTOR_CÁLCULO'!C405</f>
        <v>Fabricação de ânodos para galvanoplastia</v>
      </c>
      <c r="D1107" s="14" t="str">
        <f>'04_MOTOR_CÁLCULO'!D405</f>
        <v>METALURGIA</v>
      </c>
      <c r="E1107" s="78" t="str">
        <f>'04_MOTOR_CÁLCULO'!N405</f>
        <v>CNAE-STG</v>
      </c>
      <c r="F1107" s="45">
        <f>'04_MOTOR_CÁLCULO'!K405</f>
        <v>1.1499999999999999</v>
      </c>
      <c r="G1107" s="46">
        <f>'04_MOTOR_CÁLCULO'!K405-1</f>
        <v>0.14999999999999991</v>
      </c>
      <c r="H1107" s="47" t="str">
        <f>'04_MOTOR_CÁLCULO'!M405</f>
        <v>Alto</v>
      </c>
    </row>
    <row r="1108" spans="1:8" ht="13.5" customHeight="1" x14ac:dyDescent="0.25">
      <c r="A1108" s="24" t="str">
        <f>'04_MOTOR_CÁLCULO'!A406</f>
        <v>2449-1/99</v>
      </c>
      <c r="B1108" s="38" t="str">
        <f>'04_MOTOR_CÁLCULO'!B406</f>
        <v>C</v>
      </c>
      <c r="C1108" s="100" t="str">
        <f>'04_MOTOR_CÁLCULO'!C406</f>
        <v>Metalurgia de outros metais não ferrosos e suas ligas não especificados anteriormente</v>
      </c>
      <c r="D1108" s="25" t="str">
        <f>'04_MOTOR_CÁLCULO'!D406</f>
        <v>METALURGIA</v>
      </c>
      <c r="E1108" s="78" t="str">
        <f>'04_MOTOR_CÁLCULO'!N406</f>
        <v>CNAE-STG</v>
      </c>
      <c r="F1108" s="45">
        <f>'04_MOTOR_CÁLCULO'!K406</f>
        <v>1.1499999999999999</v>
      </c>
      <c r="G1108" s="46">
        <f>'04_MOTOR_CÁLCULO'!K406-1</f>
        <v>0.14999999999999991</v>
      </c>
      <c r="H1108" s="47" t="str">
        <f>'04_MOTOR_CÁLCULO'!M406</f>
        <v>Alto</v>
      </c>
    </row>
    <row r="1109" spans="1:8" ht="13.5" customHeight="1" x14ac:dyDescent="0.25">
      <c r="A1109" s="13" t="str">
        <f>'04_MOTOR_CÁLCULO'!A407</f>
        <v>2451-2/00</v>
      </c>
      <c r="B1109" s="49" t="str">
        <f>'04_MOTOR_CÁLCULO'!B407</f>
        <v>C</v>
      </c>
      <c r="C1109" s="101" t="str">
        <f>'04_MOTOR_CÁLCULO'!C407</f>
        <v>Fundição de ferro e aço</v>
      </c>
      <c r="D1109" s="14" t="str">
        <f>'04_MOTOR_CÁLCULO'!D407</f>
        <v>METALURGIA</v>
      </c>
      <c r="E1109" s="78" t="str">
        <f>'04_MOTOR_CÁLCULO'!N407</f>
        <v>CNAE-STG</v>
      </c>
      <c r="F1109" s="45">
        <f>'04_MOTOR_CÁLCULO'!K407</f>
        <v>1.1499999999999999</v>
      </c>
      <c r="G1109" s="46">
        <f>'04_MOTOR_CÁLCULO'!K407-1</f>
        <v>0.14999999999999991</v>
      </c>
      <c r="H1109" s="47" t="str">
        <f>'04_MOTOR_CÁLCULO'!M407</f>
        <v>Alto</v>
      </c>
    </row>
    <row r="1110" spans="1:8" ht="13.5" customHeight="1" x14ac:dyDescent="0.25">
      <c r="A1110" s="24" t="str">
        <f>'04_MOTOR_CÁLCULO'!A408</f>
        <v>2452-1/00</v>
      </c>
      <c r="B1110" s="38" t="str">
        <f>'04_MOTOR_CÁLCULO'!B408</f>
        <v>C</v>
      </c>
      <c r="C1110" s="100" t="str">
        <f>'04_MOTOR_CÁLCULO'!C408</f>
        <v>Fundição de metais não ferrosos e suas ligas</v>
      </c>
      <c r="D1110" s="25" t="str">
        <f>'04_MOTOR_CÁLCULO'!D408</f>
        <v>METALURGIA</v>
      </c>
      <c r="E1110" s="78" t="str">
        <f>'04_MOTOR_CÁLCULO'!N408</f>
        <v>CNAE-STG</v>
      </c>
      <c r="F1110" s="45">
        <f>'04_MOTOR_CÁLCULO'!K408</f>
        <v>1.1499999999999999</v>
      </c>
      <c r="G1110" s="46">
        <f>'04_MOTOR_CÁLCULO'!K408-1</f>
        <v>0.14999999999999991</v>
      </c>
      <c r="H1110" s="47" t="str">
        <f>'04_MOTOR_CÁLCULO'!M408</f>
        <v>Alto</v>
      </c>
    </row>
    <row r="1111" spans="1:8" ht="13.5" customHeight="1" x14ac:dyDescent="0.25">
      <c r="A1111" s="13" t="str">
        <f>'04_MOTOR_CÁLCULO'!A409</f>
        <v>2511-0/00</v>
      </c>
      <c r="B1111" s="49" t="str">
        <f>'04_MOTOR_CÁLCULO'!B409</f>
        <v>C</v>
      </c>
      <c r="C1111" s="101" t="str">
        <f>'04_MOTOR_CÁLCULO'!C409</f>
        <v>Fabricação de estruturas metálicas</v>
      </c>
      <c r="D1111" s="14" t="str">
        <f>'04_MOTOR_CÁLCULO'!D409</f>
        <v>FABRICAÇÃO DE PR</v>
      </c>
      <c r="E1111" s="78" t="str">
        <f>'04_MOTOR_CÁLCULO'!N409</f>
        <v>CNAE-STG</v>
      </c>
      <c r="F1111" s="45">
        <f>'04_MOTOR_CÁLCULO'!K409</f>
        <v>1.1499999999999999</v>
      </c>
      <c r="G1111" s="46">
        <f>'04_MOTOR_CÁLCULO'!K409-1</f>
        <v>0.14999999999999991</v>
      </c>
      <c r="H1111" s="47" t="str">
        <f>'04_MOTOR_CÁLCULO'!M409</f>
        <v>Alto</v>
      </c>
    </row>
    <row r="1112" spans="1:8" ht="13.5" customHeight="1" x14ac:dyDescent="0.25">
      <c r="A1112" s="24" t="str">
        <f>'04_MOTOR_CÁLCULO'!A410</f>
        <v>2512-8/00</v>
      </c>
      <c r="B1112" s="38" t="str">
        <f>'04_MOTOR_CÁLCULO'!B410</f>
        <v>C</v>
      </c>
      <c r="C1112" s="100" t="str">
        <f>'04_MOTOR_CÁLCULO'!C410</f>
        <v>Fabricação de esquadrias de metal</v>
      </c>
      <c r="D1112" s="25" t="str">
        <f>'04_MOTOR_CÁLCULO'!D410</f>
        <v>FABRICAÇÃO DE PR</v>
      </c>
      <c r="E1112" s="78" t="str">
        <f>'04_MOTOR_CÁLCULO'!N410</f>
        <v>CNAE-STG</v>
      </c>
      <c r="F1112" s="45">
        <f>'04_MOTOR_CÁLCULO'!K410</f>
        <v>1.1499999999999999</v>
      </c>
      <c r="G1112" s="46">
        <f>'04_MOTOR_CÁLCULO'!K410-1</f>
        <v>0.14999999999999991</v>
      </c>
      <c r="H1112" s="47" t="str">
        <f>'04_MOTOR_CÁLCULO'!M410</f>
        <v>Alto</v>
      </c>
    </row>
    <row r="1113" spans="1:8" ht="13.5" customHeight="1" x14ac:dyDescent="0.25">
      <c r="A1113" s="13" t="str">
        <f>'04_MOTOR_CÁLCULO'!A411</f>
        <v>2513-6/00</v>
      </c>
      <c r="B1113" s="49" t="str">
        <f>'04_MOTOR_CÁLCULO'!B411</f>
        <v>C</v>
      </c>
      <c r="C1113" s="101" t="str">
        <f>'04_MOTOR_CÁLCULO'!C411</f>
        <v>Fabricação de obras de caldeiraria pesada</v>
      </c>
      <c r="D1113" s="14" t="str">
        <f>'04_MOTOR_CÁLCULO'!D411</f>
        <v>FABRICAÇÃO DE PR</v>
      </c>
      <c r="E1113" s="78" t="str">
        <f>'04_MOTOR_CÁLCULO'!N411</f>
        <v>CNAE-STG</v>
      </c>
      <c r="F1113" s="45">
        <f>'04_MOTOR_CÁLCULO'!K411</f>
        <v>1.1499999999999999</v>
      </c>
      <c r="G1113" s="46">
        <f>'04_MOTOR_CÁLCULO'!K411-1</f>
        <v>0.14999999999999991</v>
      </c>
      <c r="H1113" s="47" t="str">
        <f>'04_MOTOR_CÁLCULO'!M411</f>
        <v>Alto</v>
      </c>
    </row>
    <row r="1114" spans="1:8" ht="13.5" customHeight="1" x14ac:dyDescent="0.25">
      <c r="A1114" s="24" t="str">
        <f>'04_MOTOR_CÁLCULO'!A412</f>
        <v>2521-7/00</v>
      </c>
      <c r="B1114" s="38" t="str">
        <f>'04_MOTOR_CÁLCULO'!B412</f>
        <v>C</v>
      </c>
      <c r="C1114" s="100" t="str">
        <f>'04_MOTOR_CÁLCULO'!C412</f>
        <v>Fabricação de tanques, reservatórios metálicos e caldeiras para aquecimento central</v>
      </c>
      <c r="D1114" s="25" t="str">
        <f>'04_MOTOR_CÁLCULO'!D412</f>
        <v>FABRICAÇÃO DE PR</v>
      </c>
      <c r="E1114" s="78" t="str">
        <f>'04_MOTOR_CÁLCULO'!N412</f>
        <v>CNAE-STG</v>
      </c>
      <c r="F1114" s="45">
        <f>'04_MOTOR_CÁLCULO'!K412</f>
        <v>1.1499999999999999</v>
      </c>
      <c r="G1114" s="46">
        <f>'04_MOTOR_CÁLCULO'!K412-1</f>
        <v>0.14999999999999991</v>
      </c>
      <c r="H1114" s="47" t="str">
        <f>'04_MOTOR_CÁLCULO'!M412</f>
        <v>Alto</v>
      </c>
    </row>
    <row r="1115" spans="1:8" ht="13.5" customHeight="1" x14ac:dyDescent="0.25">
      <c r="A1115" s="13" t="str">
        <f>'04_MOTOR_CÁLCULO'!A413</f>
        <v>2522-5/00</v>
      </c>
      <c r="B1115" s="49" t="str">
        <f>'04_MOTOR_CÁLCULO'!B413</f>
        <v>C</v>
      </c>
      <c r="C1115" s="101" t="str">
        <f>'04_MOTOR_CÁLCULO'!C413</f>
        <v>Fabricação de caldeiras geradoras de vapor, exceto para aquecimento central e para veículos</v>
      </c>
      <c r="D1115" s="14" t="str">
        <f>'04_MOTOR_CÁLCULO'!D413</f>
        <v>FABRICAÇÃO DE PR</v>
      </c>
      <c r="E1115" s="78" t="str">
        <f>'04_MOTOR_CÁLCULO'!N413</f>
        <v>CNAE-STG</v>
      </c>
      <c r="F1115" s="45">
        <f>'04_MOTOR_CÁLCULO'!K413</f>
        <v>1.1499999999999999</v>
      </c>
      <c r="G1115" s="46">
        <f>'04_MOTOR_CÁLCULO'!K413-1</f>
        <v>0.14999999999999991</v>
      </c>
      <c r="H1115" s="47" t="str">
        <f>'04_MOTOR_CÁLCULO'!M413</f>
        <v>Alto</v>
      </c>
    </row>
    <row r="1116" spans="1:8" ht="13.5" customHeight="1" x14ac:dyDescent="0.25">
      <c r="A1116" s="24" t="str">
        <f>'04_MOTOR_CÁLCULO'!A414</f>
        <v>2531-4/01</v>
      </c>
      <c r="B1116" s="38" t="str">
        <f>'04_MOTOR_CÁLCULO'!B414</f>
        <v>C</v>
      </c>
      <c r="C1116" s="100" t="str">
        <f>'04_MOTOR_CÁLCULO'!C414</f>
        <v>Produção de forjados de aço</v>
      </c>
      <c r="D1116" s="25" t="str">
        <f>'04_MOTOR_CÁLCULO'!D414</f>
        <v>FABRICAÇÃO DE PR</v>
      </c>
      <c r="E1116" s="78" t="str">
        <f>'04_MOTOR_CÁLCULO'!N414</f>
        <v>CNAE-STG</v>
      </c>
      <c r="F1116" s="45">
        <f>'04_MOTOR_CÁLCULO'!K414</f>
        <v>1.1499999999999999</v>
      </c>
      <c r="G1116" s="46">
        <f>'04_MOTOR_CÁLCULO'!K414-1</f>
        <v>0.14999999999999991</v>
      </c>
      <c r="H1116" s="47" t="str">
        <f>'04_MOTOR_CÁLCULO'!M414</f>
        <v>Alto</v>
      </c>
    </row>
    <row r="1117" spans="1:8" ht="13.5" customHeight="1" x14ac:dyDescent="0.25">
      <c r="A1117" s="13" t="str">
        <f>'04_MOTOR_CÁLCULO'!A415</f>
        <v>2531-4/02</v>
      </c>
      <c r="B1117" s="49" t="str">
        <f>'04_MOTOR_CÁLCULO'!B415</f>
        <v>C</v>
      </c>
      <c r="C1117" s="101" t="str">
        <f>'04_MOTOR_CÁLCULO'!C415</f>
        <v>Produção de forjados de metais não ferrosos e suas ligas</v>
      </c>
      <c r="D1117" s="14" t="str">
        <f>'04_MOTOR_CÁLCULO'!D415</f>
        <v>FABRICAÇÃO DE PR</v>
      </c>
      <c r="E1117" s="78" t="str">
        <f>'04_MOTOR_CÁLCULO'!N415</f>
        <v>CNAE-STG</v>
      </c>
      <c r="F1117" s="45">
        <f>'04_MOTOR_CÁLCULO'!K415</f>
        <v>1.1499999999999999</v>
      </c>
      <c r="G1117" s="46">
        <f>'04_MOTOR_CÁLCULO'!K415-1</f>
        <v>0.14999999999999991</v>
      </c>
      <c r="H1117" s="47" t="str">
        <f>'04_MOTOR_CÁLCULO'!M415</f>
        <v>Alto</v>
      </c>
    </row>
    <row r="1118" spans="1:8" ht="13.5" customHeight="1" x14ac:dyDescent="0.25">
      <c r="A1118" s="24" t="str">
        <f>'04_MOTOR_CÁLCULO'!A416</f>
        <v>2532-2/01</v>
      </c>
      <c r="B1118" s="38" t="str">
        <f>'04_MOTOR_CÁLCULO'!B416</f>
        <v>C</v>
      </c>
      <c r="C1118" s="100" t="str">
        <f>'04_MOTOR_CÁLCULO'!C416</f>
        <v>Produção de artefatos estampados de metal</v>
      </c>
      <c r="D1118" s="25" t="str">
        <f>'04_MOTOR_CÁLCULO'!D416</f>
        <v>FABRICAÇÃO DE PR</v>
      </c>
      <c r="E1118" s="78" t="str">
        <f>'04_MOTOR_CÁLCULO'!N416</f>
        <v>CNAE-STG</v>
      </c>
      <c r="F1118" s="45">
        <f>'04_MOTOR_CÁLCULO'!K416</f>
        <v>1.1499999999999999</v>
      </c>
      <c r="G1118" s="46">
        <f>'04_MOTOR_CÁLCULO'!K416-1</f>
        <v>0.14999999999999991</v>
      </c>
      <c r="H1118" s="47" t="str">
        <f>'04_MOTOR_CÁLCULO'!M416</f>
        <v>Alto</v>
      </c>
    </row>
    <row r="1119" spans="1:8" ht="13.5" customHeight="1" x14ac:dyDescent="0.25">
      <c r="A1119" s="13" t="str">
        <f>'04_MOTOR_CÁLCULO'!A417</f>
        <v>2532-2/02</v>
      </c>
      <c r="B1119" s="49" t="str">
        <f>'04_MOTOR_CÁLCULO'!B417</f>
        <v>C</v>
      </c>
      <c r="C1119" s="101" t="str">
        <f>'04_MOTOR_CÁLCULO'!C417</f>
        <v>Metalurgia do pó</v>
      </c>
      <c r="D1119" s="14" t="str">
        <f>'04_MOTOR_CÁLCULO'!D417</f>
        <v>FABRICAÇÃO DE PR</v>
      </c>
      <c r="E1119" s="78" t="str">
        <f>'04_MOTOR_CÁLCULO'!N417</f>
        <v>CNAE-STG</v>
      </c>
      <c r="F1119" s="45">
        <f>'04_MOTOR_CÁLCULO'!K417</f>
        <v>1.1499999999999999</v>
      </c>
      <c r="G1119" s="46">
        <f>'04_MOTOR_CÁLCULO'!K417-1</f>
        <v>0.14999999999999991</v>
      </c>
      <c r="H1119" s="47" t="str">
        <f>'04_MOTOR_CÁLCULO'!M417</f>
        <v>Alto</v>
      </c>
    </row>
    <row r="1120" spans="1:8" ht="13.5" customHeight="1" x14ac:dyDescent="0.25">
      <c r="A1120" s="24" t="str">
        <f>'04_MOTOR_CÁLCULO'!A418</f>
        <v>2539-0/01</v>
      </c>
      <c r="B1120" s="38" t="str">
        <f>'04_MOTOR_CÁLCULO'!B418</f>
        <v>C</v>
      </c>
      <c r="C1120" s="100" t="str">
        <f>'04_MOTOR_CÁLCULO'!C418</f>
        <v>Serviços de usinagem, torneiria e solda</v>
      </c>
      <c r="D1120" s="25" t="str">
        <f>'04_MOTOR_CÁLCULO'!D418</f>
        <v>FABRICAÇÃO DE PR</v>
      </c>
      <c r="E1120" s="78" t="str">
        <f>'04_MOTOR_CÁLCULO'!N418</f>
        <v>CNAE-STG</v>
      </c>
      <c r="F1120" s="45">
        <f>'04_MOTOR_CÁLCULO'!K418</f>
        <v>1.1499999999999999</v>
      </c>
      <c r="G1120" s="46">
        <f>'04_MOTOR_CÁLCULO'!K418-1</f>
        <v>0.14999999999999991</v>
      </c>
      <c r="H1120" s="47" t="str">
        <f>'04_MOTOR_CÁLCULO'!M418</f>
        <v>Alto</v>
      </c>
    </row>
    <row r="1121" spans="1:8" ht="13.5" customHeight="1" x14ac:dyDescent="0.25">
      <c r="A1121" s="13" t="str">
        <f>'04_MOTOR_CÁLCULO'!A419</f>
        <v>2539-0/02</v>
      </c>
      <c r="B1121" s="49" t="str">
        <f>'04_MOTOR_CÁLCULO'!B419</f>
        <v>C</v>
      </c>
      <c r="C1121" s="101" t="str">
        <f>'04_MOTOR_CÁLCULO'!C419</f>
        <v>Serviços de tratamento e revestimento em metais</v>
      </c>
      <c r="D1121" s="14" t="str">
        <f>'04_MOTOR_CÁLCULO'!D419</f>
        <v>FABRICAÇÃO DE PR</v>
      </c>
      <c r="E1121" s="78" t="str">
        <f>'04_MOTOR_CÁLCULO'!N419</f>
        <v>CNAE-STG</v>
      </c>
      <c r="F1121" s="45">
        <f>'04_MOTOR_CÁLCULO'!K419</f>
        <v>1.1499999999999999</v>
      </c>
      <c r="G1121" s="46">
        <f>'04_MOTOR_CÁLCULO'!K419-1</f>
        <v>0.14999999999999991</v>
      </c>
      <c r="H1121" s="47" t="str">
        <f>'04_MOTOR_CÁLCULO'!M419</f>
        <v>Alto</v>
      </c>
    </row>
    <row r="1122" spans="1:8" ht="13.5" customHeight="1" x14ac:dyDescent="0.25">
      <c r="A1122" s="24" t="str">
        <f>'04_MOTOR_CÁLCULO'!A420</f>
        <v>2541-1/00</v>
      </c>
      <c r="B1122" s="38" t="str">
        <f>'04_MOTOR_CÁLCULO'!B420</f>
        <v>C</v>
      </c>
      <c r="C1122" s="100" t="str">
        <f>'04_MOTOR_CÁLCULO'!C420</f>
        <v>Fabricação de artigos de cutelaria</v>
      </c>
      <c r="D1122" s="25" t="str">
        <f>'04_MOTOR_CÁLCULO'!D420</f>
        <v>FABRICAÇÃO DE PR</v>
      </c>
      <c r="E1122" s="78" t="str">
        <f>'04_MOTOR_CÁLCULO'!N420</f>
        <v>CNAE-STG</v>
      </c>
      <c r="F1122" s="45">
        <f>'04_MOTOR_CÁLCULO'!K420</f>
        <v>1.1499999999999999</v>
      </c>
      <c r="G1122" s="46">
        <f>'04_MOTOR_CÁLCULO'!K420-1</f>
        <v>0.14999999999999991</v>
      </c>
      <c r="H1122" s="47" t="str">
        <f>'04_MOTOR_CÁLCULO'!M420</f>
        <v>Alto</v>
      </c>
    </row>
    <row r="1123" spans="1:8" ht="13.5" customHeight="1" x14ac:dyDescent="0.25">
      <c r="A1123" s="13" t="str">
        <f>'04_MOTOR_CÁLCULO'!A421</f>
        <v>2542-0/00</v>
      </c>
      <c r="B1123" s="49" t="str">
        <f>'04_MOTOR_CÁLCULO'!B421</f>
        <v>C</v>
      </c>
      <c r="C1123" s="101" t="str">
        <f>'04_MOTOR_CÁLCULO'!C421</f>
        <v>Fabricação de artigos de serralheria, exceto esquadrias</v>
      </c>
      <c r="D1123" s="14" t="str">
        <f>'04_MOTOR_CÁLCULO'!D421</f>
        <v>FABRICAÇÃO DE PR</v>
      </c>
      <c r="E1123" s="78" t="str">
        <f>'04_MOTOR_CÁLCULO'!N421</f>
        <v>CNAE-STG</v>
      </c>
      <c r="F1123" s="45">
        <f>'04_MOTOR_CÁLCULO'!K421</f>
        <v>1.1499999999999999</v>
      </c>
      <c r="G1123" s="46">
        <f>'04_MOTOR_CÁLCULO'!K421-1</f>
        <v>0.14999999999999991</v>
      </c>
      <c r="H1123" s="47" t="str">
        <f>'04_MOTOR_CÁLCULO'!M421</f>
        <v>Alto</v>
      </c>
    </row>
    <row r="1124" spans="1:8" ht="13.5" customHeight="1" x14ac:dyDescent="0.25">
      <c r="A1124" s="24" t="str">
        <f>'04_MOTOR_CÁLCULO'!A422</f>
        <v>2543-8/00</v>
      </c>
      <c r="B1124" s="38" t="str">
        <f>'04_MOTOR_CÁLCULO'!B422</f>
        <v>C</v>
      </c>
      <c r="C1124" s="100" t="str">
        <f>'04_MOTOR_CÁLCULO'!C422</f>
        <v>Fabricação de ferramentas</v>
      </c>
      <c r="D1124" s="25" t="str">
        <f>'04_MOTOR_CÁLCULO'!D422</f>
        <v>FABRICAÇÃO DE PR</v>
      </c>
      <c r="E1124" s="78" t="str">
        <f>'04_MOTOR_CÁLCULO'!N422</f>
        <v>CNAE-STG</v>
      </c>
      <c r="F1124" s="45">
        <f>'04_MOTOR_CÁLCULO'!K422</f>
        <v>1.1499999999999999</v>
      </c>
      <c r="G1124" s="46">
        <f>'04_MOTOR_CÁLCULO'!K422-1</f>
        <v>0.14999999999999991</v>
      </c>
      <c r="H1124" s="47" t="str">
        <f>'04_MOTOR_CÁLCULO'!M422</f>
        <v>Alto</v>
      </c>
    </row>
    <row r="1125" spans="1:8" ht="13.5" customHeight="1" x14ac:dyDescent="0.25">
      <c r="A1125" s="13" t="str">
        <f>'04_MOTOR_CÁLCULO'!A423</f>
        <v>2550-1/01</v>
      </c>
      <c r="B1125" s="49" t="str">
        <f>'04_MOTOR_CÁLCULO'!B423</f>
        <v>C</v>
      </c>
      <c r="C1125" s="101" t="str">
        <f>'04_MOTOR_CÁLCULO'!C423</f>
        <v>Fabricação de equipamento bélico pesado, exceto veículos militares de combate</v>
      </c>
      <c r="D1125" s="14" t="str">
        <f>'04_MOTOR_CÁLCULO'!D423</f>
        <v>FABRICAÇÃO DE PR</v>
      </c>
      <c r="E1125" s="78" t="str">
        <f>'04_MOTOR_CÁLCULO'!N423</f>
        <v>CNAE-STG</v>
      </c>
      <c r="F1125" s="45">
        <f>'04_MOTOR_CÁLCULO'!K423</f>
        <v>1.1499999999999999</v>
      </c>
      <c r="G1125" s="46">
        <f>'04_MOTOR_CÁLCULO'!K423-1</f>
        <v>0.14999999999999991</v>
      </c>
      <c r="H1125" s="47" t="str">
        <f>'04_MOTOR_CÁLCULO'!M423</f>
        <v>Alto</v>
      </c>
    </row>
    <row r="1126" spans="1:8" ht="13.5" customHeight="1" x14ac:dyDescent="0.25">
      <c r="A1126" s="24" t="str">
        <f>'04_MOTOR_CÁLCULO'!A424</f>
        <v>2550-1/02</v>
      </c>
      <c r="B1126" s="38" t="str">
        <f>'04_MOTOR_CÁLCULO'!B424</f>
        <v>C</v>
      </c>
      <c r="C1126" s="100" t="str">
        <f>'04_MOTOR_CÁLCULO'!C424</f>
        <v>Fabricação de armas de fogo, outras armas e munições</v>
      </c>
      <c r="D1126" s="25" t="str">
        <f>'04_MOTOR_CÁLCULO'!D424</f>
        <v>FABRICAÇÃO DE PR</v>
      </c>
      <c r="E1126" s="78" t="str">
        <f>'04_MOTOR_CÁLCULO'!N424</f>
        <v>CNAE-STG</v>
      </c>
      <c r="F1126" s="45">
        <f>'04_MOTOR_CÁLCULO'!K424</f>
        <v>1.1499999999999999</v>
      </c>
      <c r="G1126" s="46">
        <f>'04_MOTOR_CÁLCULO'!K424-1</f>
        <v>0.14999999999999991</v>
      </c>
      <c r="H1126" s="47" t="str">
        <f>'04_MOTOR_CÁLCULO'!M424</f>
        <v>Alto</v>
      </c>
    </row>
    <row r="1127" spans="1:8" ht="13.5" customHeight="1" x14ac:dyDescent="0.25">
      <c r="A1127" s="13" t="str">
        <f>'04_MOTOR_CÁLCULO'!A425</f>
        <v>2591-8/00</v>
      </c>
      <c r="B1127" s="49" t="str">
        <f>'04_MOTOR_CÁLCULO'!B425</f>
        <v>C</v>
      </c>
      <c r="C1127" s="101" t="str">
        <f>'04_MOTOR_CÁLCULO'!C425</f>
        <v>Fabricação de embalagens metálicas</v>
      </c>
      <c r="D1127" s="14" t="str">
        <f>'04_MOTOR_CÁLCULO'!D425</f>
        <v>FABRICAÇÃO DE PR</v>
      </c>
      <c r="E1127" s="78" t="str">
        <f>'04_MOTOR_CÁLCULO'!N425</f>
        <v>CNAE-STG</v>
      </c>
      <c r="F1127" s="45">
        <f>'04_MOTOR_CÁLCULO'!K425</f>
        <v>1.1499999999999999</v>
      </c>
      <c r="G1127" s="46">
        <f>'04_MOTOR_CÁLCULO'!K425-1</f>
        <v>0.14999999999999991</v>
      </c>
      <c r="H1127" s="47" t="str">
        <f>'04_MOTOR_CÁLCULO'!M425</f>
        <v>Alto</v>
      </c>
    </row>
    <row r="1128" spans="1:8" ht="13.5" customHeight="1" x14ac:dyDescent="0.25">
      <c r="A1128" s="24" t="str">
        <f>'04_MOTOR_CÁLCULO'!A426</f>
        <v>2592-6/01</v>
      </c>
      <c r="B1128" s="38" t="str">
        <f>'04_MOTOR_CÁLCULO'!B426</f>
        <v>C</v>
      </c>
      <c r="C1128" s="100" t="str">
        <f>'04_MOTOR_CÁLCULO'!C426</f>
        <v>Fabricação de produtos de trefilados de metal padronizados</v>
      </c>
      <c r="D1128" s="25" t="str">
        <f>'04_MOTOR_CÁLCULO'!D426</f>
        <v>FABRICAÇÃO DE PR</v>
      </c>
      <c r="E1128" s="78" t="str">
        <f>'04_MOTOR_CÁLCULO'!N426</f>
        <v>CNAE-STG</v>
      </c>
      <c r="F1128" s="45">
        <f>'04_MOTOR_CÁLCULO'!K426</f>
        <v>1.1499999999999999</v>
      </c>
      <c r="G1128" s="46">
        <f>'04_MOTOR_CÁLCULO'!K426-1</f>
        <v>0.14999999999999991</v>
      </c>
      <c r="H1128" s="47" t="str">
        <f>'04_MOTOR_CÁLCULO'!M426</f>
        <v>Alto</v>
      </c>
    </row>
    <row r="1129" spans="1:8" ht="13.5" customHeight="1" x14ac:dyDescent="0.25">
      <c r="A1129" s="13" t="str">
        <f>'04_MOTOR_CÁLCULO'!A427</f>
        <v>2592-6/02</v>
      </c>
      <c r="B1129" s="49" t="str">
        <f>'04_MOTOR_CÁLCULO'!B427</f>
        <v>C</v>
      </c>
      <c r="C1129" s="101" t="str">
        <f>'04_MOTOR_CÁLCULO'!C427</f>
        <v>Fabricação de produtos de trefilados de metal, exceto padronizados</v>
      </c>
      <c r="D1129" s="14" t="str">
        <f>'04_MOTOR_CÁLCULO'!D427</f>
        <v>FABRICAÇÃO DE PR</v>
      </c>
      <c r="E1129" s="78" t="str">
        <f>'04_MOTOR_CÁLCULO'!N427</f>
        <v>CNAE-STG</v>
      </c>
      <c r="F1129" s="45">
        <f>'04_MOTOR_CÁLCULO'!K427</f>
        <v>1.1499999999999999</v>
      </c>
      <c r="G1129" s="46">
        <f>'04_MOTOR_CÁLCULO'!K427-1</f>
        <v>0.14999999999999991</v>
      </c>
      <c r="H1129" s="47" t="str">
        <f>'04_MOTOR_CÁLCULO'!M427</f>
        <v>Alto</v>
      </c>
    </row>
    <row r="1130" spans="1:8" ht="13.5" customHeight="1" x14ac:dyDescent="0.25">
      <c r="A1130" s="24" t="str">
        <f>'04_MOTOR_CÁLCULO'!A428</f>
        <v>2593-4/00</v>
      </c>
      <c r="B1130" s="38" t="str">
        <f>'04_MOTOR_CÁLCULO'!B428</f>
        <v>C</v>
      </c>
      <c r="C1130" s="100" t="str">
        <f>'04_MOTOR_CÁLCULO'!C428</f>
        <v>Fabricação de artigos de metal para uso doméstico e pessoal</v>
      </c>
      <c r="D1130" s="25" t="str">
        <f>'04_MOTOR_CÁLCULO'!D428</f>
        <v>FABRICAÇÃO DE PR</v>
      </c>
      <c r="E1130" s="78" t="str">
        <f>'04_MOTOR_CÁLCULO'!N428</f>
        <v>CNAE-STG</v>
      </c>
      <c r="F1130" s="45">
        <f>'04_MOTOR_CÁLCULO'!K428</f>
        <v>1.1499999999999999</v>
      </c>
      <c r="G1130" s="46">
        <f>'04_MOTOR_CÁLCULO'!K428-1</f>
        <v>0.14999999999999991</v>
      </c>
      <c r="H1130" s="47" t="str">
        <f>'04_MOTOR_CÁLCULO'!M428</f>
        <v>Alto</v>
      </c>
    </row>
    <row r="1131" spans="1:8" ht="13.5" customHeight="1" x14ac:dyDescent="0.25">
      <c r="A1131" s="13" t="str">
        <f>'04_MOTOR_CÁLCULO'!A429</f>
        <v>2599-3/01</v>
      </c>
      <c r="B1131" s="49" t="str">
        <f>'04_MOTOR_CÁLCULO'!B429</f>
        <v>C</v>
      </c>
      <c r="C1131" s="101" t="str">
        <f>'04_MOTOR_CÁLCULO'!C429</f>
        <v>Serviços de confecção de armações metálicas para a construção</v>
      </c>
      <c r="D1131" s="14" t="str">
        <f>'04_MOTOR_CÁLCULO'!D429</f>
        <v>FABRICAÇÃO DE PR</v>
      </c>
      <c r="E1131" s="78" t="str">
        <f>'04_MOTOR_CÁLCULO'!N429</f>
        <v>CNAE-STG</v>
      </c>
      <c r="F1131" s="45">
        <f>'04_MOTOR_CÁLCULO'!K429</f>
        <v>1.1499999999999999</v>
      </c>
      <c r="G1131" s="46">
        <f>'04_MOTOR_CÁLCULO'!K429-1</f>
        <v>0.14999999999999991</v>
      </c>
      <c r="H1131" s="47" t="str">
        <f>'04_MOTOR_CÁLCULO'!M429</f>
        <v>Alto</v>
      </c>
    </row>
    <row r="1132" spans="1:8" ht="13.5" customHeight="1" x14ac:dyDescent="0.25">
      <c r="A1132" s="24" t="str">
        <f>'04_MOTOR_CÁLCULO'!A430</f>
        <v>2599-3/02</v>
      </c>
      <c r="B1132" s="38" t="str">
        <f>'04_MOTOR_CÁLCULO'!B430</f>
        <v>C</v>
      </c>
      <c r="C1132" s="100" t="str">
        <f>'04_MOTOR_CÁLCULO'!C430</f>
        <v>Serviço de corte e dobra de metais</v>
      </c>
      <c r="D1132" s="25" t="str">
        <f>'04_MOTOR_CÁLCULO'!D430</f>
        <v>FABRICAÇÃO DE PR</v>
      </c>
      <c r="E1132" s="78" t="str">
        <f>'04_MOTOR_CÁLCULO'!N430</f>
        <v>CNAE-STG</v>
      </c>
      <c r="F1132" s="45">
        <f>'04_MOTOR_CÁLCULO'!K430</f>
        <v>1.1499999999999999</v>
      </c>
      <c r="G1132" s="46">
        <f>'04_MOTOR_CÁLCULO'!K430-1</f>
        <v>0.14999999999999991</v>
      </c>
      <c r="H1132" s="47" t="str">
        <f>'04_MOTOR_CÁLCULO'!M430</f>
        <v>Alto</v>
      </c>
    </row>
    <row r="1133" spans="1:8" ht="13.5" customHeight="1" x14ac:dyDescent="0.25">
      <c r="A1133" s="13" t="str">
        <f>'04_MOTOR_CÁLCULO'!A431</f>
        <v>2599-3/99</v>
      </c>
      <c r="B1133" s="49" t="str">
        <f>'04_MOTOR_CÁLCULO'!B431</f>
        <v>C</v>
      </c>
      <c r="C1133" s="101" t="str">
        <f>'04_MOTOR_CÁLCULO'!C431</f>
        <v>Fabricação de outros produtos de metal não especificados anteriormente</v>
      </c>
      <c r="D1133" s="14" t="str">
        <f>'04_MOTOR_CÁLCULO'!D431</f>
        <v>FABRICAÇÃO DE PR</v>
      </c>
      <c r="E1133" s="78" t="str">
        <f>'04_MOTOR_CÁLCULO'!N431</f>
        <v>CNAE-STG</v>
      </c>
      <c r="F1133" s="45">
        <f>'04_MOTOR_CÁLCULO'!K431</f>
        <v>1.1499999999999999</v>
      </c>
      <c r="G1133" s="46">
        <f>'04_MOTOR_CÁLCULO'!K431-1</f>
        <v>0.14999999999999991</v>
      </c>
      <c r="H1133" s="47" t="str">
        <f>'04_MOTOR_CÁLCULO'!M431</f>
        <v>Alto</v>
      </c>
    </row>
    <row r="1134" spans="1:8" ht="13.5" customHeight="1" x14ac:dyDescent="0.25">
      <c r="A1134" s="24" t="str">
        <f>'04_MOTOR_CÁLCULO'!A482</f>
        <v>2851-8/00</v>
      </c>
      <c r="B1134" s="38" t="str">
        <f>'04_MOTOR_CÁLCULO'!B482</f>
        <v>C</v>
      </c>
      <c r="C1134" s="100" t="str">
        <f>'04_MOTOR_CÁLCULO'!C482</f>
        <v>Fabricação de máquinas e equipamentos para a prospecção e extração de petróleo, peças e acessórios</v>
      </c>
      <c r="D1134" s="25" t="str">
        <f>'04_MOTOR_CÁLCULO'!D482</f>
        <v>FABRICAÇÃO DE MÁ</v>
      </c>
      <c r="E1134" s="78" t="str">
        <f>'04_MOTOR_CÁLCULO'!N482</f>
        <v>CNAE-STG</v>
      </c>
      <c r="F1134" s="45">
        <f>'04_MOTOR_CÁLCULO'!K482</f>
        <v>1.1499999999999999</v>
      </c>
      <c r="G1134" s="46">
        <f>'04_MOTOR_CÁLCULO'!K482-1</f>
        <v>0.14999999999999991</v>
      </c>
      <c r="H1134" s="47" t="str">
        <f>'04_MOTOR_CÁLCULO'!M482</f>
        <v>Alto</v>
      </c>
    </row>
    <row r="1135" spans="1:8" ht="13.5" customHeight="1" x14ac:dyDescent="0.25">
      <c r="A1135" s="13" t="str">
        <f>'04_MOTOR_CÁLCULO'!A483</f>
        <v>2852-6/00</v>
      </c>
      <c r="B1135" s="49" t="str">
        <f>'04_MOTOR_CÁLCULO'!B483</f>
        <v>C</v>
      </c>
      <c r="C1135" s="101" t="str">
        <f>'04_MOTOR_CÁLCULO'!C483</f>
        <v>Fabricação de outras máquinas e equipamentos para uso na extração mineral, peças e acessórios, exceto na extração de petróleo</v>
      </c>
      <c r="D1135" s="14" t="str">
        <f>'04_MOTOR_CÁLCULO'!D483</f>
        <v>FABRICAÇÃO DE MÁ</v>
      </c>
      <c r="E1135" s="78" t="str">
        <f>'04_MOTOR_CÁLCULO'!N483</f>
        <v>CNAE-STG</v>
      </c>
      <c r="F1135" s="45">
        <f>'04_MOTOR_CÁLCULO'!K483</f>
        <v>1.1499999999999999</v>
      </c>
      <c r="G1135" s="46">
        <f>'04_MOTOR_CÁLCULO'!K483-1</f>
        <v>0.14999999999999991</v>
      </c>
      <c r="H1135" s="47" t="str">
        <f>'04_MOTOR_CÁLCULO'!M483</f>
        <v>Alto</v>
      </c>
    </row>
    <row r="1136" spans="1:8" ht="13.5" customHeight="1" x14ac:dyDescent="0.25">
      <c r="A1136" s="24" t="str">
        <f>'04_MOTOR_CÁLCULO'!A484</f>
        <v>2853-4/00</v>
      </c>
      <c r="B1136" s="38" t="str">
        <f>'04_MOTOR_CÁLCULO'!B484</f>
        <v>C</v>
      </c>
      <c r="C1136" s="100" t="str">
        <f>'04_MOTOR_CÁLCULO'!C484</f>
        <v>Fabricação de tratores, peças e acessórios, exceto agrícolas</v>
      </c>
      <c r="D1136" s="25" t="str">
        <f>'04_MOTOR_CÁLCULO'!D484</f>
        <v>FABRICAÇÃO DE MÁ</v>
      </c>
      <c r="E1136" s="78" t="str">
        <f>'04_MOTOR_CÁLCULO'!N484</f>
        <v>CNAE-STG</v>
      </c>
      <c r="F1136" s="45">
        <f>'04_MOTOR_CÁLCULO'!K484</f>
        <v>1.1499999999999999</v>
      </c>
      <c r="G1136" s="46">
        <f>'04_MOTOR_CÁLCULO'!K484-1</f>
        <v>0.14999999999999991</v>
      </c>
      <c r="H1136" s="47" t="str">
        <f>'04_MOTOR_CÁLCULO'!M484</f>
        <v>Alto</v>
      </c>
    </row>
    <row r="1137" spans="1:8" ht="13.5" customHeight="1" x14ac:dyDescent="0.25">
      <c r="A1137" s="13" t="str">
        <f>'04_MOTOR_CÁLCULO'!A485</f>
        <v>2854-2/00</v>
      </c>
      <c r="B1137" s="49" t="str">
        <f>'04_MOTOR_CÁLCULO'!B485</f>
        <v>C</v>
      </c>
      <c r="C1137" s="101" t="str">
        <f>'04_MOTOR_CÁLCULO'!C485</f>
        <v>Fabricação de máquinas e equipamentos para terraplenagem, pavimentação e construção, peças e acessórios, exceto tratores</v>
      </c>
      <c r="D1137" s="14" t="str">
        <f>'04_MOTOR_CÁLCULO'!D485</f>
        <v>FABRICAÇÃO DE MÁ</v>
      </c>
      <c r="E1137" s="78" t="str">
        <f>'04_MOTOR_CÁLCULO'!N485</f>
        <v>CNAE-STG</v>
      </c>
      <c r="F1137" s="45">
        <f>'04_MOTOR_CÁLCULO'!K485</f>
        <v>1.1499999999999999</v>
      </c>
      <c r="G1137" s="46">
        <f>'04_MOTOR_CÁLCULO'!K485-1</f>
        <v>0.14999999999999991</v>
      </c>
      <c r="H1137" s="47" t="str">
        <f>'04_MOTOR_CÁLCULO'!M485</f>
        <v>Alto</v>
      </c>
    </row>
    <row r="1138" spans="1:8" ht="13.5" customHeight="1" x14ac:dyDescent="0.25">
      <c r="A1138" s="24" t="str">
        <f>'04_MOTOR_CÁLCULO'!A509</f>
        <v>3011-3/01</v>
      </c>
      <c r="B1138" s="38" t="str">
        <f>'04_MOTOR_CÁLCULO'!B509</f>
        <v>C</v>
      </c>
      <c r="C1138" s="100" t="str">
        <f>'04_MOTOR_CÁLCULO'!C509</f>
        <v>Construção de embarcações de grande porte</v>
      </c>
      <c r="D1138" s="25" t="str">
        <f>'04_MOTOR_CÁLCULO'!D509</f>
        <v>FABRICAÇÃO DE OU</v>
      </c>
      <c r="E1138" s="78" t="str">
        <f>'04_MOTOR_CÁLCULO'!N509</f>
        <v>CNAE-STG</v>
      </c>
      <c r="F1138" s="45">
        <f>'04_MOTOR_CÁLCULO'!K509</f>
        <v>1.1499999999999999</v>
      </c>
      <c r="G1138" s="46">
        <f>'04_MOTOR_CÁLCULO'!K509-1</f>
        <v>0.14999999999999991</v>
      </c>
      <c r="H1138" s="47" t="str">
        <f>'04_MOTOR_CÁLCULO'!M509</f>
        <v>Alto</v>
      </c>
    </row>
    <row r="1139" spans="1:8" ht="13.5" customHeight="1" x14ac:dyDescent="0.25">
      <c r="A1139" s="13" t="str">
        <f>'04_MOTOR_CÁLCULO'!A510</f>
        <v>3011-3/02</v>
      </c>
      <c r="B1139" s="49" t="str">
        <f>'04_MOTOR_CÁLCULO'!B510</f>
        <v>C</v>
      </c>
      <c r="C1139" s="101" t="str">
        <f>'04_MOTOR_CÁLCULO'!C510</f>
        <v>Construção de embarcações para uso comercial e para usos especiais, exceto de grande porte</v>
      </c>
      <c r="D1139" s="14" t="str">
        <f>'04_MOTOR_CÁLCULO'!D510</f>
        <v>FABRICAÇÃO DE OU</v>
      </c>
      <c r="E1139" s="78" t="str">
        <f>'04_MOTOR_CÁLCULO'!N510</f>
        <v>CNAE-STG</v>
      </c>
      <c r="F1139" s="45">
        <f>'04_MOTOR_CÁLCULO'!K510</f>
        <v>1.1499999999999999</v>
      </c>
      <c r="G1139" s="46">
        <f>'04_MOTOR_CÁLCULO'!K510-1</f>
        <v>0.14999999999999991</v>
      </c>
      <c r="H1139" s="47" t="str">
        <f>'04_MOTOR_CÁLCULO'!M510</f>
        <v>Alto</v>
      </c>
    </row>
    <row r="1140" spans="1:8" ht="13.5" customHeight="1" x14ac:dyDescent="0.25">
      <c r="A1140" s="24" t="str">
        <f>'04_MOTOR_CÁLCULO'!A511</f>
        <v>3012-1/00</v>
      </c>
      <c r="B1140" s="38" t="str">
        <f>'04_MOTOR_CÁLCULO'!B511</f>
        <v>C</v>
      </c>
      <c r="C1140" s="100" t="str">
        <f>'04_MOTOR_CÁLCULO'!C511</f>
        <v>Construção de embarcações para esporte e lazer</v>
      </c>
      <c r="D1140" s="25" t="str">
        <f>'04_MOTOR_CÁLCULO'!D511</f>
        <v>FABRICAÇÃO DE OU</v>
      </c>
      <c r="E1140" s="78" t="str">
        <f>'04_MOTOR_CÁLCULO'!N511</f>
        <v>CNAE-STG</v>
      </c>
      <c r="F1140" s="45">
        <f>'04_MOTOR_CÁLCULO'!K511</f>
        <v>1.1499999999999999</v>
      </c>
      <c r="G1140" s="46">
        <f>'04_MOTOR_CÁLCULO'!K511-1</f>
        <v>0.14999999999999991</v>
      </c>
      <c r="H1140" s="47" t="str">
        <f>'04_MOTOR_CÁLCULO'!M511</f>
        <v>Alto</v>
      </c>
    </row>
    <row r="1141" spans="1:8" ht="13.5" customHeight="1" x14ac:dyDescent="0.25">
      <c r="A1141" s="13" t="str">
        <f>'04_MOTOR_CÁLCULO'!A512</f>
        <v>3031-8/00</v>
      </c>
      <c r="B1141" s="49" t="str">
        <f>'04_MOTOR_CÁLCULO'!B512</f>
        <v>C</v>
      </c>
      <c r="C1141" s="101" t="str">
        <f>'04_MOTOR_CÁLCULO'!C512</f>
        <v>Fabricação de locomotivas, vagões e outros materiais rodantes</v>
      </c>
      <c r="D1141" s="14" t="str">
        <f>'04_MOTOR_CÁLCULO'!D512</f>
        <v>FABRICAÇÃO DE OU</v>
      </c>
      <c r="E1141" s="78" t="str">
        <f>'04_MOTOR_CÁLCULO'!N512</f>
        <v>CNAE-STG</v>
      </c>
      <c r="F1141" s="45">
        <f>'04_MOTOR_CÁLCULO'!K512</f>
        <v>1.1499999999999999</v>
      </c>
      <c r="G1141" s="46">
        <f>'04_MOTOR_CÁLCULO'!K512-1</f>
        <v>0.14999999999999991</v>
      </c>
      <c r="H1141" s="47" t="str">
        <f>'04_MOTOR_CÁLCULO'!M512</f>
        <v>Alto</v>
      </c>
    </row>
    <row r="1142" spans="1:8" ht="13.5" customHeight="1" x14ac:dyDescent="0.25">
      <c r="A1142" s="24" t="str">
        <f>'04_MOTOR_CÁLCULO'!A513</f>
        <v>3032-6/00</v>
      </c>
      <c r="B1142" s="38" t="str">
        <f>'04_MOTOR_CÁLCULO'!B513</f>
        <v>C</v>
      </c>
      <c r="C1142" s="100" t="str">
        <f>'04_MOTOR_CÁLCULO'!C513</f>
        <v>Fabricação de peças e acessórios para veículos ferroviários</v>
      </c>
      <c r="D1142" s="25" t="str">
        <f>'04_MOTOR_CÁLCULO'!D513</f>
        <v>FABRICAÇÃO DE OU</v>
      </c>
      <c r="E1142" s="78" t="str">
        <f>'04_MOTOR_CÁLCULO'!N513</f>
        <v>CNAE-STG</v>
      </c>
      <c r="F1142" s="45">
        <f>'04_MOTOR_CÁLCULO'!K513</f>
        <v>1.1499999999999999</v>
      </c>
      <c r="G1142" s="46">
        <f>'04_MOTOR_CÁLCULO'!K513-1</f>
        <v>0.14999999999999991</v>
      </c>
      <c r="H1142" s="47" t="str">
        <f>'04_MOTOR_CÁLCULO'!M513</f>
        <v>Alto</v>
      </c>
    </row>
    <row r="1143" spans="1:8" ht="13.5" customHeight="1" x14ac:dyDescent="0.25">
      <c r="A1143" s="13" t="str">
        <f>'04_MOTOR_CÁLCULO'!A514</f>
        <v>3041-5/00</v>
      </c>
      <c r="B1143" s="49" t="str">
        <f>'04_MOTOR_CÁLCULO'!B514</f>
        <v>C</v>
      </c>
      <c r="C1143" s="101" t="str">
        <f>'04_MOTOR_CÁLCULO'!C514</f>
        <v>Fabricação de aeronaves</v>
      </c>
      <c r="D1143" s="14" t="str">
        <f>'04_MOTOR_CÁLCULO'!D514</f>
        <v>FABRICAÇÃO DE OU</v>
      </c>
      <c r="E1143" s="78" t="str">
        <f>'04_MOTOR_CÁLCULO'!N514</f>
        <v>CNAE-STG</v>
      </c>
      <c r="F1143" s="45">
        <f>'04_MOTOR_CÁLCULO'!K514</f>
        <v>1.1499999999999999</v>
      </c>
      <c r="G1143" s="46">
        <f>'04_MOTOR_CÁLCULO'!K514-1</f>
        <v>0.14999999999999991</v>
      </c>
      <c r="H1143" s="47" t="str">
        <f>'04_MOTOR_CÁLCULO'!M514</f>
        <v>Alto</v>
      </c>
    </row>
    <row r="1144" spans="1:8" ht="13.5" customHeight="1" x14ac:dyDescent="0.25">
      <c r="A1144" s="24" t="str">
        <f>'04_MOTOR_CÁLCULO'!A515</f>
        <v>3042-3/00</v>
      </c>
      <c r="B1144" s="38" t="str">
        <f>'04_MOTOR_CÁLCULO'!B515</f>
        <v>C</v>
      </c>
      <c r="C1144" s="100" t="str">
        <f>'04_MOTOR_CÁLCULO'!C515</f>
        <v>Fabricação de turbinas, motores e outros componentes e peças para aeronaves</v>
      </c>
      <c r="D1144" s="25" t="str">
        <f>'04_MOTOR_CÁLCULO'!D515</f>
        <v>FABRICAÇÃO DE OU</v>
      </c>
      <c r="E1144" s="78" t="str">
        <f>'04_MOTOR_CÁLCULO'!N515</f>
        <v>CNAE-STG</v>
      </c>
      <c r="F1144" s="45">
        <f>'04_MOTOR_CÁLCULO'!K515</f>
        <v>1.1499999999999999</v>
      </c>
      <c r="G1144" s="46">
        <f>'04_MOTOR_CÁLCULO'!K515-1</f>
        <v>0.14999999999999991</v>
      </c>
      <c r="H1144" s="47" t="str">
        <f>'04_MOTOR_CÁLCULO'!M515</f>
        <v>Alto</v>
      </c>
    </row>
    <row r="1145" spans="1:8" ht="13.5" customHeight="1" x14ac:dyDescent="0.25">
      <c r="A1145" s="13" t="str">
        <f>'04_MOTOR_CÁLCULO'!A516</f>
        <v>3050-4/00</v>
      </c>
      <c r="B1145" s="49" t="str">
        <f>'04_MOTOR_CÁLCULO'!B516</f>
        <v>C</v>
      </c>
      <c r="C1145" s="101" t="str">
        <f>'04_MOTOR_CÁLCULO'!C516</f>
        <v>Fabricação de veículos militares de combate</v>
      </c>
      <c r="D1145" s="14" t="str">
        <f>'04_MOTOR_CÁLCULO'!D516</f>
        <v>FABRICAÇÃO DE OU</v>
      </c>
      <c r="E1145" s="78" t="str">
        <f>'04_MOTOR_CÁLCULO'!N516</f>
        <v>CNAE-STG</v>
      </c>
      <c r="F1145" s="45">
        <f>'04_MOTOR_CÁLCULO'!K516</f>
        <v>1.1499999999999999</v>
      </c>
      <c r="G1145" s="46">
        <f>'04_MOTOR_CÁLCULO'!K516-1</f>
        <v>0.14999999999999991</v>
      </c>
      <c r="H1145" s="47" t="str">
        <f>'04_MOTOR_CÁLCULO'!M516</f>
        <v>Alto</v>
      </c>
    </row>
    <row r="1146" spans="1:8" ht="13.5" customHeight="1" x14ac:dyDescent="0.25">
      <c r="A1146" s="24" t="str">
        <f>'04_MOTOR_CÁLCULO'!A517</f>
        <v>3091-1/01</v>
      </c>
      <c r="B1146" s="38" t="str">
        <f>'04_MOTOR_CÁLCULO'!B517</f>
        <v>C</v>
      </c>
      <c r="C1146" s="100" t="str">
        <f>'04_MOTOR_CÁLCULO'!C517</f>
        <v>Fabricação de motocicletas</v>
      </c>
      <c r="D1146" s="25" t="str">
        <f>'04_MOTOR_CÁLCULO'!D517</f>
        <v>FABRICAÇÃO DE OU</v>
      </c>
      <c r="E1146" s="78" t="str">
        <f>'04_MOTOR_CÁLCULO'!N517</f>
        <v>CNAE-STG</v>
      </c>
      <c r="F1146" s="45">
        <f>'04_MOTOR_CÁLCULO'!K517</f>
        <v>1.1499999999999999</v>
      </c>
      <c r="G1146" s="46">
        <f>'04_MOTOR_CÁLCULO'!K517-1</f>
        <v>0.14999999999999991</v>
      </c>
      <c r="H1146" s="47" t="str">
        <f>'04_MOTOR_CÁLCULO'!M517</f>
        <v>Alto</v>
      </c>
    </row>
    <row r="1147" spans="1:8" ht="13.5" customHeight="1" x14ac:dyDescent="0.25">
      <c r="A1147" s="13" t="str">
        <f>'04_MOTOR_CÁLCULO'!A518</f>
        <v>3091-1/02</v>
      </c>
      <c r="B1147" s="49" t="str">
        <f>'04_MOTOR_CÁLCULO'!B518</f>
        <v>C</v>
      </c>
      <c r="C1147" s="101" t="str">
        <f>'04_MOTOR_CÁLCULO'!C518</f>
        <v>Fabricação de peças e acessórios para motocicletas</v>
      </c>
      <c r="D1147" s="14" t="str">
        <f>'04_MOTOR_CÁLCULO'!D518</f>
        <v>FABRICAÇÃO DE OU</v>
      </c>
      <c r="E1147" s="78" t="str">
        <f>'04_MOTOR_CÁLCULO'!N518</f>
        <v>CNAE-STG</v>
      </c>
      <c r="F1147" s="45">
        <f>'04_MOTOR_CÁLCULO'!K518</f>
        <v>1.1499999999999999</v>
      </c>
      <c r="G1147" s="46">
        <f>'04_MOTOR_CÁLCULO'!K518-1</f>
        <v>0.14999999999999991</v>
      </c>
      <c r="H1147" s="47" t="str">
        <f>'04_MOTOR_CÁLCULO'!M518</f>
        <v>Alto</v>
      </c>
    </row>
    <row r="1148" spans="1:8" ht="13.5" customHeight="1" x14ac:dyDescent="0.25">
      <c r="A1148" s="24" t="str">
        <f>'04_MOTOR_CÁLCULO'!A519</f>
        <v>3092-0/00</v>
      </c>
      <c r="B1148" s="38" t="str">
        <f>'04_MOTOR_CÁLCULO'!B519</f>
        <v>C</v>
      </c>
      <c r="C1148" s="100" t="str">
        <f>'04_MOTOR_CÁLCULO'!C519</f>
        <v>Fabricação de bicicletas e triciclos não motorizados, peças e acessórios</v>
      </c>
      <c r="D1148" s="25" t="str">
        <f>'04_MOTOR_CÁLCULO'!D519</f>
        <v>FABRICAÇÃO DE OU</v>
      </c>
      <c r="E1148" s="78" t="str">
        <f>'04_MOTOR_CÁLCULO'!N519</f>
        <v>CNAE-STG</v>
      </c>
      <c r="F1148" s="45">
        <f>'04_MOTOR_CÁLCULO'!K519</f>
        <v>1.1499999999999999</v>
      </c>
      <c r="G1148" s="46">
        <f>'04_MOTOR_CÁLCULO'!K519-1</f>
        <v>0.14999999999999991</v>
      </c>
      <c r="H1148" s="47" t="str">
        <f>'04_MOTOR_CÁLCULO'!M519</f>
        <v>Alto</v>
      </c>
    </row>
    <row r="1149" spans="1:8" ht="13.5" customHeight="1" x14ac:dyDescent="0.25">
      <c r="A1149" s="13" t="str">
        <f>'04_MOTOR_CÁLCULO'!A520</f>
        <v>3099-7/00</v>
      </c>
      <c r="B1149" s="49" t="str">
        <f>'04_MOTOR_CÁLCULO'!B520</f>
        <v>C</v>
      </c>
      <c r="C1149" s="101" t="str">
        <f>'04_MOTOR_CÁLCULO'!C520</f>
        <v>Fabricação de equipamentos de transporte não especificados anteriormente</v>
      </c>
      <c r="D1149" s="14" t="str">
        <f>'04_MOTOR_CÁLCULO'!D520</f>
        <v>FABRICAÇÃO DE OU</v>
      </c>
      <c r="E1149" s="78" t="str">
        <f>'04_MOTOR_CÁLCULO'!N520</f>
        <v>CNAE-STG</v>
      </c>
      <c r="F1149" s="45">
        <f>'04_MOTOR_CÁLCULO'!K520</f>
        <v>1.1499999999999999</v>
      </c>
      <c r="G1149" s="46">
        <f>'04_MOTOR_CÁLCULO'!K520-1</f>
        <v>0.14999999999999991</v>
      </c>
      <c r="H1149" s="47" t="str">
        <f>'04_MOTOR_CÁLCULO'!M520</f>
        <v>Alto</v>
      </c>
    </row>
    <row r="1150" spans="1:8" ht="13.5" customHeight="1" x14ac:dyDescent="0.25">
      <c r="A1150" s="24" t="str">
        <f>'04_MOTOR_CÁLCULO'!A592</f>
        <v>3511-5/01</v>
      </c>
      <c r="B1150" s="38" t="str">
        <f>'04_MOTOR_CÁLCULO'!B592</f>
        <v>D</v>
      </c>
      <c r="C1150" s="100" t="str">
        <f>'04_MOTOR_CÁLCULO'!C592</f>
        <v>Geração de energia elétrica</v>
      </c>
      <c r="D1150" s="25" t="str">
        <f>'04_MOTOR_CÁLCULO'!D592</f>
        <v>ELETRICIDADE, GÁ</v>
      </c>
      <c r="E1150" s="78" t="str">
        <f>'04_MOTOR_CÁLCULO'!N592</f>
        <v>CNAE-STG</v>
      </c>
      <c r="F1150" s="45">
        <f>'04_MOTOR_CÁLCULO'!K592</f>
        <v>1.1499999999999999</v>
      </c>
      <c r="G1150" s="46">
        <f>'04_MOTOR_CÁLCULO'!K592-1</f>
        <v>0.14999999999999991</v>
      </c>
      <c r="H1150" s="47" t="str">
        <f>'04_MOTOR_CÁLCULO'!M592</f>
        <v>Alto</v>
      </c>
    </row>
    <row r="1151" spans="1:8" ht="13.5" customHeight="1" x14ac:dyDescent="0.25">
      <c r="A1151" s="13" t="str">
        <f>'04_MOTOR_CÁLCULO'!A593</f>
        <v>3511-5/02</v>
      </c>
      <c r="B1151" s="49" t="str">
        <f>'04_MOTOR_CÁLCULO'!B593</f>
        <v>D</v>
      </c>
      <c r="C1151" s="101" t="str">
        <f>'04_MOTOR_CÁLCULO'!C593</f>
        <v>Atividades de coordenação e controle da operação da geração e transmissão de energia elétrica</v>
      </c>
      <c r="D1151" s="14" t="str">
        <f>'04_MOTOR_CÁLCULO'!D593</f>
        <v>ELETRICIDADE, GÁ</v>
      </c>
      <c r="E1151" s="78" t="str">
        <f>'04_MOTOR_CÁLCULO'!N593</f>
        <v>CNAE-STG</v>
      </c>
      <c r="F1151" s="45">
        <f>'04_MOTOR_CÁLCULO'!K593</f>
        <v>1.1499999999999999</v>
      </c>
      <c r="G1151" s="46">
        <f>'04_MOTOR_CÁLCULO'!K593-1</f>
        <v>0.14999999999999991</v>
      </c>
      <c r="H1151" s="47" t="str">
        <f>'04_MOTOR_CÁLCULO'!M593</f>
        <v>Alto</v>
      </c>
    </row>
    <row r="1152" spans="1:8" ht="13.5" customHeight="1" x14ac:dyDescent="0.25">
      <c r="A1152" s="24" t="str">
        <f>'04_MOTOR_CÁLCULO'!A594</f>
        <v>3512-3/00</v>
      </c>
      <c r="B1152" s="38" t="str">
        <f>'04_MOTOR_CÁLCULO'!B594</f>
        <v>D</v>
      </c>
      <c r="C1152" s="100" t="str">
        <f>'04_MOTOR_CÁLCULO'!C594</f>
        <v>Transmissão de energia elétrica</v>
      </c>
      <c r="D1152" s="25" t="str">
        <f>'04_MOTOR_CÁLCULO'!D594</f>
        <v>ELETRICIDADE, GÁ</v>
      </c>
      <c r="E1152" s="78" t="str">
        <f>'04_MOTOR_CÁLCULO'!N594</f>
        <v>CNAE-STG</v>
      </c>
      <c r="F1152" s="45">
        <f>'04_MOTOR_CÁLCULO'!K594</f>
        <v>1.1499999999999999</v>
      </c>
      <c r="G1152" s="46">
        <f>'04_MOTOR_CÁLCULO'!K594-1</f>
        <v>0.14999999999999991</v>
      </c>
      <c r="H1152" s="47" t="str">
        <f>'04_MOTOR_CÁLCULO'!M594</f>
        <v>Alto</v>
      </c>
    </row>
    <row r="1153" spans="1:8" ht="13.5" customHeight="1" x14ac:dyDescent="0.25">
      <c r="A1153" s="13" t="str">
        <f>'04_MOTOR_CÁLCULO'!A595</f>
        <v>3513-1/00</v>
      </c>
      <c r="B1153" s="49" t="str">
        <f>'04_MOTOR_CÁLCULO'!B595</f>
        <v>D</v>
      </c>
      <c r="C1153" s="101" t="str">
        <f>'04_MOTOR_CÁLCULO'!C595</f>
        <v>Comércio atacadista de energia elétrica</v>
      </c>
      <c r="D1153" s="14" t="str">
        <f>'04_MOTOR_CÁLCULO'!D595</f>
        <v>ELETRICIDADE, GÁ</v>
      </c>
      <c r="E1153" s="78" t="str">
        <f>'04_MOTOR_CÁLCULO'!N595</f>
        <v>CNAE-STG</v>
      </c>
      <c r="F1153" s="45">
        <f>'04_MOTOR_CÁLCULO'!K595</f>
        <v>1.1499999999999999</v>
      </c>
      <c r="G1153" s="46">
        <f>'04_MOTOR_CÁLCULO'!K595-1</f>
        <v>0.14999999999999991</v>
      </c>
      <c r="H1153" s="47" t="str">
        <f>'04_MOTOR_CÁLCULO'!M595</f>
        <v>Alto</v>
      </c>
    </row>
    <row r="1154" spans="1:8" ht="13.5" customHeight="1" x14ac:dyDescent="0.25">
      <c r="A1154" s="24" t="str">
        <f>'04_MOTOR_CÁLCULO'!A596</f>
        <v>3514-0/00</v>
      </c>
      <c r="B1154" s="38" t="str">
        <f>'04_MOTOR_CÁLCULO'!B596</f>
        <v>D</v>
      </c>
      <c r="C1154" s="100" t="str">
        <f>'04_MOTOR_CÁLCULO'!C596</f>
        <v>Distribuição de energia elétrica</v>
      </c>
      <c r="D1154" s="25" t="str">
        <f>'04_MOTOR_CÁLCULO'!D596</f>
        <v>ELETRICIDADE, GÁ</v>
      </c>
      <c r="E1154" s="78" t="str">
        <f>'04_MOTOR_CÁLCULO'!N596</f>
        <v>CNAE-STG</v>
      </c>
      <c r="F1154" s="45">
        <f>'04_MOTOR_CÁLCULO'!K596</f>
        <v>1.1499999999999999</v>
      </c>
      <c r="G1154" s="46">
        <f>'04_MOTOR_CÁLCULO'!K596-1</f>
        <v>0.14999999999999991</v>
      </c>
      <c r="H1154" s="47" t="str">
        <f>'04_MOTOR_CÁLCULO'!M596</f>
        <v>Alto</v>
      </c>
    </row>
    <row r="1155" spans="1:8" ht="13.5" customHeight="1" x14ac:dyDescent="0.25">
      <c r="A1155" s="13" t="str">
        <f>'04_MOTOR_CÁLCULO'!A597</f>
        <v>3520-4/01</v>
      </c>
      <c r="B1155" s="49" t="str">
        <f>'04_MOTOR_CÁLCULO'!B597</f>
        <v>D</v>
      </c>
      <c r="C1155" s="101" t="str">
        <f>'04_MOTOR_CÁLCULO'!C597</f>
        <v>Produção de gás; processamento de gás natural</v>
      </c>
      <c r="D1155" s="14" t="str">
        <f>'04_MOTOR_CÁLCULO'!D597</f>
        <v>ELETRICIDADE, GÁ</v>
      </c>
      <c r="E1155" s="78" t="str">
        <f>'04_MOTOR_CÁLCULO'!N597</f>
        <v>CNAE-STG</v>
      </c>
      <c r="F1155" s="45">
        <f>'04_MOTOR_CÁLCULO'!K597</f>
        <v>1.1499999999999999</v>
      </c>
      <c r="G1155" s="46">
        <f>'04_MOTOR_CÁLCULO'!K597-1</f>
        <v>0.14999999999999991</v>
      </c>
      <c r="H1155" s="47" t="str">
        <f>'04_MOTOR_CÁLCULO'!M597</f>
        <v>Alto</v>
      </c>
    </row>
    <row r="1156" spans="1:8" ht="13.5" customHeight="1" x14ac:dyDescent="0.25">
      <c r="A1156" s="24" t="str">
        <f>'04_MOTOR_CÁLCULO'!A598</f>
        <v>3520-4/02</v>
      </c>
      <c r="B1156" s="38" t="str">
        <f>'04_MOTOR_CÁLCULO'!B598</f>
        <v>D</v>
      </c>
      <c r="C1156" s="100" t="str">
        <f>'04_MOTOR_CÁLCULO'!C598</f>
        <v>Distribuição de combustíveis gasosos por redes urbanas</v>
      </c>
      <c r="D1156" s="25" t="str">
        <f>'04_MOTOR_CÁLCULO'!D598</f>
        <v>ELETRICIDADE, GÁ</v>
      </c>
      <c r="E1156" s="78" t="str">
        <f>'04_MOTOR_CÁLCULO'!N598</f>
        <v>CNAE-STG</v>
      </c>
      <c r="F1156" s="45">
        <f>'04_MOTOR_CÁLCULO'!K598</f>
        <v>1.1499999999999999</v>
      </c>
      <c r="G1156" s="46">
        <f>'04_MOTOR_CÁLCULO'!K598-1</f>
        <v>0.14999999999999991</v>
      </c>
      <c r="H1156" s="47" t="str">
        <f>'04_MOTOR_CÁLCULO'!M598</f>
        <v>Alto</v>
      </c>
    </row>
    <row r="1157" spans="1:8" ht="13.5" customHeight="1" x14ac:dyDescent="0.25">
      <c r="A1157" s="13" t="str">
        <f>'04_MOTOR_CÁLCULO'!A599</f>
        <v>3530-1/00</v>
      </c>
      <c r="B1157" s="49" t="str">
        <f>'04_MOTOR_CÁLCULO'!B599</f>
        <v>D</v>
      </c>
      <c r="C1157" s="101" t="str">
        <f>'04_MOTOR_CÁLCULO'!C599</f>
        <v>Produção e distribuição de vapor, água quente e ar condicionado</v>
      </c>
      <c r="D1157" s="14" t="str">
        <f>'04_MOTOR_CÁLCULO'!D599</f>
        <v>ELETRICIDADE, GÁ</v>
      </c>
      <c r="E1157" s="78" t="str">
        <f>'04_MOTOR_CÁLCULO'!N599</f>
        <v>CNAE-STG</v>
      </c>
      <c r="F1157" s="45">
        <f>'04_MOTOR_CÁLCULO'!K599</f>
        <v>1.1499999999999999</v>
      </c>
      <c r="G1157" s="46">
        <f>'04_MOTOR_CÁLCULO'!K599-1</f>
        <v>0.14999999999999991</v>
      </c>
      <c r="H1157" s="47" t="str">
        <f>'04_MOTOR_CÁLCULO'!M599</f>
        <v>Alto</v>
      </c>
    </row>
    <row r="1158" spans="1:8" ht="13.5" customHeight="1" x14ac:dyDescent="0.25">
      <c r="A1158" s="24" t="str">
        <f>'04_MOTOR_CÁLCULO'!A602</f>
        <v>3701-1/00</v>
      </c>
      <c r="B1158" s="38" t="str">
        <f>'04_MOTOR_CÁLCULO'!B602</f>
        <v>E</v>
      </c>
      <c r="C1158" s="100" t="str">
        <f>'04_MOTOR_CÁLCULO'!C602</f>
        <v>Gestão de redes de esgoto</v>
      </c>
      <c r="D1158" s="25" t="str">
        <f>'04_MOTOR_CÁLCULO'!D602</f>
        <v>ESGOTO E ATIVIDA</v>
      </c>
      <c r="E1158" s="78" t="str">
        <f>'04_MOTOR_CÁLCULO'!N602</f>
        <v>CNAE-STG</v>
      </c>
      <c r="F1158" s="45">
        <f>'04_MOTOR_CÁLCULO'!K602</f>
        <v>1.1499999999999999</v>
      </c>
      <c r="G1158" s="46">
        <f>'04_MOTOR_CÁLCULO'!K602-1</f>
        <v>0.14999999999999991</v>
      </c>
      <c r="H1158" s="47" t="str">
        <f>'04_MOTOR_CÁLCULO'!M602</f>
        <v>Alto</v>
      </c>
    </row>
    <row r="1159" spans="1:8" ht="13.5" customHeight="1" x14ac:dyDescent="0.25">
      <c r="A1159" s="13" t="str">
        <f>'04_MOTOR_CÁLCULO'!A603</f>
        <v>3702-9/00</v>
      </c>
      <c r="B1159" s="49" t="str">
        <f>'04_MOTOR_CÁLCULO'!B603</f>
        <v>E</v>
      </c>
      <c r="C1159" s="101" t="str">
        <f>'04_MOTOR_CÁLCULO'!C603</f>
        <v>Atividades relacionadas a esgoto, exceto a gestão de redes</v>
      </c>
      <c r="D1159" s="14" t="str">
        <f>'04_MOTOR_CÁLCULO'!D603</f>
        <v>ESGOTO E ATIVIDA</v>
      </c>
      <c r="E1159" s="78" t="str">
        <f>'04_MOTOR_CÁLCULO'!N603</f>
        <v>CNAE-STG</v>
      </c>
      <c r="F1159" s="45">
        <f>'04_MOTOR_CÁLCULO'!K603</f>
        <v>1.1499999999999999</v>
      </c>
      <c r="G1159" s="46">
        <f>'04_MOTOR_CÁLCULO'!K603-1</f>
        <v>0.14999999999999991</v>
      </c>
      <c r="H1159" s="47" t="str">
        <f>'04_MOTOR_CÁLCULO'!M603</f>
        <v>Alto</v>
      </c>
    </row>
    <row r="1160" spans="1:8" ht="13.5" customHeight="1" x14ac:dyDescent="0.25">
      <c r="A1160" s="24" t="str">
        <f>'04_MOTOR_CÁLCULO'!A604</f>
        <v>3811-4/00</v>
      </c>
      <c r="B1160" s="38" t="str">
        <f>'04_MOTOR_CÁLCULO'!B604</f>
        <v>E</v>
      </c>
      <c r="C1160" s="100" t="str">
        <f>'04_MOTOR_CÁLCULO'!C604</f>
        <v>Coleta de resíduos não perigosos</v>
      </c>
      <c r="D1160" s="25" t="str">
        <f>'04_MOTOR_CÁLCULO'!D604</f>
        <v>COLETA, TRATAMEN</v>
      </c>
      <c r="E1160" s="78" t="str">
        <f>'04_MOTOR_CÁLCULO'!N604</f>
        <v>CNAE-STG</v>
      </c>
      <c r="F1160" s="45">
        <f>'04_MOTOR_CÁLCULO'!K604</f>
        <v>1.1499999999999999</v>
      </c>
      <c r="G1160" s="46">
        <f>'04_MOTOR_CÁLCULO'!K604-1</f>
        <v>0.14999999999999991</v>
      </c>
      <c r="H1160" s="47" t="str">
        <f>'04_MOTOR_CÁLCULO'!M604</f>
        <v>Alto</v>
      </c>
    </row>
    <row r="1161" spans="1:8" ht="13.5" customHeight="1" x14ac:dyDescent="0.25">
      <c r="A1161" s="13" t="str">
        <f>'04_MOTOR_CÁLCULO'!A605</f>
        <v>3812-2/00</v>
      </c>
      <c r="B1161" s="49" t="str">
        <f>'04_MOTOR_CÁLCULO'!B605</f>
        <v>E</v>
      </c>
      <c r="C1161" s="101" t="str">
        <f>'04_MOTOR_CÁLCULO'!C605</f>
        <v>Coleta de resíduos perigosos</v>
      </c>
      <c r="D1161" s="14" t="str">
        <f>'04_MOTOR_CÁLCULO'!D605</f>
        <v>COLETA, TRATAMEN</v>
      </c>
      <c r="E1161" s="78" t="str">
        <f>'04_MOTOR_CÁLCULO'!N605</f>
        <v>CNAE-STG</v>
      </c>
      <c r="F1161" s="45">
        <f>'04_MOTOR_CÁLCULO'!K605</f>
        <v>1.1499999999999999</v>
      </c>
      <c r="G1161" s="46">
        <f>'04_MOTOR_CÁLCULO'!K605-1</f>
        <v>0.14999999999999991</v>
      </c>
      <c r="H1161" s="47" t="str">
        <f>'04_MOTOR_CÁLCULO'!M605</f>
        <v>Alto</v>
      </c>
    </row>
    <row r="1162" spans="1:8" ht="13.5" customHeight="1" x14ac:dyDescent="0.25">
      <c r="A1162" s="24" t="str">
        <f>'04_MOTOR_CÁLCULO'!A606</f>
        <v>3821-1/00</v>
      </c>
      <c r="B1162" s="38" t="str">
        <f>'04_MOTOR_CÁLCULO'!B606</f>
        <v>E</v>
      </c>
      <c r="C1162" s="100" t="str">
        <f>'04_MOTOR_CÁLCULO'!C606</f>
        <v>Tratamento e disposição de resíduos não perigosos</v>
      </c>
      <c r="D1162" s="25" t="str">
        <f>'04_MOTOR_CÁLCULO'!D606</f>
        <v>COLETA, TRATAMEN</v>
      </c>
      <c r="E1162" s="78" t="str">
        <f>'04_MOTOR_CÁLCULO'!N606</f>
        <v>CNAE-STG</v>
      </c>
      <c r="F1162" s="45">
        <f>'04_MOTOR_CÁLCULO'!K606</f>
        <v>1.1499999999999999</v>
      </c>
      <c r="G1162" s="46">
        <f>'04_MOTOR_CÁLCULO'!K606-1</f>
        <v>0.14999999999999991</v>
      </c>
      <c r="H1162" s="47" t="str">
        <f>'04_MOTOR_CÁLCULO'!M606</f>
        <v>Alto</v>
      </c>
    </row>
    <row r="1163" spans="1:8" ht="13.5" customHeight="1" x14ac:dyDescent="0.25">
      <c r="A1163" s="13" t="str">
        <f>'04_MOTOR_CÁLCULO'!A607</f>
        <v>3822-0/00</v>
      </c>
      <c r="B1163" s="49" t="str">
        <f>'04_MOTOR_CÁLCULO'!B607</f>
        <v>E</v>
      </c>
      <c r="C1163" s="101" t="str">
        <f>'04_MOTOR_CÁLCULO'!C607</f>
        <v>Tratamento e disposição de resíduos perigosos</v>
      </c>
      <c r="D1163" s="14" t="str">
        <f>'04_MOTOR_CÁLCULO'!D607</f>
        <v>COLETA, TRATAMEN</v>
      </c>
      <c r="E1163" s="78" t="str">
        <f>'04_MOTOR_CÁLCULO'!N607</f>
        <v>CNAE-STG</v>
      </c>
      <c r="F1163" s="45">
        <f>'04_MOTOR_CÁLCULO'!K607</f>
        <v>1.1499999999999999</v>
      </c>
      <c r="G1163" s="46">
        <f>'04_MOTOR_CÁLCULO'!K607-1</f>
        <v>0.14999999999999991</v>
      </c>
      <c r="H1163" s="47" t="str">
        <f>'04_MOTOR_CÁLCULO'!M607</f>
        <v>Alto</v>
      </c>
    </row>
    <row r="1164" spans="1:8" ht="13.5" customHeight="1" x14ac:dyDescent="0.25">
      <c r="A1164" s="24" t="str">
        <f>'04_MOTOR_CÁLCULO'!A608</f>
        <v>3831-9/01</v>
      </c>
      <c r="B1164" s="38" t="str">
        <f>'04_MOTOR_CÁLCULO'!B608</f>
        <v>E</v>
      </c>
      <c r="C1164" s="100" t="str">
        <f>'04_MOTOR_CÁLCULO'!C608</f>
        <v>Recuperação de sucatas de alumínio</v>
      </c>
      <c r="D1164" s="25" t="str">
        <f>'04_MOTOR_CÁLCULO'!D608</f>
        <v>COLETA, TRATAMEN</v>
      </c>
      <c r="E1164" s="78" t="str">
        <f>'04_MOTOR_CÁLCULO'!N608</f>
        <v>CNAE-STG</v>
      </c>
      <c r="F1164" s="45">
        <f>'04_MOTOR_CÁLCULO'!K608</f>
        <v>1.1499999999999999</v>
      </c>
      <c r="G1164" s="46">
        <f>'04_MOTOR_CÁLCULO'!K608-1</f>
        <v>0.14999999999999991</v>
      </c>
      <c r="H1164" s="47" t="str">
        <f>'04_MOTOR_CÁLCULO'!M608</f>
        <v>Alto</v>
      </c>
    </row>
    <row r="1165" spans="1:8" ht="13.5" customHeight="1" x14ac:dyDescent="0.25">
      <c r="A1165" s="13" t="str">
        <f>'04_MOTOR_CÁLCULO'!A609</f>
        <v>3831-9/99</v>
      </c>
      <c r="B1165" s="49" t="str">
        <f>'04_MOTOR_CÁLCULO'!B609</f>
        <v>E</v>
      </c>
      <c r="C1165" s="101" t="str">
        <f>'04_MOTOR_CÁLCULO'!C609</f>
        <v>Recuperação de materiais metálicos, exceto alumínio</v>
      </c>
      <c r="D1165" s="14" t="str">
        <f>'04_MOTOR_CÁLCULO'!D609</f>
        <v>COLETA, TRATAMEN</v>
      </c>
      <c r="E1165" s="78" t="str">
        <f>'04_MOTOR_CÁLCULO'!N609</f>
        <v>CNAE-STG</v>
      </c>
      <c r="F1165" s="45">
        <f>'04_MOTOR_CÁLCULO'!K609</f>
        <v>1.1499999999999999</v>
      </c>
      <c r="G1165" s="46">
        <f>'04_MOTOR_CÁLCULO'!K609-1</f>
        <v>0.14999999999999991</v>
      </c>
      <c r="H1165" s="47" t="str">
        <f>'04_MOTOR_CÁLCULO'!M609</f>
        <v>Alto</v>
      </c>
    </row>
    <row r="1166" spans="1:8" ht="13.5" customHeight="1" x14ac:dyDescent="0.25">
      <c r="A1166" s="24" t="str">
        <f>'04_MOTOR_CÁLCULO'!A610</f>
        <v>3832-7/00</v>
      </c>
      <c r="B1166" s="38" t="str">
        <f>'04_MOTOR_CÁLCULO'!B610</f>
        <v>E</v>
      </c>
      <c r="C1166" s="100" t="str">
        <f>'04_MOTOR_CÁLCULO'!C610</f>
        <v>Recuperação de materiais plásticos</v>
      </c>
      <c r="D1166" s="25" t="str">
        <f>'04_MOTOR_CÁLCULO'!D610</f>
        <v>COLETA, TRATAMEN</v>
      </c>
      <c r="E1166" s="78" t="str">
        <f>'04_MOTOR_CÁLCULO'!N610</f>
        <v>CNAE-STG</v>
      </c>
      <c r="F1166" s="45">
        <f>'04_MOTOR_CÁLCULO'!K610</f>
        <v>1.1499999999999999</v>
      </c>
      <c r="G1166" s="46">
        <f>'04_MOTOR_CÁLCULO'!K610-1</f>
        <v>0.14999999999999991</v>
      </c>
      <c r="H1166" s="47" t="str">
        <f>'04_MOTOR_CÁLCULO'!M610</f>
        <v>Alto</v>
      </c>
    </row>
    <row r="1167" spans="1:8" ht="13.5" customHeight="1" x14ac:dyDescent="0.25">
      <c r="A1167" s="13" t="str">
        <f>'04_MOTOR_CÁLCULO'!A611</f>
        <v>3839-4/01</v>
      </c>
      <c r="B1167" s="49" t="str">
        <f>'04_MOTOR_CÁLCULO'!B611</f>
        <v>E</v>
      </c>
      <c r="C1167" s="101" t="str">
        <f>'04_MOTOR_CÁLCULO'!C611</f>
        <v>Usinas de compostagem</v>
      </c>
      <c r="D1167" s="14" t="str">
        <f>'04_MOTOR_CÁLCULO'!D611</f>
        <v>COLETA, TRATAMEN</v>
      </c>
      <c r="E1167" s="78" t="str">
        <f>'04_MOTOR_CÁLCULO'!N611</f>
        <v>CNAE-STG</v>
      </c>
      <c r="F1167" s="45">
        <f>'04_MOTOR_CÁLCULO'!K611</f>
        <v>1.1499999999999999</v>
      </c>
      <c r="G1167" s="46">
        <f>'04_MOTOR_CÁLCULO'!K611-1</f>
        <v>0.14999999999999991</v>
      </c>
      <c r="H1167" s="47" t="str">
        <f>'04_MOTOR_CÁLCULO'!M611</f>
        <v>Alto</v>
      </c>
    </row>
    <row r="1168" spans="1:8" ht="13.5" customHeight="1" x14ac:dyDescent="0.25">
      <c r="A1168" s="24" t="str">
        <f>'04_MOTOR_CÁLCULO'!A612</f>
        <v>3839-4/99</v>
      </c>
      <c r="B1168" s="38" t="str">
        <f>'04_MOTOR_CÁLCULO'!B612</f>
        <v>E</v>
      </c>
      <c r="C1168" s="100" t="str">
        <f>'04_MOTOR_CÁLCULO'!C612</f>
        <v>Recuperação de materiais não especificados anteriormente</v>
      </c>
      <c r="D1168" s="25" t="str">
        <f>'04_MOTOR_CÁLCULO'!D612</f>
        <v>COLETA, TRATAMEN</v>
      </c>
      <c r="E1168" s="78" t="str">
        <f>'04_MOTOR_CÁLCULO'!N612</f>
        <v>CNAE-STG</v>
      </c>
      <c r="F1168" s="45">
        <f>'04_MOTOR_CÁLCULO'!K612</f>
        <v>1.1499999999999999</v>
      </c>
      <c r="G1168" s="46">
        <f>'04_MOTOR_CÁLCULO'!K612-1</f>
        <v>0.14999999999999991</v>
      </c>
      <c r="H1168" s="47" t="str">
        <f>'04_MOTOR_CÁLCULO'!M612</f>
        <v>Alto</v>
      </c>
    </row>
    <row r="1169" spans="1:8" ht="13.5" customHeight="1" x14ac:dyDescent="0.25">
      <c r="A1169" s="13" t="str">
        <f>'04_MOTOR_CÁLCULO'!A613</f>
        <v>3900-5/00</v>
      </c>
      <c r="B1169" s="49" t="str">
        <f>'04_MOTOR_CÁLCULO'!B613</f>
        <v>E</v>
      </c>
      <c r="C1169" s="101" t="str">
        <f>'04_MOTOR_CÁLCULO'!C613</f>
        <v>Descontaminação e outros serviços de gestão de resíduos</v>
      </c>
      <c r="D1169" s="14" t="str">
        <f>'04_MOTOR_CÁLCULO'!D613</f>
        <v xml:space="preserve">DESCONTAMINAÇÃO </v>
      </c>
      <c r="E1169" s="78" t="str">
        <f>'04_MOTOR_CÁLCULO'!N613</f>
        <v>CNAE-STG</v>
      </c>
      <c r="F1169" s="45">
        <f>'04_MOTOR_CÁLCULO'!K613</f>
        <v>1.1499999999999999</v>
      </c>
      <c r="G1169" s="46">
        <f>'04_MOTOR_CÁLCULO'!K613-1</f>
        <v>0.14999999999999991</v>
      </c>
      <c r="H1169" s="47" t="str">
        <f>'04_MOTOR_CÁLCULO'!M613</f>
        <v>Alto</v>
      </c>
    </row>
    <row r="1170" spans="1:8" ht="13.5" customHeight="1" x14ac:dyDescent="0.25">
      <c r="A1170" s="24" t="str">
        <f>'04_MOTOR_CÁLCULO'!A615</f>
        <v>4120-4/00</v>
      </c>
      <c r="B1170" s="38" t="str">
        <f>'04_MOTOR_CÁLCULO'!B615</f>
        <v>F</v>
      </c>
      <c r="C1170" s="100" t="str">
        <f>'04_MOTOR_CÁLCULO'!C615</f>
        <v>Construção de edifícios</v>
      </c>
      <c r="D1170" s="25" t="str">
        <f>'04_MOTOR_CÁLCULO'!D615</f>
        <v>CONSTRUÇÃO DE ED</v>
      </c>
      <c r="E1170" s="78" t="str">
        <f>'04_MOTOR_CÁLCULO'!N615</f>
        <v>CNAE-STG</v>
      </c>
      <c r="F1170" s="45">
        <f>'04_MOTOR_CÁLCULO'!K615</f>
        <v>1.1499999999999999</v>
      </c>
      <c r="G1170" s="46">
        <f>'04_MOTOR_CÁLCULO'!K615-1</f>
        <v>0.14999999999999991</v>
      </c>
      <c r="H1170" s="47" t="str">
        <f>'04_MOTOR_CÁLCULO'!M615</f>
        <v>Alto</v>
      </c>
    </row>
    <row r="1171" spans="1:8" ht="13.5" customHeight="1" x14ac:dyDescent="0.25">
      <c r="A1171" s="13" t="str">
        <f>'04_MOTOR_CÁLCULO'!A616</f>
        <v>4211-1/01</v>
      </c>
      <c r="B1171" s="49" t="str">
        <f>'04_MOTOR_CÁLCULO'!B616</f>
        <v>F</v>
      </c>
      <c r="C1171" s="101" t="str">
        <f>'04_MOTOR_CÁLCULO'!C616</f>
        <v>Construção de rodovias e ferrovias</v>
      </c>
      <c r="D1171" s="14" t="str">
        <f>'04_MOTOR_CÁLCULO'!D616</f>
        <v>OBRAS DE INFRAES</v>
      </c>
      <c r="E1171" s="78" t="str">
        <f>'04_MOTOR_CÁLCULO'!N616</f>
        <v>CNAE-STG</v>
      </c>
      <c r="F1171" s="45">
        <f>'04_MOTOR_CÁLCULO'!K616</f>
        <v>1.1499999999999999</v>
      </c>
      <c r="G1171" s="46">
        <f>'04_MOTOR_CÁLCULO'!K616-1</f>
        <v>0.14999999999999991</v>
      </c>
      <c r="H1171" s="47" t="str">
        <f>'04_MOTOR_CÁLCULO'!M616</f>
        <v>Alto</v>
      </c>
    </row>
    <row r="1172" spans="1:8" ht="13.5" customHeight="1" x14ac:dyDescent="0.25">
      <c r="A1172" s="24" t="str">
        <f>'04_MOTOR_CÁLCULO'!A617</f>
        <v>4211-1/02</v>
      </c>
      <c r="B1172" s="38" t="str">
        <f>'04_MOTOR_CÁLCULO'!B617</f>
        <v>F</v>
      </c>
      <c r="C1172" s="100" t="str">
        <f>'04_MOTOR_CÁLCULO'!C617</f>
        <v>Pintura para sinalização em pistas rodoviárias e aeroportos</v>
      </c>
      <c r="D1172" s="25" t="str">
        <f>'04_MOTOR_CÁLCULO'!D617</f>
        <v>OBRAS DE INFRAES</v>
      </c>
      <c r="E1172" s="78" t="str">
        <f>'04_MOTOR_CÁLCULO'!N617</f>
        <v>CNAE-STG</v>
      </c>
      <c r="F1172" s="45">
        <f>'04_MOTOR_CÁLCULO'!K617</f>
        <v>1.1499999999999999</v>
      </c>
      <c r="G1172" s="46">
        <f>'04_MOTOR_CÁLCULO'!K617-1</f>
        <v>0.14999999999999991</v>
      </c>
      <c r="H1172" s="47" t="str">
        <f>'04_MOTOR_CÁLCULO'!M617</f>
        <v>Alto</v>
      </c>
    </row>
    <row r="1173" spans="1:8" ht="13.5" customHeight="1" x14ac:dyDescent="0.25">
      <c r="A1173" s="13" t="str">
        <f>'04_MOTOR_CÁLCULO'!A618</f>
        <v>4212-0/00</v>
      </c>
      <c r="B1173" s="49" t="str">
        <f>'04_MOTOR_CÁLCULO'!B618</f>
        <v>F</v>
      </c>
      <c r="C1173" s="101" t="str">
        <f>'04_MOTOR_CÁLCULO'!C618</f>
        <v>Construção de obras de arte especiais</v>
      </c>
      <c r="D1173" s="14" t="str">
        <f>'04_MOTOR_CÁLCULO'!D618</f>
        <v>OBRAS DE INFRAES</v>
      </c>
      <c r="E1173" s="78" t="str">
        <f>'04_MOTOR_CÁLCULO'!N618</f>
        <v>CNAE-STG</v>
      </c>
      <c r="F1173" s="45">
        <f>'04_MOTOR_CÁLCULO'!K618</f>
        <v>1.1499999999999999</v>
      </c>
      <c r="G1173" s="46">
        <f>'04_MOTOR_CÁLCULO'!K618-1</f>
        <v>0.14999999999999991</v>
      </c>
      <c r="H1173" s="47" t="str">
        <f>'04_MOTOR_CÁLCULO'!M618</f>
        <v>Alto</v>
      </c>
    </row>
    <row r="1174" spans="1:8" ht="13.5" customHeight="1" x14ac:dyDescent="0.25">
      <c r="A1174" s="24" t="str">
        <f>'04_MOTOR_CÁLCULO'!A619</f>
        <v>4213-8/00</v>
      </c>
      <c r="B1174" s="38" t="str">
        <f>'04_MOTOR_CÁLCULO'!B619</f>
        <v>F</v>
      </c>
      <c r="C1174" s="100" t="str">
        <f>'04_MOTOR_CÁLCULO'!C619</f>
        <v>Obras de urbanização - ruas, praças e calçadas</v>
      </c>
      <c r="D1174" s="25" t="str">
        <f>'04_MOTOR_CÁLCULO'!D619</f>
        <v>OBRAS DE INFRAES</v>
      </c>
      <c r="E1174" s="78" t="str">
        <f>'04_MOTOR_CÁLCULO'!N619</f>
        <v>CNAE-STG</v>
      </c>
      <c r="F1174" s="45">
        <f>'04_MOTOR_CÁLCULO'!K619</f>
        <v>1.1499999999999999</v>
      </c>
      <c r="G1174" s="46">
        <f>'04_MOTOR_CÁLCULO'!K619-1</f>
        <v>0.14999999999999991</v>
      </c>
      <c r="H1174" s="47" t="str">
        <f>'04_MOTOR_CÁLCULO'!M619</f>
        <v>Alto</v>
      </c>
    </row>
    <row r="1175" spans="1:8" ht="13.5" customHeight="1" x14ac:dyDescent="0.25">
      <c r="A1175" s="13" t="str">
        <f>'04_MOTOR_CÁLCULO'!A620</f>
        <v>4221-9/01</v>
      </c>
      <c r="B1175" s="49" t="str">
        <f>'04_MOTOR_CÁLCULO'!B620</f>
        <v>F</v>
      </c>
      <c r="C1175" s="101" t="str">
        <f>'04_MOTOR_CÁLCULO'!C620</f>
        <v>Construção de barragens e represas para geração de energia 
elétrica</v>
      </c>
      <c r="D1175" s="14" t="str">
        <f>'04_MOTOR_CÁLCULO'!D620</f>
        <v>OBRAS DE INFRAES</v>
      </c>
      <c r="E1175" s="78" t="str">
        <f>'04_MOTOR_CÁLCULO'!N620</f>
        <v>CNAE-STG</v>
      </c>
      <c r="F1175" s="45">
        <f>'04_MOTOR_CÁLCULO'!K620</f>
        <v>1.1499999999999999</v>
      </c>
      <c r="G1175" s="46">
        <f>'04_MOTOR_CÁLCULO'!K620-1</f>
        <v>0.14999999999999991</v>
      </c>
      <c r="H1175" s="47" t="str">
        <f>'04_MOTOR_CÁLCULO'!M620</f>
        <v>Alto</v>
      </c>
    </row>
    <row r="1176" spans="1:8" ht="13.5" customHeight="1" x14ac:dyDescent="0.25">
      <c r="A1176" s="24" t="str">
        <f>'04_MOTOR_CÁLCULO'!A621</f>
        <v>4221-9/02</v>
      </c>
      <c r="B1176" s="38" t="str">
        <f>'04_MOTOR_CÁLCULO'!B621</f>
        <v>F</v>
      </c>
      <c r="C1176" s="100" t="str">
        <f>'04_MOTOR_CÁLCULO'!C621</f>
        <v>Construção de estações e redes de distribuição de energia elétrica</v>
      </c>
      <c r="D1176" s="25" t="str">
        <f>'04_MOTOR_CÁLCULO'!D621</f>
        <v>OBRAS DE INFRAES</v>
      </c>
      <c r="E1176" s="78" t="str">
        <f>'04_MOTOR_CÁLCULO'!N621</f>
        <v>CNAE-STG</v>
      </c>
      <c r="F1176" s="45">
        <f>'04_MOTOR_CÁLCULO'!K621</f>
        <v>1.1499999999999999</v>
      </c>
      <c r="G1176" s="46">
        <f>'04_MOTOR_CÁLCULO'!K621-1</f>
        <v>0.14999999999999991</v>
      </c>
      <c r="H1176" s="47" t="str">
        <f>'04_MOTOR_CÁLCULO'!M621</f>
        <v>Alto</v>
      </c>
    </row>
    <row r="1177" spans="1:8" ht="13.5" customHeight="1" x14ac:dyDescent="0.25">
      <c r="A1177" s="13" t="str">
        <f>'04_MOTOR_CÁLCULO'!A622</f>
        <v>4221-9/03</v>
      </c>
      <c r="B1177" s="49" t="str">
        <f>'04_MOTOR_CÁLCULO'!B622</f>
        <v>F</v>
      </c>
      <c r="C1177" s="101" t="str">
        <f>'04_MOTOR_CÁLCULO'!C622</f>
        <v>Manutenção de redes de distribuição de energia elétrica</v>
      </c>
      <c r="D1177" s="14" t="str">
        <f>'04_MOTOR_CÁLCULO'!D622</f>
        <v>OBRAS DE INFRAES</v>
      </c>
      <c r="E1177" s="78" t="str">
        <f>'04_MOTOR_CÁLCULO'!N622</f>
        <v>CNAE-STG</v>
      </c>
      <c r="F1177" s="45">
        <f>'04_MOTOR_CÁLCULO'!K622</f>
        <v>1.1499999999999999</v>
      </c>
      <c r="G1177" s="46">
        <f>'04_MOTOR_CÁLCULO'!K622-1</f>
        <v>0.14999999999999991</v>
      </c>
      <c r="H1177" s="47" t="str">
        <f>'04_MOTOR_CÁLCULO'!M622</f>
        <v>Alto</v>
      </c>
    </row>
    <row r="1178" spans="1:8" ht="13.5" customHeight="1" x14ac:dyDescent="0.25">
      <c r="A1178" s="24" t="str">
        <f>'04_MOTOR_CÁLCULO'!A623</f>
        <v>4221-9/04</v>
      </c>
      <c r="B1178" s="38" t="str">
        <f>'04_MOTOR_CÁLCULO'!B623</f>
        <v>F</v>
      </c>
      <c r="C1178" s="100" t="str">
        <f>'04_MOTOR_CÁLCULO'!C623</f>
        <v>Construção de estações e redes de telecomunicações</v>
      </c>
      <c r="D1178" s="25" t="str">
        <f>'04_MOTOR_CÁLCULO'!D623</f>
        <v>OBRAS DE INFRAES</v>
      </c>
      <c r="E1178" s="78" t="str">
        <f>'04_MOTOR_CÁLCULO'!N623</f>
        <v>CNAE-STG</v>
      </c>
      <c r="F1178" s="45">
        <f>'04_MOTOR_CÁLCULO'!K623</f>
        <v>1.1499999999999999</v>
      </c>
      <c r="G1178" s="46">
        <f>'04_MOTOR_CÁLCULO'!K623-1</f>
        <v>0.14999999999999991</v>
      </c>
      <c r="H1178" s="47" t="str">
        <f>'04_MOTOR_CÁLCULO'!M623</f>
        <v>Alto</v>
      </c>
    </row>
    <row r="1179" spans="1:8" ht="13.5" customHeight="1" x14ac:dyDescent="0.25">
      <c r="A1179" s="13" t="str">
        <f>'04_MOTOR_CÁLCULO'!A624</f>
        <v>4221-9/05</v>
      </c>
      <c r="B1179" s="49" t="str">
        <f>'04_MOTOR_CÁLCULO'!B624</f>
        <v>F</v>
      </c>
      <c r="C1179" s="101" t="str">
        <f>'04_MOTOR_CÁLCULO'!C624</f>
        <v>Manutenção de estações e redes de telecomunicações</v>
      </c>
      <c r="D1179" s="14" t="str">
        <f>'04_MOTOR_CÁLCULO'!D624</f>
        <v>OBRAS DE INFRAES</v>
      </c>
      <c r="E1179" s="78" t="str">
        <f>'04_MOTOR_CÁLCULO'!N624</f>
        <v>CNAE-STG</v>
      </c>
      <c r="F1179" s="45">
        <f>'04_MOTOR_CÁLCULO'!K624</f>
        <v>1.1499999999999999</v>
      </c>
      <c r="G1179" s="46">
        <f>'04_MOTOR_CÁLCULO'!K624-1</f>
        <v>0.14999999999999991</v>
      </c>
      <c r="H1179" s="47" t="str">
        <f>'04_MOTOR_CÁLCULO'!M624</f>
        <v>Alto</v>
      </c>
    </row>
    <row r="1180" spans="1:8" ht="13.5" customHeight="1" x14ac:dyDescent="0.25">
      <c r="A1180" s="24" t="str">
        <f>'04_MOTOR_CÁLCULO'!A625</f>
        <v>4222-7/01</v>
      </c>
      <c r="B1180" s="38" t="str">
        <f>'04_MOTOR_CÁLCULO'!B625</f>
        <v>F</v>
      </c>
      <c r="C1180" s="100" t="str">
        <f>'04_MOTOR_CÁLCULO'!C625</f>
        <v>Construção de redes de abastecimento de água, coleta de esgoto e construções correlatas, exceto obras de irrigação</v>
      </c>
      <c r="D1180" s="25" t="str">
        <f>'04_MOTOR_CÁLCULO'!D625</f>
        <v>OBRAS DE INFRAES</v>
      </c>
      <c r="E1180" s="78" t="str">
        <f>'04_MOTOR_CÁLCULO'!N625</f>
        <v>CNAE-STG</v>
      </c>
      <c r="F1180" s="45">
        <f>'04_MOTOR_CÁLCULO'!K625</f>
        <v>1.1499999999999999</v>
      </c>
      <c r="G1180" s="46">
        <f>'04_MOTOR_CÁLCULO'!K625-1</f>
        <v>0.14999999999999991</v>
      </c>
      <c r="H1180" s="47" t="str">
        <f>'04_MOTOR_CÁLCULO'!M625</f>
        <v>Alto</v>
      </c>
    </row>
    <row r="1181" spans="1:8" ht="13.5" customHeight="1" x14ac:dyDescent="0.25">
      <c r="A1181" s="13" t="str">
        <f>'04_MOTOR_CÁLCULO'!A626</f>
        <v>4222-7/02</v>
      </c>
      <c r="B1181" s="49" t="str">
        <f>'04_MOTOR_CÁLCULO'!B626</f>
        <v>F</v>
      </c>
      <c r="C1181" s="101" t="str">
        <f>'04_MOTOR_CÁLCULO'!C626</f>
        <v>Obras de irrigação</v>
      </c>
      <c r="D1181" s="14" t="str">
        <f>'04_MOTOR_CÁLCULO'!D626</f>
        <v>OBRAS DE INFRAES</v>
      </c>
      <c r="E1181" s="78" t="str">
        <f>'04_MOTOR_CÁLCULO'!N626</f>
        <v>CNAE-STG</v>
      </c>
      <c r="F1181" s="45">
        <f>'04_MOTOR_CÁLCULO'!K626</f>
        <v>1.1499999999999999</v>
      </c>
      <c r="G1181" s="46">
        <f>'04_MOTOR_CÁLCULO'!K626-1</f>
        <v>0.14999999999999991</v>
      </c>
      <c r="H1181" s="47" t="str">
        <f>'04_MOTOR_CÁLCULO'!M626</f>
        <v>Alto</v>
      </c>
    </row>
    <row r="1182" spans="1:8" ht="13.5" customHeight="1" x14ac:dyDescent="0.25">
      <c r="A1182" s="24" t="str">
        <f>'04_MOTOR_CÁLCULO'!A627</f>
        <v>4223-5/00</v>
      </c>
      <c r="B1182" s="38" t="str">
        <f>'04_MOTOR_CÁLCULO'!B627</f>
        <v>F</v>
      </c>
      <c r="C1182" s="100" t="str">
        <f>'04_MOTOR_CÁLCULO'!C627</f>
        <v>Construção de redes de transportes por dutos, exceto para água e esgoto</v>
      </c>
      <c r="D1182" s="25" t="str">
        <f>'04_MOTOR_CÁLCULO'!D627</f>
        <v>OBRAS DE INFRAES</v>
      </c>
      <c r="E1182" s="78" t="str">
        <f>'04_MOTOR_CÁLCULO'!N627</f>
        <v>CNAE-STG</v>
      </c>
      <c r="F1182" s="45">
        <f>'04_MOTOR_CÁLCULO'!K627</f>
        <v>1.1499999999999999</v>
      </c>
      <c r="G1182" s="46">
        <f>'04_MOTOR_CÁLCULO'!K627-1</f>
        <v>0.14999999999999991</v>
      </c>
      <c r="H1182" s="47" t="str">
        <f>'04_MOTOR_CÁLCULO'!M627</f>
        <v>Alto</v>
      </c>
    </row>
    <row r="1183" spans="1:8" ht="13.5" customHeight="1" x14ac:dyDescent="0.25">
      <c r="A1183" s="13" t="str">
        <f>'04_MOTOR_CÁLCULO'!A628</f>
        <v>4291-0/00</v>
      </c>
      <c r="B1183" s="49" t="str">
        <f>'04_MOTOR_CÁLCULO'!B628</f>
        <v>F</v>
      </c>
      <c r="C1183" s="101" t="str">
        <f>'04_MOTOR_CÁLCULO'!C628</f>
        <v>Obras portuárias, marítimas e fluviais</v>
      </c>
      <c r="D1183" s="14" t="str">
        <f>'04_MOTOR_CÁLCULO'!D628</f>
        <v>OBRAS DE INFRAES</v>
      </c>
      <c r="E1183" s="78" t="str">
        <f>'04_MOTOR_CÁLCULO'!N628</f>
        <v>CNAE-STG</v>
      </c>
      <c r="F1183" s="45">
        <f>'04_MOTOR_CÁLCULO'!K628</f>
        <v>1.1499999999999999</v>
      </c>
      <c r="G1183" s="46">
        <f>'04_MOTOR_CÁLCULO'!K628-1</f>
        <v>0.14999999999999991</v>
      </c>
      <c r="H1183" s="47" t="str">
        <f>'04_MOTOR_CÁLCULO'!M628</f>
        <v>Alto</v>
      </c>
    </row>
    <row r="1184" spans="1:8" ht="13.5" customHeight="1" x14ac:dyDescent="0.25">
      <c r="A1184" s="24" t="str">
        <f>'04_MOTOR_CÁLCULO'!A629</f>
        <v>4292-8/01</v>
      </c>
      <c r="B1184" s="38" t="str">
        <f>'04_MOTOR_CÁLCULO'!B629</f>
        <v>F</v>
      </c>
      <c r="C1184" s="100" t="str">
        <f>'04_MOTOR_CÁLCULO'!C629</f>
        <v>Montagem de estruturas metálicas</v>
      </c>
      <c r="D1184" s="25" t="str">
        <f>'04_MOTOR_CÁLCULO'!D629</f>
        <v>OBRAS DE INFRAES</v>
      </c>
      <c r="E1184" s="78" t="str">
        <f>'04_MOTOR_CÁLCULO'!N629</f>
        <v>CNAE-STG</v>
      </c>
      <c r="F1184" s="45">
        <f>'04_MOTOR_CÁLCULO'!K629</f>
        <v>1.1499999999999999</v>
      </c>
      <c r="G1184" s="46">
        <f>'04_MOTOR_CÁLCULO'!K629-1</f>
        <v>0.14999999999999991</v>
      </c>
      <c r="H1184" s="47" t="str">
        <f>'04_MOTOR_CÁLCULO'!M629</f>
        <v>Alto</v>
      </c>
    </row>
    <row r="1185" spans="1:8" ht="13.5" customHeight="1" x14ac:dyDescent="0.25">
      <c r="A1185" s="13" t="str">
        <f>'04_MOTOR_CÁLCULO'!A630</f>
        <v>4292-8/02</v>
      </c>
      <c r="B1185" s="49" t="str">
        <f>'04_MOTOR_CÁLCULO'!B630</f>
        <v>F</v>
      </c>
      <c r="C1185" s="101" t="str">
        <f>'04_MOTOR_CÁLCULO'!C630</f>
        <v>Obras de montagem industrial</v>
      </c>
      <c r="D1185" s="14" t="str">
        <f>'04_MOTOR_CÁLCULO'!D630</f>
        <v>OBRAS DE INFRAES</v>
      </c>
      <c r="E1185" s="78" t="str">
        <f>'04_MOTOR_CÁLCULO'!N630</f>
        <v>CNAE-STG</v>
      </c>
      <c r="F1185" s="45">
        <f>'04_MOTOR_CÁLCULO'!K630</f>
        <v>1.1499999999999999</v>
      </c>
      <c r="G1185" s="46">
        <f>'04_MOTOR_CÁLCULO'!K630-1</f>
        <v>0.14999999999999991</v>
      </c>
      <c r="H1185" s="47" t="str">
        <f>'04_MOTOR_CÁLCULO'!M630</f>
        <v>Alto</v>
      </c>
    </row>
    <row r="1186" spans="1:8" ht="13.5" customHeight="1" x14ac:dyDescent="0.25">
      <c r="A1186" s="24" t="str">
        <f>'04_MOTOR_CÁLCULO'!A631</f>
        <v>4299-5/01</v>
      </c>
      <c r="B1186" s="38" t="str">
        <f>'04_MOTOR_CÁLCULO'!B631</f>
        <v>F</v>
      </c>
      <c r="C1186" s="100" t="str">
        <f>'04_MOTOR_CÁLCULO'!C631</f>
        <v>Construção de instalações esportivas e recreativas</v>
      </c>
      <c r="D1186" s="25" t="str">
        <f>'04_MOTOR_CÁLCULO'!D631</f>
        <v>OBRAS DE INFRAES</v>
      </c>
      <c r="E1186" s="78" t="str">
        <f>'04_MOTOR_CÁLCULO'!N631</f>
        <v>CNAE-STG</v>
      </c>
      <c r="F1186" s="45">
        <f>'04_MOTOR_CÁLCULO'!K631</f>
        <v>1.1499999999999999</v>
      </c>
      <c r="G1186" s="46">
        <f>'04_MOTOR_CÁLCULO'!K631-1</f>
        <v>0.14999999999999991</v>
      </c>
      <c r="H1186" s="47" t="str">
        <f>'04_MOTOR_CÁLCULO'!M631</f>
        <v>Alto</v>
      </c>
    </row>
    <row r="1187" spans="1:8" ht="13.5" customHeight="1" x14ac:dyDescent="0.25">
      <c r="A1187" s="13" t="str">
        <f>'04_MOTOR_CÁLCULO'!A632</f>
        <v>4299-5/99</v>
      </c>
      <c r="B1187" s="49" t="str">
        <f>'04_MOTOR_CÁLCULO'!B632</f>
        <v>F</v>
      </c>
      <c r="C1187" s="101" t="str">
        <f>'04_MOTOR_CÁLCULO'!C632</f>
        <v>Outras obras de engenharia civil não especificadas anteriormente</v>
      </c>
      <c r="D1187" s="14" t="str">
        <f>'04_MOTOR_CÁLCULO'!D632</f>
        <v>OBRAS DE INFRAES</v>
      </c>
      <c r="E1187" s="78" t="str">
        <f>'04_MOTOR_CÁLCULO'!N632</f>
        <v>CNAE-STG</v>
      </c>
      <c r="F1187" s="45">
        <f>'04_MOTOR_CÁLCULO'!K632</f>
        <v>1.1499999999999999</v>
      </c>
      <c r="G1187" s="46">
        <f>'04_MOTOR_CÁLCULO'!K632-1</f>
        <v>0.14999999999999991</v>
      </c>
      <c r="H1187" s="47" t="str">
        <f>'04_MOTOR_CÁLCULO'!M632</f>
        <v>Alto</v>
      </c>
    </row>
    <row r="1188" spans="1:8" ht="13.5" customHeight="1" x14ac:dyDescent="0.25">
      <c r="A1188" s="24" t="str">
        <f>'04_MOTOR_CÁLCULO'!A633</f>
        <v>4311-8/01</v>
      </c>
      <c r="B1188" s="38" t="str">
        <f>'04_MOTOR_CÁLCULO'!B633</f>
        <v>F</v>
      </c>
      <c r="C1188" s="100" t="str">
        <f>'04_MOTOR_CÁLCULO'!C633</f>
        <v>Demolição de edifícios e outras estruturas</v>
      </c>
      <c r="D1188" s="25" t="str">
        <f>'04_MOTOR_CÁLCULO'!D633</f>
        <v>SERVIÇOS ESPECIA</v>
      </c>
      <c r="E1188" s="78" t="str">
        <f>'04_MOTOR_CÁLCULO'!N633</f>
        <v>CNAE-STG</v>
      </c>
      <c r="F1188" s="45">
        <f>'04_MOTOR_CÁLCULO'!K633</f>
        <v>1.1499999999999999</v>
      </c>
      <c r="G1188" s="46">
        <f>'04_MOTOR_CÁLCULO'!K633-1</f>
        <v>0.14999999999999991</v>
      </c>
      <c r="H1188" s="47" t="str">
        <f>'04_MOTOR_CÁLCULO'!M633</f>
        <v>Alto</v>
      </c>
    </row>
    <row r="1189" spans="1:8" ht="13.5" customHeight="1" x14ac:dyDescent="0.25">
      <c r="A1189" s="13" t="str">
        <f>'04_MOTOR_CÁLCULO'!A634</f>
        <v>4311-8/02</v>
      </c>
      <c r="B1189" s="49" t="str">
        <f>'04_MOTOR_CÁLCULO'!B634</f>
        <v>F</v>
      </c>
      <c r="C1189" s="101" t="str">
        <f>'04_MOTOR_CÁLCULO'!C634</f>
        <v>Preparação de canteiro e limpeza de terreno</v>
      </c>
      <c r="D1189" s="14" t="str">
        <f>'04_MOTOR_CÁLCULO'!D634</f>
        <v>SERVIÇOS ESPECIA</v>
      </c>
      <c r="E1189" s="78" t="str">
        <f>'04_MOTOR_CÁLCULO'!N634</f>
        <v>CNAE-STG</v>
      </c>
      <c r="F1189" s="45">
        <f>'04_MOTOR_CÁLCULO'!K634</f>
        <v>1.1499999999999999</v>
      </c>
      <c r="G1189" s="46">
        <f>'04_MOTOR_CÁLCULO'!K634-1</f>
        <v>0.14999999999999991</v>
      </c>
      <c r="H1189" s="47" t="str">
        <f>'04_MOTOR_CÁLCULO'!M634</f>
        <v>Alto</v>
      </c>
    </row>
    <row r="1190" spans="1:8" ht="13.5" customHeight="1" x14ac:dyDescent="0.25">
      <c r="A1190" s="24" t="str">
        <f>'04_MOTOR_CÁLCULO'!A635</f>
        <v>4312-6/00</v>
      </c>
      <c r="B1190" s="38" t="str">
        <f>'04_MOTOR_CÁLCULO'!B635</f>
        <v>F</v>
      </c>
      <c r="C1190" s="100" t="str">
        <f>'04_MOTOR_CÁLCULO'!C635</f>
        <v>Perfurações e sondagens</v>
      </c>
      <c r="D1190" s="25" t="str">
        <f>'04_MOTOR_CÁLCULO'!D635</f>
        <v>SERVIÇOS ESPECIA</v>
      </c>
      <c r="E1190" s="78" t="str">
        <f>'04_MOTOR_CÁLCULO'!N635</f>
        <v>CNAE-STG</v>
      </c>
      <c r="F1190" s="45">
        <f>'04_MOTOR_CÁLCULO'!K635</f>
        <v>1.1499999999999999</v>
      </c>
      <c r="G1190" s="46">
        <f>'04_MOTOR_CÁLCULO'!K635-1</f>
        <v>0.14999999999999991</v>
      </c>
      <c r="H1190" s="47" t="str">
        <f>'04_MOTOR_CÁLCULO'!M635</f>
        <v>Alto</v>
      </c>
    </row>
    <row r="1191" spans="1:8" ht="13.5" customHeight="1" x14ac:dyDescent="0.25">
      <c r="A1191" s="13" t="str">
        <f>'04_MOTOR_CÁLCULO'!A636</f>
        <v>4313-4/00</v>
      </c>
      <c r="B1191" s="49" t="str">
        <f>'04_MOTOR_CÁLCULO'!B636</f>
        <v>F</v>
      </c>
      <c r="C1191" s="101" t="str">
        <f>'04_MOTOR_CÁLCULO'!C636</f>
        <v>Obras de terraplenagem</v>
      </c>
      <c r="D1191" s="14" t="str">
        <f>'04_MOTOR_CÁLCULO'!D636</f>
        <v>SERVIÇOS ESPECIA</v>
      </c>
      <c r="E1191" s="78" t="str">
        <f>'04_MOTOR_CÁLCULO'!N636</f>
        <v>CNAE-STG</v>
      </c>
      <c r="F1191" s="45">
        <f>'04_MOTOR_CÁLCULO'!K636</f>
        <v>1.1499999999999999</v>
      </c>
      <c r="G1191" s="46">
        <f>'04_MOTOR_CÁLCULO'!K636-1</f>
        <v>0.14999999999999991</v>
      </c>
      <c r="H1191" s="47" t="str">
        <f>'04_MOTOR_CÁLCULO'!M636</f>
        <v>Alto</v>
      </c>
    </row>
    <row r="1192" spans="1:8" ht="13.5" customHeight="1" x14ac:dyDescent="0.25">
      <c r="A1192" s="24" t="str">
        <f>'04_MOTOR_CÁLCULO'!A637</f>
        <v>4319-3/00</v>
      </c>
      <c r="B1192" s="38" t="str">
        <f>'04_MOTOR_CÁLCULO'!B637</f>
        <v>F</v>
      </c>
      <c r="C1192" s="100" t="str">
        <f>'04_MOTOR_CÁLCULO'!C637</f>
        <v>Serviços de preparação do terreno não especificados anteriormente</v>
      </c>
      <c r="D1192" s="25" t="str">
        <f>'04_MOTOR_CÁLCULO'!D637</f>
        <v>SERVIÇOS ESPECIA</v>
      </c>
      <c r="E1192" s="78" t="str">
        <f>'04_MOTOR_CÁLCULO'!N637</f>
        <v>CNAE-STG</v>
      </c>
      <c r="F1192" s="45">
        <f>'04_MOTOR_CÁLCULO'!K637</f>
        <v>1.1499999999999999</v>
      </c>
      <c r="G1192" s="46">
        <f>'04_MOTOR_CÁLCULO'!K637-1</f>
        <v>0.14999999999999991</v>
      </c>
      <c r="H1192" s="47" t="str">
        <f>'04_MOTOR_CÁLCULO'!M637</f>
        <v>Alto</v>
      </c>
    </row>
    <row r="1193" spans="1:8" ht="13.5" customHeight="1" x14ac:dyDescent="0.25">
      <c r="A1193" s="13" t="str">
        <f>'04_MOTOR_CÁLCULO'!A638</f>
        <v>4321-5/00</v>
      </c>
      <c r="B1193" s="49" t="str">
        <f>'04_MOTOR_CÁLCULO'!B638</f>
        <v>F</v>
      </c>
      <c r="C1193" s="101" t="str">
        <f>'04_MOTOR_CÁLCULO'!C638</f>
        <v>Instalação e manutenção elétrica</v>
      </c>
      <c r="D1193" s="14" t="str">
        <f>'04_MOTOR_CÁLCULO'!D638</f>
        <v>SERVIÇOS ESPECIA</v>
      </c>
      <c r="E1193" s="78" t="str">
        <f>'04_MOTOR_CÁLCULO'!N638</f>
        <v>CNAE-STG</v>
      </c>
      <c r="F1193" s="45">
        <f>'04_MOTOR_CÁLCULO'!K638</f>
        <v>1.1499999999999999</v>
      </c>
      <c r="G1193" s="46">
        <f>'04_MOTOR_CÁLCULO'!K638-1</f>
        <v>0.14999999999999991</v>
      </c>
      <c r="H1193" s="47" t="str">
        <f>'04_MOTOR_CÁLCULO'!M638</f>
        <v>Alto</v>
      </c>
    </row>
    <row r="1194" spans="1:8" ht="13.5" customHeight="1" x14ac:dyDescent="0.25">
      <c r="A1194" s="24" t="str">
        <f>'04_MOTOR_CÁLCULO'!A639</f>
        <v>4322-3/01</v>
      </c>
      <c r="B1194" s="38" t="str">
        <f>'04_MOTOR_CÁLCULO'!B639</f>
        <v>F</v>
      </c>
      <c r="C1194" s="100" t="str">
        <f>'04_MOTOR_CÁLCULO'!C639</f>
        <v>Instalações hidráulicas, sanitárias e de gás</v>
      </c>
      <c r="D1194" s="25" t="str">
        <f>'04_MOTOR_CÁLCULO'!D639</f>
        <v>SERVIÇOS ESPECIA</v>
      </c>
      <c r="E1194" s="78" t="str">
        <f>'04_MOTOR_CÁLCULO'!N639</f>
        <v>CNAE-STG</v>
      </c>
      <c r="F1194" s="45">
        <f>'04_MOTOR_CÁLCULO'!K639</f>
        <v>1.1499999999999999</v>
      </c>
      <c r="G1194" s="46">
        <f>'04_MOTOR_CÁLCULO'!K639-1</f>
        <v>0.14999999999999991</v>
      </c>
      <c r="H1194" s="47" t="str">
        <f>'04_MOTOR_CÁLCULO'!M639</f>
        <v>Alto</v>
      </c>
    </row>
    <row r="1195" spans="1:8" ht="13.5" customHeight="1" x14ac:dyDescent="0.25">
      <c r="A1195" s="13" t="str">
        <f>'04_MOTOR_CÁLCULO'!A640</f>
        <v>4322-3/02</v>
      </c>
      <c r="B1195" s="49" t="str">
        <f>'04_MOTOR_CÁLCULO'!B640</f>
        <v>F</v>
      </c>
      <c r="C1195" s="101" t="str">
        <f>'04_MOTOR_CÁLCULO'!C640</f>
        <v>Instalação e manutenção de sistemas centrais de ar condicionado, de ventilação e refrigeração</v>
      </c>
      <c r="D1195" s="14" t="str">
        <f>'04_MOTOR_CÁLCULO'!D640</f>
        <v>SERVIÇOS ESPECIA</v>
      </c>
      <c r="E1195" s="78" t="str">
        <f>'04_MOTOR_CÁLCULO'!N640</f>
        <v>CNAE-STG</v>
      </c>
      <c r="F1195" s="45">
        <f>'04_MOTOR_CÁLCULO'!K640</f>
        <v>1.1499999999999999</v>
      </c>
      <c r="G1195" s="46">
        <f>'04_MOTOR_CÁLCULO'!K640-1</f>
        <v>0.14999999999999991</v>
      </c>
      <c r="H1195" s="47" t="str">
        <f>'04_MOTOR_CÁLCULO'!M640</f>
        <v>Alto</v>
      </c>
    </row>
    <row r="1196" spans="1:8" ht="13.5" customHeight="1" x14ac:dyDescent="0.25">
      <c r="A1196" s="24" t="str">
        <f>'04_MOTOR_CÁLCULO'!A641</f>
        <v>4322-3/03</v>
      </c>
      <c r="B1196" s="38" t="str">
        <f>'04_MOTOR_CÁLCULO'!B641</f>
        <v>F</v>
      </c>
      <c r="C1196" s="100" t="str">
        <f>'04_MOTOR_CÁLCULO'!C641</f>
        <v>Instalações de sistema de prevenção contra incêndio</v>
      </c>
      <c r="D1196" s="25" t="str">
        <f>'04_MOTOR_CÁLCULO'!D641</f>
        <v>SERVIÇOS ESPECIA</v>
      </c>
      <c r="E1196" s="78" t="str">
        <f>'04_MOTOR_CÁLCULO'!N641</f>
        <v>CNAE-STG</v>
      </c>
      <c r="F1196" s="45">
        <f>'04_MOTOR_CÁLCULO'!K641</f>
        <v>1.1499999999999999</v>
      </c>
      <c r="G1196" s="46">
        <f>'04_MOTOR_CÁLCULO'!K641-1</f>
        <v>0.14999999999999991</v>
      </c>
      <c r="H1196" s="47" t="str">
        <f>'04_MOTOR_CÁLCULO'!M641</f>
        <v>Alto</v>
      </c>
    </row>
    <row r="1197" spans="1:8" ht="13.5" customHeight="1" x14ac:dyDescent="0.25">
      <c r="A1197" s="13" t="str">
        <f>'04_MOTOR_CÁLCULO'!A642</f>
        <v>4329-1/01</v>
      </c>
      <c r="B1197" s="49" t="str">
        <f>'04_MOTOR_CÁLCULO'!B642</f>
        <v>F</v>
      </c>
      <c r="C1197" s="101" t="str">
        <f>'04_MOTOR_CÁLCULO'!C642</f>
        <v>Instalação de painéis publicitários</v>
      </c>
      <c r="D1197" s="14" t="str">
        <f>'04_MOTOR_CÁLCULO'!D642</f>
        <v>SERVIÇOS ESPECIA</v>
      </c>
      <c r="E1197" s="78" t="str">
        <f>'04_MOTOR_CÁLCULO'!N642</f>
        <v>CNAE-STG</v>
      </c>
      <c r="F1197" s="45">
        <f>'04_MOTOR_CÁLCULO'!K642</f>
        <v>1.1499999999999999</v>
      </c>
      <c r="G1197" s="46">
        <f>'04_MOTOR_CÁLCULO'!K642-1</f>
        <v>0.14999999999999991</v>
      </c>
      <c r="H1197" s="47" t="str">
        <f>'04_MOTOR_CÁLCULO'!M642</f>
        <v>Alto</v>
      </c>
    </row>
    <row r="1198" spans="1:8" ht="13.5" customHeight="1" x14ac:dyDescent="0.25">
      <c r="A1198" s="24" t="str">
        <f>'04_MOTOR_CÁLCULO'!A643</f>
        <v>4329-1/02</v>
      </c>
      <c r="B1198" s="38" t="str">
        <f>'04_MOTOR_CÁLCULO'!B643</f>
        <v>F</v>
      </c>
      <c r="C1198" s="100" t="str">
        <f>'04_MOTOR_CÁLCULO'!C643</f>
        <v>Instalação de equipamentos para orientação à navegação marítima, fluvial e lacustre</v>
      </c>
      <c r="D1198" s="25" t="str">
        <f>'04_MOTOR_CÁLCULO'!D643</f>
        <v>SERVIÇOS ESPECIA</v>
      </c>
      <c r="E1198" s="78" t="str">
        <f>'04_MOTOR_CÁLCULO'!N643</f>
        <v>CNAE-STG</v>
      </c>
      <c r="F1198" s="45">
        <f>'04_MOTOR_CÁLCULO'!K643</f>
        <v>1.1499999999999999</v>
      </c>
      <c r="G1198" s="46">
        <f>'04_MOTOR_CÁLCULO'!K643-1</f>
        <v>0.14999999999999991</v>
      </c>
      <c r="H1198" s="47" t="str">
        <f>'04_MOTOR_CÁLCULO'!M643</f>
        <v>Alto</v>
      </c>
    </row>
    <row r="1199" spans="1:8" ht="13.5" customHeight="1" x14ac:dyDescent="0.25">
      <c r="A1199" s="13" t="str">
        <f>'04_MOTOR_CÁLCULO'!A644</f>
        <v>4329-1/03</v>
      </c>
      <c r="B1199" s="49" t="str">
        <f>'04_MOTOR_CÁLCULO'!B644</f>
        <v>F</v>
      </c>
      <c r="C1199" s="101" t="str">
        <f>'04_MOTOR_CÁLCULO'!C644</f>
        <v>Instalação, manutenção e reparação de elevadores, escadas e esteiras rolantes</v>
      </c>
      <c r="D1199" s="14" t="str">
        <f>'04_MOTOR_CÁLCULO'!D644</f>
        <v>SERVIÇOS ESPECIA</v>
      </c>
      <c r="E1199" s="78" t="str">
        <f>'04_MOTOR_CÁLCULO'!N644</f>
        <v>CNAE-STG</v>
      </c>
      <c r="F1199" s="45">
        <f>'04_MOTOR_CÁLCULO'!K644</f>
        <v>1.1499999999999999</v>
      </c>
      <c r="G1199" s="46">
        <f>'04_MOTOR_CÁLCULO'!K644-1</f>
        <v>0.14999999999999991</v>
      </c>
      <c r="H1199" s="47" t="str">
        <f>'04_MOTOR_CÁLCULO'!M644</f>
        <v>Alto</v>
      </c>
    </row>
    <row r="1200" spans="1:8" ht="13.5" customHeight="1" x14ac:dyDescent="0.25">
      <c r="A1200" s="24" t="str">
        <f>'04_MOTOR_CÁLCULO'!A645</f>
        <v>4329-1/04</v>
      </c>
      <c r="B1200" s="38" t="str">
        <f>'04_MOTOR_CÁLCULO'!B645</f>
        <v>F</v>
      </c>
      <c r="C1200" s="100" t="str">
        <f>'04_MOTOR_CÁLCULO'!C645</f>
        <v>Montagem e instalação de sistemas e equipamentos de iluminação e sinalização em vias públicas, portos e aeroportos</v>
      </c>
      <c r="D1200" s="25" t="str">
        <f>'04_MOTOR_CÁLCULO'!D645</f>
        <v>SERVIÇOS ESPECIA</v>
      </c>
      <c r="E1200" s="78" t="str">
        <f>'04_MOTOR_CÁLCULO'!N645</f>
        <v>CNAE-STG</v>
      </c>
      <c r="F1200" s="45">
        <f>'04_MOTOR_CÁLCULO'!K645</f>
        <v>1.1499999999999999</v>
      </c>
      <c r="G1200" s="46">
        <f>'04_MOTOR_CÁLCULO'!K645-1</f>
        <v>0.14999999999999991</v>
      </c>
      <c r="H1200" s="47" t="str">
        <f>'04_MOTOR_CÁLCULO'!M645</f>
        <v>Alto</v>
      </c>
    </row>
    <row r="1201" spans="1:8" ht="13.5" customHeight="1" x14ac:dyDescent="0.25">
      <c r="A1201" s="13" t="str">
        <f>'04_MOTOR_CÁLCULO'!A646</f>
        <v>4329-1/05</v>
      </c>
      <c r="B1201" s="49" t="str">
        <f>'04_MOTOR_CÁLCULO'!B646</f>
        <v>F</v>
      </c>
      <c r="C1201" s="101" t="str">
        <f>'04_MOTOR_CÁLCULO'!C646</f>
        <v>Tratamentos térmicos, acústicos ou de vibração</v>
      </c>
      <c r="D1201" s="14" t="str">
        <f>'04_MOTOR_CÁLCULO'!D646</f>
        <v>SERVIÇOS ESPECIA</v>
      </c>
      <c r="E1201" s="78" t="str">
        <f>'04_MOTOR_CÁLCULO'!N646</f>
        <v>CNAE-STG</v>
      </c>
      <c r="F1201" s="45">
        <f>'04_MOTOR_CÁLCULO'!K646</f>
        <v>1.1499999999999999</v>
      </c>
      <c r="G1201" s="46">
        <f>'04_MOTOR_CÁLCULO'!K646-1</f>
        <v>0.14999999999999991</v>
      </c>
      <c r="H1201" s="47" t="str">
        <f>'04_MOTOR_CÁLCULO'!M646</f>
        <v>Alto</v>
      </c>
    </row>
    <row r="1202" spans="1:8" ht="13.5" customHeight="1" x14ac:dyDescent="0.25">
      <c r="A1202" s="24" t="str">
        <f>'04_MOTOR_CÁLCULO'!A647</f>
        <v>4329-1/99</v>
      </c>
      <c r="B1202" s="38" t="str">
        <f>'04_MOTOR_CÁLCULO'!B647</f>
        <v>F</v>
      </c>
      <c r="C1202" s="100" t="str">
        <f>'04_MOTOR_CÁLCULO'!C647</f>
        <v>Outras obras de instalações em construções não especificadas anteriormente</v>
      </c>
      <c r="D1202" s="25" t="str">
        <f>'04_MOTOR_CÁLCULO'!D647</f>
        <v>SERVIÇOS ESPECIA</v>
      </c>
      <c r="E1202" s="78" t="str">
        <f>'04_MOTOR_CÁLCULO'!N647</f>
        <v>CNAE-STG</v>
      </c>
      <c r="F1202" s="45">
        <f>'04_MOTOR_CÁLCULO'!K647</f>
        <v>1.1499999999999999</v>
      </c>
      <c r="G1202" s="46">
        <f>'04_MOTOR_CÁLCULO'!K647-1</f>
        <v>0.14999999999999991</v>
      </c>
      <c r="H1202" s="47" t="str">
        <f>'04_MOTOR_CÁLCULO'!M647</f>
        <v>Alto</v>
      </c>
    </row>
    <row r="1203" spans="1:8" ht="13.5" customHeight="1" x14ac:dyDescent="0.25">
      <c r="A1203" s="13" t="str">
        <f>'04_MOTOR_CÁLCULO'!A648</f>
        <v>4330-4/01</v>
      </c>
      <c r="B1203" s="49" t="str">
        <f>'04_MOTOR_CÁLCULO'!B648</f>
        <v>F</v>
      </c>
      <c r="C1203" s="101" t="str">
        <f>'04_MOTOR_CÁLCULO'!C648</f>
        <v>Impermeabilização em obras de engenharia civil</v>
      </c>
      <c r="D1203" s="14" t="str">
        <f>'04_MOTOR_CÁLCULO'!D648</f>
        <v>SERVIÇOS ESPECIA</v>
      </c>
      <c r="E1203" s="78" t="str">
        <f>'04_MOTOR_CÁLCULO'!N648</f>
        <v>CNAE-STG</v>
      </c>
      <c r="F1203" s="45">
        <f>'04_MOTOR_CÁLCULO'!K648</f>
        <v>1.1499999999999999</v>
      </c>
      <c r="G1203" s="46">
        <f>'04_MOTOR_CÁLCULO'!K648-1</f>
        <v>0.14999999999999991</v>
      </c>
      <c r="H1203" s="47" t="str">
        <f>'04_MOTOR_CÁLCULO'!M648</f>
        <v>Alto</v>
      </c>
    </row>
    <row r="1204" spans="1:8" ht="13.5" customHeight="1" x14ac:dyDescent="0.25">
      <c r="A1204" s="24" t="str">
        <f>'04_MOTOR_CÁLCULO'!A649</f>
        <v>4330-4/02</v>
      </c>
      <c r="B1204" s="38" t="str">
        <f>'04_MOTOR_CÁLCULO'!B649</f>
        <v>F</v>
      </c>
      <c r="C1204" s="100" t="str">
        <f>'04_MOTOR_CÁLCULO'!C649</f>
        <v>Instalação de portas, janelas, tetos, divisórias e armários embutidos de qualquer material</v>
      </c>
      <c r="D1204" s="25" t="str">
        <f>'04_MOTOR_CÁLCULO'!D649</f>
        <v>SERVIÇOS ESPECIA</v>
      </c>
      <c r="E1204" s="78" t="str">
        <f>'04_MOTOR_CÁLCULO'!N649</f>
        <v>CNAE-STG</v>
      </c>
      <c r="F1204" s="45">
        <f>'04_MOTOR_CÁLCULO'!K649</f>
        <v>1.1499999999999999</v>
      </c>
      <c r="G1204" s="46">
        <f>'04_MOTOR_CÁLCULO'!K649-1</f>
        <v>0.14999999999999991</v>
      </c>
      <c r="H1204" s="47" t="str">
        <f>'04_MOTOR_CÁLCULO'!M649</f>
        <v>Alto</v>
      </c>
    </row>
    <row r="1205" spans="1:8" ht="13.5" customHeight="1" x14ac:dyDescent="0.25">
      <c r="A1205" s="13" t="str">
        <f>'04_MOTOR_CÁLCULO'!A650</f>
        <v>4330-4/03</v>
      </c>
      <c r="B1205" s="49" t="str">
        <f>'04_MOTOR_CÁLCULO'!B650</f>
        <v>F</v>
      </c>
      <c r="C1205" s="101" t="str">
        <f>'04_MOTOR_CÁLCULO'!C650</f>
        <v>Obras de acabamento em gesso e estuque</v>
      </c>
      <c r="D1205" s="14" t="str">
        <f>'04_MOTOR_CÁLCULO'!D650</f>
        <v>SERVIÇOS ESPECIA</v>
      </c>
      <c r="E1205" s="78" t="str">
        <f>'04_MOTOR_CÁLCULO'!N650</f>
        <v>CNAE-STG</v>
      </c>
      <c r="F1205" s="45">
        <f>'04_MOTOR_CÁLCULO'!K650</f>
        <v>1.1499999999999999</v>
      </c>
      <c r="G1205" s="46">
        <f>'04_MOTOR_CÁLCULO'!K650-1</f>
        <v>0.14999999999999991</v>
      </c>
      <c r="H1205" s="47" t="str">
        <f>'04_MOTOR_CÁLCULO'!M650</f>
        <v>Alto</v>
      </c>
    </row>
    <row r="1206" spans="1:8" ht="13.5" customHeight="1" x14ac:dyDescent="0.25">
      <c r="A1206" s="24" t="str">
        <f>'04_MOTOR_CÁLCULO'!A651</f>
        <v>4330-4/04</v>
      </c>
      <c r="B1206" s="38" t="str">
        <f>'04_MOTOR_CÁLCULO'!B651</f>
        <v>F</v>
      </c>
      <c r="C1206" s="100" t="str">
        <f>'04_MOTOR_CÁLCULO'!C651</f>
        <v>Serviços de pintura de edifícios em geral</v>
      </c>
      <c r="D1206" s="25" t="str">
        <f>'04_MOTOR_CÁLCULO'!D651</f>
        <v>SERVIÇOS ESPECIA</v>
      </c>
      <c r="E1206" s="78" t="str">
        <f>'04_MOTOR_CÁLCULO'!N651</f>
        <v>CNAE-STG</v>
      </c>
      <c r="F1206" s="45">
        <f>'04_MOTOR_CÁLCULO'!K651</f>
        <v>1.1499999999999999</v>
      </c>
      <c r="G1206" s="46">
        <f>'04_MOTOR_CÁLCULO'!K651-1</f>
        <v>0.14999999999999991</v>
      </c>
      <c r="H1206" s="47" t="str">
        <f>'04_MOTOR_CÁLCULO'!M651</f>
        <v>Alto</v>
      </c>
    </row>
    <row r="1207" spans="1:8" ht="13.5" customHeight="1" x14ac:dyDescent="0.25">
      <c r="A1207" s="13" t="str">
        <f>'04_MOTOR_CÁLCULO'!A652</f>
        <v>4330-4/05</v>
      </c>
      <c r="B1207" s="49" t="str">
        <f>'04_MOTOR_CÁLCULO'!B652</f>
        <v>F</v>
      </c>
      <c r="C1207" s="101" t="str">
        <f>'04_MOTOR_CÁLCULO'!C652</f>
        <v>Aplicação de revestimentos e de resinas em interiores e exteriores</v>
      </c>
      <c r="D1207" s="14" t="str">
        <f>'04_MOTOR_CÁLCULO'!D652</f>
        <v>SERVIÇOS ESPECIA</v>
      </c>
      <c r="E1207" s="78" t="str">
        <f>'04_MOTOR_CÁLCULO'!N652</f>
        <v>CNAE-STG</v>
      </c>
      <c r="F1207" s="45">
        <f>'04_MOTOR_CÁLCULO'!K652</f>
        <v>1.1499999999999999</v>
      </c>
      <c r="G1207" s="46">
        <f>'04_MOTOR_CÁLCULO'!K652-1</f>
        <v>0.14999999999999991</v>
      </c>
      <c r="H1207" s="47" t="str">
        <f>'04_MOTOR_CÁLCULO'!M652</f>
        <v>Alto</v>
      </c>
    </row>
    <row r="1208" spans="1:8" ht="13.5" customHeight="1" x14ac:dyDescent="0.25">
      <c r="A1208" s="24" t="str">
        <f>'04_MOTOR_CÁLCULO'!A653</f>
        <v>4330-4/99</v>
      </c>
      <c r="B1208" s="38" t="str">
        <f>'04_MOTOR_CÁLCULO'!B653</f>
        <v>F</v>
      </c>
      <c r="C1208" s="100" t="str">
        <f>'04_MOTOR_CÁLCULO'!C653</f>
        <v>Outras obras de acabamento da construção</v>
      </c>
      <c r="D1208" s="25" t="str">
        <f>'04_MOTOR_CÁLCULO'!D653</f>
        <v>SERVIÇOS ESPECIA</v>
      </c>
      <c r="E1208" s="78" t="str">
        <f>'04_MOTOR_CÁLCULO'!N653</f>
        <v>CNAE-STG</v>
      </c>
      <c r="F1208" s="45">
        <f>'04_MOTOR_CÁLCULO'!K653</f>
        <v>1.1499999999999999</v>
      </c>
      <c r="G1208" s="46">
        <f>'04_MOTOR_CÁLCULO'!K653-1</f>
        <v>0.14999999999999991</v>
      </c>
      <c r="H1208" s="47" t="str">
        <f>'04_MOTOR_CÁLCULO'!M653</f>
        <v>Alto</v>
      </c>
    </row>
    <row r="1209" spans="1:8" ht="13.5" customHeight="1" x14ac:dyDescent="0.25">
      <c r="A1209" s="13" t="str">
        <f>'04_MOTOR_CÁLCULO'!A654</f>
        <v>4391-6/00</v>
      </c>
      <c r="B1209" s="49" t="str">
        <f>'04_MOTOR_CÁLCULO'!B654</f>
        <v>F</v>
      </c>
      <c r="C1209" s="101" t="str">
        <f>'04_MOTOR_CÁLCULO'!C654</f>
        <v>Obras de fundações</v>
      </c>
      <c r="D1209" s="14" t="str">
        <f>'04_MOTOR_CÁLCULO'!D654</f>
        <v>SERVIÇOS ESPECIA</v>
      </c>
      <c r="E1209" s="78" t="str">
        <f>'04_MOTOR_CÁLCULO'!N654</f>
        <v>CNAE-STG</v>
      </c>
      <c r="F1209" s="45">
        <f>'04_MOTOR_CÁLCULO'!K654</f>
        <v>1.1499999999999999</v>
      </c>
      <c r="G1209" s="46">
        <f>'04_MOTOR_CÁLCULO'!K654-1</f>
        <v>0.14999999999999991</v>
      </c>
      <c r="H1209" s="47" t="str">
        <f>'04_MOTOR_CÁLCULO'!M654</f>
        <v>Alto</v>
      </c>
    </row>
    <row r="1210" spans="1:8" ht="13.5" customHeight="1" x14ac:dyDescent="0.25">
      <c r="A1210" s="24" t="str">
        <f>'04_MOTOR_CÁLCULO'!A655</f>
        <v>4399-1/01</v>
      </c>
      <c r="B1210" s="38" t="str">
        <f>'04_MOTOR_CÁLCULO'!B655</f>
        <v>F</v>
      </c>
      <c r="C1210" s="100" t="str">
        <f>'04_MOTOR_CÁLCULO'!C655</f>
        <v>Administração de obras</v>
      </c>
      <c r="D1210" s="25" t="str">
        <f>'04_MOTOR_CÁLCULO'!D655</f>
        <v>SERVIÇOS ESPECIA</v>
      </c>
      <c r="E1210" s="78" t="str">
        <f>'04_MOTOR_CÁLCULO'!N655</f>
        <v>CNAE-STG</v>
      </c>
      <c r="F1210" s="45">
        <f>'04_MOTOR_CÁLCULO'!K655</f>
        <v>1.1499999999999999</v>
      </c>
      <c r="G1210" s="46">
        <f>'04_MOTOR_CÁLCULO'!K655-1</f>
        <v>0.14999999999999991</v>
      </c>
      <c r="H1210" s="47" t="str">
        <f>'04_MOTOR_CÁLCULO'!M655</f>
        <v>Alto</v>
      </c>
    </row>
    <row r="1211" spans="1:8" ht="13.5" customHeight="1" x14ac:dyDescent="0.25">
      <c r="A1211" s="13" t="str">
        <f>'04_MOTOR_CÁLCULO'!A656</f>
        <v>4399-1/02</v>
      </c>
      <c r="B1211" s="49" t="str">
        <f>'04_MOTOR_CÁLCULO'!B656</f>
        <v>F</v>
      </c>
      <c r="C1211" s="101" t="str">
        <f>'04_MOTOR_CÁLCULO'!C656</f>
        <v>Montagem e desmontagem de andaimes e outras estruturas temporárias</v>
      </c>
      <c r="D1211" s="14" t="str">
        <f>'04_MOTOR_CÁLCULO'!D656</f>
        <v>SERVIÇOS ESPECIA</v>
      </c>
      <c r="E1211" s="78" t="str">
        <f>'04_MOTOR_CÁLCULO'!N656</f>
        <v>CNAE-STG</v>
      </c>
      <c r="F1211" s="45">
        <f>'04_MOTOR_CÁLCULO'!K656</f>
        <v>1.1499999999999999</v>
      </c>
      <c r="G1211" s="46">
        <f>'04_MOTOR_CÁLCULO'!K656-1</f>
        <v>0.14999999999999991</v>
      </c>
      <c r="H1211" s="47" t="str">
        <f>'04_MOTOR_CÁLCULO'!M656</f>
        <v>Alto</v>
      </c>
    </row>
    <row r="1212" spans="1:8" ht="13.5" customHeight="1" x14ac:dyDescent="0.25">
      <c r="A1212" s="24" t="str">
        <f>'04_MOTOR_CÁLCULO'!A657</f>
        <v>4399-1/03</v>
      </c>
      <c r="B1212" s="38" t="str">
        <f>'04_MOTOR_CÁLCULO'!B657</f>
        <v>F</v>
      </c>
      <c r="C1212" s="100" t="str">
        <f>'04_MOTOR_CÁLCULO'!C657</f>
        <v>Obras de alvenaria</v>
      </c>
      <c r="D1212" s="25" t="str">
        <f>'04_MOTOR_CÁLCULO'!D657</f>
        <v>SERVIÇOS ESPECIA</v>
      </c>
      <c r="E1212" s="78" t="str">
        <f>'04_MOTOR_CÁLCULO'!N657</f>
        <v>CNAE-STG</v>
      </c>
      <c r="F1212" s="45">
        <f>'04_MOTOR_CÁLCULO'!K657</f>
        <v>1.1499999999999999</v>
      </c>
      <c r="G1212" s="46">
        <f>'04_MOTOR_CÁLCULO'!K657-1</f>
        <v>0.14999999999999991</v>
      </c>
      <c r="H1212" s="47" t="str">
        <f>'04_MOTOR_CÁLCULO'!M657</f>
        <v>Alto</v>
      </c>
    </row>
    <row r="1213" spans="1:8" ht="13.5" customHeight="1" x14ac:dyDescent="0.25">
      <c r="A1213" s="13" t="str">
        <f>'04_MOTOR_CÁLCULO'!A658</f>
        <v>4399-1/04</v>
      </c>
      <c r="B1213" s="49" t="str">
        <f>'04_MOTOR_CÁLCULO'!B658</f>
        <v>F</v>
      </c>
      <c r="C1213" s="101" t="str">
        <f>'04_MOTOR_CÁLCULO'!C658</f>
        <v>Serviços de operação e fornecimento de equipamentos para transporte e elevação de cargas e pessoas para uso em obras</v>
      </c>
      <c r="D1213" s="14" t="str">
        <f>'04_MOTOR_CÁLCULO'!D658</f>
        <v>SERVIÇOS ESPECIA</v>
      </c>
      <c r="E1213" s="78" t="str">
        <f>'04_MOTOR_CÁLCULO'!N658</f>
        <v>CNAE-STG</v>
      </c>
      <c r="F1213" s="45">
        <f>'04_MOTOR_CÁLCULO'!K658</f>
        <v>1.1499999999999999</v>
      </c>
      <c r="G1213" s="46">
        <f>'04_MOTOR_CÁLCULO'!K658-1</f>
        <v>0.14999999999999991</v>
      </c>
      <c r="H1213" s="47" t="str">
        <f>'04_MOTOR_CÁLCULO'!M658</f>
        <v>Alto</v>
      </c>
    </row>
    <row r="1214" spans="1:8" ht="13.5" customHeight="1" x14ac:dyDescent="0.25">
      <c r="A1214" s="24" t="str">
        <f>'04_MOTOR_CÁLCULO'!A659</f>
        <v>4399-1/05</v>
      </c>
      <c r="B1214" s="38" t="str">
        <f>'04_MOTOR_CÁLCULO'!B659</f>
        <v>F</v>
      </c>
      <c r="C1214" s="100" t="str">
        <f>'04_MOTOR_CÁLCULO'!C659</f>
        <v>Perfuração e construção de poços de água</v>
      </c>
      <c r="D1214" s="25" t="str">
        <f>'04_MOTOR_CÁLCULO'!D659</f>
        <v>SERVIÇOS ESPECIA</v>
      </c>
      <c r="E1214" s="78" t="str">
        <f>'04_MOTOR_CÁLCULO'!N659</f>
        <v>CNAE-STG</v>
      </c>
      <c r="F1214" s="45">
        <f>'04_MOTOR_CÁLCULO'!K659</f>
        <v>1.1499999999999999</v>
      </c>
      <c r="G1214" s="46">
        <f>'04_MOTOR_CÁLCULO'!K659-1</f>
        <v>0.14999999999999991</v>
      </c>
      <c r="H1214" s="47" t="str">
        <f>'04_MOTOR_CÁLCULO'!M659</f>
        <v>Alto</v>
      </c>
    </row>
    <row r="1215" spans="1:8" ht="13.5" customHeight="1" x14ac:dyDescent="0.25">
      <c r="A1215" s="13" t="str">
        <f>'04_MOTOR_CÁLCULO'!A660</f>
        <v>4399-1/99</v>
      </c>
      <c r="B1215" s="49" t="str">
        <f>'04_MOTOR_CÁLCULO'!B660</f>
        <v>F</v>
      </c>
      <c r="C1215" s="101" t="str">
        <f>'04_MOTOR_CÁLCULO'!C660</f>
        <v>Serviços especializados para construção não especificados anteriormente</v>
      </c>
      <c r="D1215" s="14" t="str">
        <f>'04_MOTOR_CÁLCULO'!D660</f>
        <v>SERVIÇOS ESPECIA</v>
      </c>
      <c r="E1215" s="78" t="str">
        <f>'04_MOTOR_CÁLCULO'!N660</f>
        <v>CNAE-STG</v>
      </c>
      <c r="F1215" s="45">
        <f>'04_MOTOR_CÁLCULO'!K660</f>
        <v>1.1499999999999999</v>
      </c>
      <c r="G1215" s="46">
        <f>'04_MOTOR_CÁLCULO'!K660-1</f>
        <v>0.14999999999999991</v>
      </c>
      <c r="H1215" s="47" t="str">
        <f>'04_MOTOR_CÁLCULO'!M660</f>
        <v>Alto</v>
      </c>
    </row>
    <row r="1216" spans="1:8" ht="13.5" customHeight="1" x14ac:dyDescent="0.25">
      <c r="A1216" s="24" t="str">
        <f>'04_MOTOR_CÁLCULO'!A827</f>
        <v>4731-8/00</v>
      </c>
      <c r="B1216" s="38" t="str">
        <f>'04_MOTOR_CÁLCULO'!B827</f>
        <v>G</v>
      </c>
      <c r="C1216" s="100" t="str">
        <f>'04_MOTOR_CÁLCULO'!C827</f>
        <v>Comércio varejista de combustíveis para veículos automotores</v>
      </c>
      <c r="D1216" s="25" t="str">
        <f>'04_MOTOR_CÁLCULO'!D827</f>
        <v>COMÉRCIO VAREJIS</v>
      </c>
      <c r="E1216" s="78" t="str">
        <f>'04_MOTOR_CÁLCULO'!N827</f>
        <v>CNAE-STG</v>
      </c>
      <c r="F1216" s="45">
        <f>'04_MOTOR_CÁLCULO'!K827</f>
        <v>1.1499999999999999</v>
      </c>
      <c r="G1216" s="46">
        <f>'04_MOTOR_CÁLCULO'!K827-1</f>
        <v>0.14999999999999991</v>
      </c>
      <c r="H1216" s="47" t="str">
        <f>'04_MOTOR_CÁLCULO'!M827</f>
        <v>Alto</v>
      </c>
    </row>
    <row r="1217" spans="1:8" ht="13.5" customHeight="1" x14ac:dyDescent="0.25">
      <c r="A1217" s="13" t="str">
        <f>'04_MOTOR_CÁLCULO'!A828</f>
        <v>4732-6/00</v>
      </c>
      <c r="B1217" s="49" t="str">
        <f>'04_MOTOR_CÁLCULO'!B828</f>
        <v>G</v>
      </c>
      <c r="C1217" s="101" t="str">
        <f>'04_MOTOR_CÁLCULO'!C828</f>
        <v>Comércio varejista de lubrificantes</v>
      </c>
      <c r="D1217" s="14" t="str">
        <f>'04_MOTOR_CÁLCULO'!D828</f>
        <v>COMÉRCIO VAREJIS</v>
      </c>
      <c r="E1217" s="78" t="str">
        <f>'04_MOTOR_CÁLCULO'!N828</f>
        <v>CNAE-STG</v>
      </c>
      <c r="F1217" s="45">
        <f>'04_MOTOR_CÁLCULO'!K828</f>
        <v>1.1499999999999999</v>
      </c>
      <c r="G1217" s="46">
        <f>'04_MOTOR_CÁLCULO'!K828-1</f>
        <v>0.14999999999999991</v>
      </c>
      <c r="H1217" s="47" t="str">
        <f>'04_MOTOR_CÁLCULO'!M828</f>
        <v>Alto</v>
      </c>
    </row>
    <row r="1218" spans="1:8" ht="13.5" customHeight="1" x14ac:dyDescent="0.25">
      <c r="A1218" s="24" t="str">
        <f>'04_MOTOR_CÁLCULO'!A887</f>
        <v>4911-6/00</v>
      </c>
      <c r="B1218" s="38" t="str">
        <f>'04_MOTOR_CÁLCULO'!B887</f>
        <v>H</v>
      </c>
      <c r="C1218" s="100" t="str">
        <f>'04_MOTOR_CÁLCULO'!C887</f>
        <v>Transporte ferroviário de carga</v>
      </c>
      <c r="D1218" s="25" t="str">
        <f>'04_MOTOR_CÁLCULO'!D887</f>
        <v>TRANSPORTE TERRE</v>
      </c>
      <c r="E1218" s="78" t="str">
        <f>'04_MOTOR_CÁLCULO'!N887</f>
        <v>CNAE-STG</v>
      </c>
      <c r="F1218" s="45">
        <f>'04_MOTOR_CÁLCULO'!K887</f>
        <v>1.1499999999999999</v>
      </c>
      <c r="G1218" s="46">
        <f>'04_MOTOR_CÁLCULO'!K887-1</f>
        <v>0.14999999999999991</v>
      </c>
      <c r="H1218" s="47" t="str">
        <f>'04_MOTOR_CÁLCULO'!M887</f>
        <v>Alto</v>
      </c>
    </row>
    <row r="1219" spans="1:8" ht="13.5" customHeight="1" x14ac:dyDescent="0.25">
      <c r="A1219" s="13" t="str">
        <f>'04_MOTOR_CÁLCULO'!A888</f>
        <v>4912-4/01</v>
      </c>
      <c r="B1219" s="49" t="str">
        <f>'04_MOTOR_CÁLCULO'!B888</f>
        <v>H</v>
      </c>
      <c r="C1219" s="101" t="str">
        <f>'04_MOTOR_CÁLCULO'!C888</f>
        <v>Transporte ferroviário de passageiros intermunicipal e interestadual</v>
      </c>
      <c r="D1219" s="14" t="str">
        <f>'04_MOTOR_CÁLCULO'!D888</f>
        <v>TRANSPORTE TERRE</v>
      </c>
      <c r="E1219" s="78" t="str">
        <f>'04_MOTOR_CÁLCULO'!N888</f>
        <v>CNAE-STG</v>
      </c>
      <c r="F1219" s="45">
        <f>'04_MOTOR_CÁLCULO'!K888</f>
        <v>1.1499999999999999</v>
      </c>
      <c r="G1219" s="46">
        <f>'04_MOTOR_CÁLCULO'!K888-1</f>
        <v>0.14999999999999991</v>
      </c>
      <c r="H1219" s="47" t="str">
        <f>'04_MOTOR_CÁLCULO'!M888</f>
        <v>Alto</v>
      </c>
    </row>
    <row r="1220" spans="1:8" ht="13.5" customHeight="1" x14ac:dyDescent="0.25">
      <c r="A1220" s="24" t="str">
        <f>'04_MOTOR_CÁLCULO'!A889</f>
        <v>4912-4/02</v>
      </c>
      <c r="B1220" s="38" t="str">
        <f>'04_MOTOR_CÁLCULO'!B889</f>
        <v>H</v>
      </c>
      <c r="C1220" s="100" t="str">
        <f>'04_MOTOR_CÁLCULO'!C889</f>
        <v>Transporte ferroviário de passageiros municipal e em região metropolitana</v>
      </c>
      <c r="D1220" s="25" t="str">
        <f>'04_MOTOR_CÁLCULO'!D889</f>
        <v>TRANSPORTE TERRE</v>
      </c>
      <c r="E1220" s="78" t="str">
        <f>'04_MOTOR_CÁLCULO'!N889</f>
        <v>CNAE-STG</v>
      </c>
      <c r="F1220" s="45">
        <f>'04_MOTOR_CÁLCULO'!K889</f>
        <v>1.1499999999999999</v>
      </c>
      <c r="G1220" s="46">
        <f>'04_MOTOR_CÁLCULO'!K889-1</f>
        <v>0.14999999999999991</v>
      </c>
      <c r="H1220" s="47" t="str">
        <f>'04_MOTOR_CÁLCULO'!M889</f>
        <v>Alto</v>
      </c>
    </row>
    <row r="1221" spans="1:8" ht="13.5" customHeight="1" x14ac:dyDescent="0.25">
      <c r="A1221" s="13" t="str">
        <f>'04_MOTOR_CÁLCULO'!A890</f>
        <v>4912-4/03</v>
      </c>
      <c r="B1221" s="49" t="str">
        <f>'04_MOTOR_CÁLCULO'!B890</f>
        <v>H</v>
      </c>
      <c r="C1221" s="101" t="str">
        <f>'04_MOTOR_CÁLCULO'!C890</f>
        <v>Transporte metroviário</v>
      </c>
      <c r="D1221" s="14" t="str">
        <f>'04_MOTOR_CÁLCULO'!D890</f>
        <v>TRANSPORTE TERRE</v>
      </c>
      <c r="E1221" s="78" t="str">
        <f>'04_MOTOR_CÁLCULO'!N890</f>
        <v>CNAE-STG</v>
      </c>
      <c r="F1221" s="45">
        <f>'04_MOTOR_CÁLCULO'!K890</f>
        <v>1.1499999999999999</v>
      </c>
      <c r="G1221" s="46">
        <f>'04_MOTOR_CÁLCULO'!K890-1</f>
        <v>0.14999999999999991</v>
      </c>
      <c r="H1221" s="47" t="str">
        <f>'04_MOTOR_CÁLCULO'!M890</f>
        <v>Alto</v>
      </c>
    </row>
    <row r="1222" spans="1:8" ht="13.5" customHeight="1" x14ac:dyDescent="0.25">
      <c r="A1222" s="24" t="str">
        <f>'04_MOTOR_CÁLCULO'!A891</f>
        <v>4921-3/01</v>
      </c>
      <c r="B1222" s="38" t="str">
        <f>'04_MOTOR_CÁLCULO'!B891</f>
        <v>H</v>
      </c>
      <c r="C1222" s="100" t="str">
        <f>'04_MOTOR_CÁLCULO'!C891</f>
        <v>Transporte rodoviário coletivo de passageiros, com itinerário fixo, municipal</v>
      </c>
      <c r="D1222" s="25" t="str">
        <f>'04_MOTOR_CÁLCULO'!D891</f>
        <v>TRANSPORTE TERRE</v>
      </c>
      <c r="E1222" s="78" t="str">
        <f>'04_MOTOR_CÁLCULO'!N891</f>
        <v>CNAE-STG</v>
      </c>
      <c r="F1222" s="45">
        <f>'04_MOTOR_CÁLCULO'!K891</f>
        <v>1.1499999999999999</v>
      </c>
      <c r="G1222" s="46">
        <f>'04_MOTOR_CÁLCULO'!K891-1</f>
        <v>0.14999999999999991</v>
      </c>
      <c r="H1222" s="47" t="str">
        <f>'04_MOTOR_CÁLCULO'!M891</f>
        <v>Alto</v>
      </c>
    </row>
    <row r="1223" spans="1:8" ht="13.5" customHeight="1" x14ac:dyDescent="0.25">
      <c r="A1223" s="13" t="str">
        <f>'04_MOTOR_CÁLCULO'!A892</f>
        <v>4921-3/02</v>
      </c>
      <c r="B1223" s="49" t="str">
        <f>'04_MOTOR_CÁLCULO'!B892</f>
        <v>H</v>
      </c>
      <c r="C1223" s="101" t="str">
        <f>'04_MOTOR_CÁLCULO'!C892</f>
        <v>Transporte rodoviário coletivo de passageiros, com itinerário fixo, intermunicipal em região metropolitana</v>
      </c>
      <c r="D1223" s="14" t="str">
        <f>'04_MOTOR_CÁLCULO'!D892</f>
        <v>TRANSPORTE TERRE</v>
      </c>
      <c r="E1223" s="78" t="str">
        <f>'04_MOTOR_CÁLCULO'!N892</f>
        <v>CNAE-STG</v>
      </c>
      <c r="F1223" s="45">
        <f>'04_MOTOR_CÁLCULO'!K892</f>
        <v>1.1499999999999999</v>
      </c>
      <c r="G1223" s="46">
        <f>'04_MOTOR_CÁLCULO'!K892-1</f>
        <v>0.14999999999999991</v>
      </c>
      <c r="H1223" s="47" t="str">
        <f>'04_MOTOR_CÁLCULO'!M892</f>
        <v>Alto</v>
      </c>
    </row>
    <row r="1224" spans="1:8" ht="13.5" customHeight="1" x14ac:dyDescent="0.25">
      <c r="A1224" s="24" t="str">
        <f>'04_MOTOR_CÁLCULO'!A893</f>
        <v>4922-1/01</v>
      </c>
      <c r="B1224" s="38" t="str">
        <f>'04_MOTOR_CÁLCULO'!B893</f>
        <v>H</v>
      </c>
      <c r="C1224" s="100" t="str">
        <f>'04_MOTOR_CÁLCULO'!C893</f>
        <v>Transporte rodoviário coletivo de passageiros, com itinerário fixo, intermunicipal, exceto em região metropolitana</v>
      </c>
      <c r="D1224" s="25" t="str">
        <f>'04_MOTOR_CÁLCULO'!D893</f>
        <v>TRANSPORTE TERRE</v>
      </c>
      <c r="E1224" s="78" t="str">
        <f>'04_MOTOR_CÁLCULO'!N893</f>
        <v>CNAE-STG</v>
      </c>
      <c r="F1224" s="45">
        <f>'04_MOTOR_CÁLCULO'!K893</f>
        <v>1.1499999999999999</v>
      </c>
      <c r="G1224" s="46">
        <f>'04_MOTOR_CÁLCULO'!K893-1</f>
        <v>0.14999999999999991</v>
      </c>
      <c r="H1224" s="47" t="str">
        <f>'04_MOTOR_CÁLCULO'!M893</f>
        <v>Alto</v>
      </c>
    </row>
    <row r="1225" spans="1:8" ht="13.5" customHeight="1" x14ac:dyDescent="0.25">
      <c r="A1225" s="13" t="str">
        <f>'04_MOTOR_CÁLCULO'!A894</f>
        <v>4922-1/02</v>
      </c>
      <c r="B1225" s="49" t="str">
        <f>'04_MOTOR_CÁLCULO'!B894</f>
        <v>H</v>
      </c>
      <c r="C1225" s="101" t="str">
        <f>'04_MOTOR_CÁLCULO'!C894</f>
        <v>Transporte rodoviário coletivo de passageiros, com itinerário fixo, interestadual</v>
      </c>
      <c r="D1225" s="14" t="str">
        <f>'04_MOTOR_CÁLCULO'!D894</f>
        <v>TRANSPORTE TERRE</v>
      </c>
      <c r="E1225" s="78" t="str">
        <f>'04_MOTOR_CÁLCULO'!N894</f>
        <v>CNAE-STG</v>
      </c>
      <c r="F1225" s="45">
        <f>'04_MOTOR_CÁLCULO'!K894</f>
        <v>1.1499999999999999</v>
      </c>
      <c r="G1225" s="46">
        <f>'04_MOTOR_CÁLCULO'!K894-1</f>
        <v>0.14999999999999991</v>
      </c>
      <c r="H1225" s="47" t="str">
        <f>'04_MOTOR_CÁLCULO'!M894</f>
        <v>Alto</v>
      </c>
    </row>
    <row r="1226" spans="1:8" ht="13.5" customHeight="1" x14ac:dyDescent="0.25">
      <c r="A1226" s="24" t="str">
        <f>'04_MOTOR_CÁLCULO'!A895</f>
        <v>4922-1/03</v>
      </c>
      <c r="B1226" s="38" t="str">
        <f>'04_MOTOR_CÁLCULO'!B895</f>
        <v>H</v>
      </c>
      <c r="C1226" s="100" t="str">
        <f>'04_MOTOR_CÁLCULO'!C895</f>
        <v>Transporte rodoviário coletivo de passageiros, com itinerário fixo, internacional</v>
      </c>
      <c r="D1226" s="25" t="str">
        <f>'04_MOTOR_CÁLCULO'!D895</f>
        <v>TRANSPORTE TERRE</v>
      </c>
      <c r="E1226" s="78" t="str">
        <f>'04_MOTOR_CÁLCULO'!N895</f>
        <v>CNAE-STG</v>
      </c>
      <c r="F1226" s="45">
        <f>'04_MOTOR_CÁLCULO'!K895</f>
        <v>1.1499999999999999</v>
      </c>
      <c r="G1226" s="46">
        <f>'04_MOTOR_CÁLCULO'!K895-1</f>
        <v>0.14999999999999991</v>
      </c>
      <c r="H1226" s="47" t="str">
        <f>'04_MOTOR_CÁLCULO'!M895</f>
        <v>Alto</v>
      </c>
    </row>
    <row r="1227" spans="1:8" ht="13.5" customHeight="1" x14ac:dyDescent="0.25">
      <c r="A1227" s="13" t="str">
        <f>'04_MOTOR_CÁLCULO'!A896</f>
        <v>4923-0/01</v>
      </c>
      <c r="B1227" s="49" t="str">
        <f>'04_MOTOR_CÁLCULO'!B896</f>
        <v>H</v>
      </c>
      <c r="C1227" s="101" t="str">
        <f>'04_MOTOR_CÁLCULO'!C896</f>
        <v>Serviço de táxi</v>
      </c>
      <c r="D1227" s="14" t="str">
        <f>'04_MOTOR_CÁLCULO'!D896</f>
        <v>TRANSPORTE TERRE</v>
      </c>
      <c r="E1227" s="78" t="str">
        <f>'04_MOTOR_CÁLCULO'!N896</f>
        <v>CNAE-STG</v>
      </c>
      <c r="F1227" s="45">
        <f>'04_MOTOR_CÁLCULO'!K896</f>
        <v>1.1499999999999999</v>
      </c>
      <c r="G1227" s="46">
        <f>'04_MOTOR_CÁLCULO'!K896-1</f>
        <v>0.14999999999999991</v>
      </c>
      <c r="H1227" s="47" t="str">
        <f>'04_MOTOR_CÁLCULO'!M896</f>
        <v>Alto</v>
      </c>
    </row>
    <row r="1228" spans="1:8" ht="13.5" customHeight="1" x14ac:dyDescent="0.25">
      <c r="A1228" s="24" t="str">
        <f>'04_MOTOR_CÁLCULO'!A897</f>
        <v>4923-0/02</v>
      </c>
      <c r="B1228" s="38" t="str">
        <f>'04_MOTOR_CÁLCULO'!B897</f>
        <v>H</v>
      </c>
      <c r="C1228" s="100" t="str">
        <f>'04_MOTOR_CÁLCULO'!C897</f>
        <v>Serviço de transporte de passageiros - locação de automóveis com motorista</v>
      </c>
      <c r="D1228" s="25" t="str">
        <f>'04_MOTOR_CÁLCULO'!D897</f>
        <v>TRANSPORTE TERRE</v>
      </c>
      <c r="E1228" s="78" t="str">
        <f>'04_MOTOR_CÁLCULO'!N897</f>
        <v>CNAE-STG</v>
      </c>
      <c r="F1228" s="45">
        <f>'04_MOTOR_CÁLCULO'!K897</f>
        <v>1.1499999999999999</v>
      </c>
      <c r="G1228" s="46">
        <f>'04_MOTOR_CÁLCULO'!K897-1</f>
        <v>0.14999999999999991</v>
      </c>
      <c r="H1228" s="47" t="str">
        <f>'04_MOTOR_CÁLCULO'!M897</f>
        <v>Alto</v>
      </c>
    </row>
    <row r="1229" spans="1:8" ht="13.5" customHeight="1" x14ac:dyDescent="0.25">
      <c r="A1229" s="13" t="str">
        <f>'04_MOTOR_CÁLCULO'!A898</f>
        <v>4924-8/00</v>
      </c>
      <c r="B1229" s="49" t="str">
        <f>'04_MOTOR_CÁLCULO'!B898</f>
        <v>H</v>
      </c>
      <c r="C1229" s="101" t="str">
        <f>'04_MOTOR_CÁLCULO'!C898</f>
        <v>Transporte escolar</v>
      </c>
      <c r="D1229" s="14" t="str">
        <f>'04_MOTOR_CÁLCULO'!D898</f>
        <v>TRANSPORTE TERRE</v>
      </c>
      <c r="E1229" s="78" t="str">
        <f>'04_MOTOR_CÁLCULO'!N898</f>
        <v>CNAE-STG</v>
      </c>
      <c r="F1229" s="45">
        <f>'04_MOTOR_CÁLCULO'!K898</f>
        <v>1.1499999999999999</v>
      </c>
      <c r="G1229" s="46">
        <f>'04_MOTOR_CÁLCULO'!K898-1</f>
        <v>0.14999999999999991</v>
      </c>
      <c r="H1229" s="47" t="str">
        <f>'04_MOTOR_CÁLCULO'!M898</f>
        <v>Alto</v>
      </c>
    </row>
    <row r="1230" spans="1:8" ht="13.5" customHeight="1" x14ac:dyDescent="0.25">
      <c r="A1230" s="24" t="str">
        <f>'04_MOTOR_CÁLCULO'!A899</f>
        <v>4929-9/01</v>
      </c>
      <c r="B1230" s="38" t="str">
        <f>'04_MOTOR_CÁLCULO'!B899</f>
        <v>H</v>
      </c>
      <c r="C1230" s="100" t="str">
        <f>'04_MOTOR_CÁLCULO'!C899</f>
        <v>Transporte rodoviário coletivo de passageiros, sob regime de fretamento, municipal</v>
      </c>
      <c r="D1230" s="25" t="str">
        <f>'04_MOTOR_CÁLCULO'!D899</f>
        <v>TRANSPORTE TERRE</v>
      </c>
      <c r="E1230" s="78" t="str">
        <f>'04_MOTOR_CÁLCULO'!N899</f>
        <v>CNAE-STG</v>
      </c>
      <c r="F1230" s="45">
        <f>'04_MOTOR_CÁLCULO'!K899</f>
        <v>1.1499999999999999</v>
      </c>
      <c r="G1230" s="46">
        <f>'04_MOTOR_CÁLCULO'!K899-1</f>
        <v>0.14999999999999991</v>
      </c>
      <c r="H1230" s="47" t="str">
        <f>'04_MOTOR_CÁLCULO'!M899</f>
        <v>Alto</v>
      </c>
    </row>
    <row r="1231" spans="1:8" ht="13.5" customHeight="1" x14ac:dyDescent="0.25">
      <c r="A1231" s="13" t="str">
        <f>'04_MOTOR_CÁLCULO'!A900</f>
        <v>4929-9/02</v>
      </c>
      <c r="B1231" s="49" t="str">
        <f>'04_MOTOR_CÁLCULO'!B900</f>
        <v>H</v>
      </c>
      <c r="C1231" s="101" t="str">
        <f>'04_MOTOR_CÁLCULO'!C900</f>
        <v>Transporte rodoviário coletivo de passageiros, sob regime de fretamento, intermunicipal, interestadual e internacional</v>
      </c>
      <c r="D1231" s="14" t="str">
        <f>'04_MOTOR_CÁLCULO'!D900</f>
        <v>TRANSPORTE TERRE</v>
      </c>
      <c r="E1231" s="78" t="str">
        <f>'04_MOTOR_CÁLCULO'!N900</f>
        <v>CNAE-STG</v>
      </c>
      <c r="F1231" s="45">
        <f>'04_MOTOR_CÁLCULO'!K900</f>
        <v>1.1499999999999999</v>
      </c>
      <c r="G1231" s="46">
        <f>'04_MOTOR_CÁLCULO'!K900-1</f>
        <v>0.14999999999999991</v>
      </c>
      <c r="H1231" s="47" t="str">
        <f>'04_MOTOR_CÁLCULO'!M900</f>
        <v>Alto</v>
      </c>
    </row>
    <row r="1232" spans="1:8" ht="13.5" customHeight="1" x14ac:dyDescent="0.25">
      <c r="A1232" s="24" t="str">
        <f>'04_MOTOR_CÁLCULO'!A901</f>
        <v>4929-9/03</v>
      </c>
      <c r="B1232" s="38" t="str">
        <f>'04_MOTOR_CÁLCULO'!B901</f>
        <v>H</v>
      </c>
      <c r="C1232" s="100" t="str">
        <f>'04_MOTOR_CÁLCULO'!C901</f>
        <v>Organização de excursões em veículos rodoviários próprios, municipal</v>
      </c>
      <c r="D1232" s="25" t="str">
        <f>'04_MOTOR_CÁLCULO'!D901</f>
        <v>TRANSPORTE TERRE</v>
      </c>
      <c r="E1232" s="78" t="str">
        <f>'04_MOTOR_CÁLCULO'!N901</f>
        <v>CNAE-STG</v>
      </c>
      <c r="F1232" s="45">
        <f>'04_MOTOR_CÁLCULO'!K901</f>
        <v>1.1499999999999999</v>
      </c>
      <c r="G1232" s="46">
        <f>'04_MOTOR_CÁLCULO'!K901-1</f>
        <v>0.14999999999999991</v>
      </c>
      <c r="H1232" s="47" t="str">
        <f>'04_MOTOR_CÁLCULO'!M901</f>
        <v>Alto</v>
      </c>
    </row>
    <row r="1233" spans="1:8" ht="13.5" customHeight="1" x14ac:dyDescent="0.25">
      <c r="A1233" s="13" t="str">
        <f>'04_MOTOR_CÁLCULO'!A902</f>
        <v>4929-9/04</v>
      </c>
      <c r="B1233" s="49" t="str">
        <f>'04_MOTOR_CÁLCULO'!B902</f>
        <v>H</v>
      </c>
      <c r="C1233" s="101" t="str">
        <f>'04_MOTOR_CÁLCULO'!C902</f>
        <v>Organização de excursões em veículos rodoviários próprios, intermunicipal, interestadual e internacional</v>
      </c>
      <c r="D1233" s="14" t="str">
        <f>'04_MOTOR_CÁLCULO'!D902</f>
        <v>TRANSPORTE TERRE</v>
      </c>
      <c r="E1233" s="78" t="str">
        <f>'04_MOTOR_CÁLCULO'!N902</f>
        <v>CNAE-STG</v>
      </c>
      <c r="F1233" s="45">
        <f>'04_MOTOR_CÁLCULO'!K902</f>
        <v>1.1499999999999999</v>
      </c>
      <c r="G1233" s="46">
        <f>'04_MOTOR_CÁLCULO'!K902-1</f>
        <v>0.14999999999999991</v>
      </c>
      <c r="H1233" s="47" t="str">
        <f>'04_MOTOR_CÁLCULO'!M902</f>
        <v>Alto</v>
      </c>
    </row>
    <row r="1234" spans="1:8" ht="13.5" customHeight="1" x14ac:dyDescent="0.25">
      <c r="A1234" s="24" t="str">
        <f>'04_MOTOR_CÁLCULO'!A903</f>
        <v>4929-9/99</v>
      </c>
      <c r="B1234" s="38" t="str">
        <f>'04_MOTOR_CÁLCULO'!B903</f>
        <v>H</v>
      </c>
      <c r="C1234" s="100" t="str">
        <f>'04_MOTOR_CÁLCULO'!C903</f>
        <v>Outros transportes rodoviários de passageiros não especificados anteriormente</v>
      </c>
      <c r="D1234" s="25" t="str">
        <f>'04_MOTOR_CÁLCULO'!D903</f>
        <v>TRANSPORTE TERRE</v>
      </c>
      <c r="E1234" s="78" t="str">
        <f>'04_MOTOR_CÁLCULO'!N903</f>
        <v>CNAE-STG</v>
      </c>
      <c r="F1234" s="45">
        <f>'04_MOTOR_CÁLCULO'!K903</f>
        <v>1.1499999999999999</v>
      </c>
      <c r="G1234" s="46">
        <f>'04_MOTOR_CÁLCULO'!K903-1</f>
        <v>0.14999999999999991</v>
      </c>
      <c r="H1234" s="47" t="str">
        <f>'04_MOTOR_CÁLCULO'!M903</f>
        <v>Alto</v>
      </c>
    </row>
    <row r="1235" spans="1:8" ht="13.5" customHeight="1" x14ac:dyDescent="0.25">
      <c r="A1235" s="13" t="str">
        <f>'04_MOTOR_CÁLCULO'!A904</f>
        <v>4930-2/01</v>
      </c>
      <c r="B1235" s="49" t="str">
        <f>'04_MOTOR_CÁLCULO'!B904</f>
        <v>H</v>
      </c>
      <c r="C1235" s="101" t="str">
        <f>'04_MOTOR_CÁLCULO'!C904</f>
        <v>Transporte rodoviário de carga, exceto produtos perigosos e mudanças, municipal</v>
      </c>
      <c r="D1235" s="14" t="str">
        <f>'04_MOTOR_CÁLCULO'!D904</f>
        <v>TRANSPORTE TERRE</v>
      </c>
      <c r="E1235" s="78" t="str">
        <f>'04_MOTOR_CÁLCULO'!N904</f>
        <v>CNAE-STG</v>
      </c>
      <c r="F1235" s="45">
        <f>'04_MOTOR_CÁLCULO'!K904</f>
        <v>1.1499999999999999</v>
      </c>
      <c r="G1235" s="46">
        <f>'04_MOTOR_CÁLCULO'!K904-1</f>
        <v>0.14999999999999991</v>
      </c>
      <c r="H1235" s="47" t="str">
        <f>'04_MOTOR_CÁLCULO'!M904</f>
        <v>Alto</v>
      </c>
    </row>
    <row r="1236" spans="1:8" ht="13.5" customHeight="1" x14ac:dyDescent="0.25">
      <c r="A1236" s="24" t="str">
        <f>'04_MOTOR_CÁLCULO'!A905</f>
        <v>4930-2/02</v>
      </c>
      <c r="B1236" s="38" t="str">
        <f>'04_MOTOR_CÁLCULO'!B905</f>
        <v>H</v>
      </c>
      <c r="C1236" s="100" t="str">
        <f>'04_MOTOR_CÁLCULO'!C905</f>
        <v>Transporte rodoviário de carga, exceto produtos perigosos e mudanças, intermunicipal, interestadual e internacional</v>
      </c>
      <c r="D1236" s="25" t="str">
        <f>'04_MOTOR_CÁLCULO'!D905</f>
        <v>TRANSPORTE TERRE</v>
      </c>
      <c r="E1236" s="78" t="str">
        <f>'04_MOTOR_CÁLCULO'!N905</f>
        <v>CNAE-STG</v>
      </c>
      <c r="F1236" s="45">
        <f>'04_MOTOR_CÁLCULO'!K905</f>
        <v>1.1499999999999999</v>
      </c>
      <c r="G1236" s="46">
        <f>'04_MOTOR_CÁLCULO'!K905-1</f>
        <v>0.14999999999999991</v>
      </c>
      <c r="H1236" s="47" t="str">
        <f>'04_MOTOR_CÁLCULO'!M905</f>
        <v>Alto</v>
      </c>
    </row>
    <row r="1237" spans="1:8" ht="13.5" customHeight="1" x14ac:dyDescent="0.25">
      <c r="A1237" s="13" t="str">
        <f>'04_MOTOR_CÁLCULO'!A906</f>
        <v>4930-2/03</v>
      </c>
      <c r="B1237" s="49" t="str">
        <f>'04_MOTOR_CÁLCULO'!B906</f>
        <v>H</v>
      </c>
      <c r="C1237" s="101" t="str">
        <f>'04_MOTOR_CÁLCULO'!C906</f>
        <v>Transporte rodoviário de produtos perigosos</v>
      </c>
      <c r="D1237" s="14" t="str">
        <f>'04_MOTOR_CÁLCULO'!D906</f>
        <v>TRANSPORTE TERRE</v>
      </c>
      <c r="E1237" s="78" t="str">
        <f>'04_MOTOR_CÁLCULO'!N906</f>
        <v>CNAE-STG</v>
      </c>
      <c r="F1237" s="45">
        <f>'04_MOTOR_CÁLCULO'!K906</f>
        <v>1.1499999999999999</v>
      </c>
      <c r="G1237" s="46">
        <f>'04_MOTOR_CÁLCULO'!K906-1</f>
        <v>0.14999999999999991</v>
      </c>
      <c r="H1237" s="47" t="str">
        <f>'04_MOTOR_CÁLCULO'!M906</f>
        <v>Alto</v>
      </c>
    </row>
    <row r="1238" spans="1:8" ht="13.5" customHeight="1" x14ac:dyDescent="0.25">
      <c r="A1238" s="24" t="str">
        <f>'04_MOTOR_CÁLCULO'!A907</f>
        <v>4930-2/04</v>
      </c>
      <c r="B1238" s="38" t="str">
        <f>'04_MOTOR_CÁLCULO'!B907</f>
        <v>H</v>
      </c>
      <c r="C1238" s="100" t="str">
        <f>'04_MOTOR_CÁLCULO'!C907</f>
        <v>Transporte rodoviário de mudanças</v>
      </c>
      <c r="D1238" s="25" t="str">
        <f>'04_MOTOR_CÁLCULO'!D907</f>
        <v>TRANSPORTE TERRE</v>
      </c>
      <c r="E1238" s="78" t="str">
        <f>'04_MOTOR_CÁLCULO'!N907</f>
        <v>CNAE-STG</v>
      </c>
      <c r="F1238" s="45">
        <f>'04_MOTOR_CÁLCULO'!K907</f>
        <v>1.1499999999999999</v>
      </c>
      <c r="G1238" s="46">
        <f>'04_MOTOR_CÁLCULO'!K907-1</f>
        <v>0.14999999999999991</v>
      </c>
      <c r="H1238" s="47" t="str">
        <f>'04_MOTOR_CÁLCULO'!M907</f>
        <v>Alto</v>
      </c>
    </row>
    <row r="1239" spans="1:8" ht="13.5" customHeight="1" x14ac:dyDescent="0.25">
      <c r="A1239" s="13" t="str">
        <f>'04_MOTOR_CÁLCULO'!A908</f>
        <v>4940-0/00</v>
      </c>
      <c r="B1239" s="49" t="str">
        <f>'04_MOTOR_CÁLCULO'!B908</f>
        <v>H</v>
      </c>
      <c r="C1239" s="101" t="str">
        <f>'04_MOTOR_CÁLCULO'!C908</f>
        <v>Transporte dutoviário</v>
      </c>
      <c r="D1239" s="14" t="str">
        <f>'04_MOTOR_CÁLCULO'!D908</f>
        <v>TRANSPORTE TERRE</v>
      </c>
      <c r="E1239" s="78" t="str">
        <f>'04_MOTOR_CÁLCULO'!N908</f>
        <v>CNAE-STG</v>
      </c>
      <c r="F1239" s="45">
        <f>'04_MOTOR_CÁLCULO'!K908</f>
        <v>1.1499999999999999</v>
      </c>
      <c r="G1239" s="46">
        <f>'04_MOTOR_CÁLCULO'!K908-1</f>
        <v>0.14999999999999991</v>
      </c>
      <c r="H1239" s="47" t="str">
        <f>'04_MOTOR_CÁLCULO'!M908</f>
        <v>Alto</v>
      </c>
    </row>
    <row r="1240" spans="1:8" ht="13.5" customHeight="1" x14ac:dyDescent="0.25">
      <c r="A1240" s="24" t="str">
        <f>'04_MOTOR_CÁLCULO'!A909</f>
        <v>4950-7/00</v>
      </c>
      <c r="B1240" s="38" t="str">
        <f>'04_MOTOR_CÁLCULO'!B909</f>
        <v>H</v>
      </c>
      <c r="C1240" s="100" t="str">
        <f>'04_MOTOR_CÁLCULO'!C909</f>
        <v>Trens turísticos, teleféricos e similares</v>
      </c>
      <c r="D1240" s="25" t="str">
        <f>'04_MOTOR_CÁLCULO'!D909</f>
        <v>TRANSPORTE TERRE</v>
      </c>
      <c r="E1240" s="78" t="str">
        <f>'04_MOTOR_CÁLCULO'!N909</f>
        <v>CNAE-STG</v>
      </c>
      <c r="F1240" s="45">
        <f>'04_MOTOR_CÁLCULO'!K909</f>
        <v>1.1499999999999999</v>
      </c>
      <c r="G1240" s="46">
        <f>'04_MOTOR_CÁLCULO'!K909-1</f>
        <v>0.14999999999999991</v>
      </c>
      <c r="H1240" s="47" t="str">
        <f>'04_MOTOR_CÁLCULO'!M909</f>
        <v>Alto</v>
      </c>
    </row>
    <row r="1241" spans="1:8" ht="13.5" customHeight="1" x14ac:dyDescent="0.25">
      <c r="A1241" s="13" t="str">
        <f>'04_MOTOR_CÁLCULO'!A910</f>
        <v>5011-4/01</v>
      </c>
      <c r="B1241" s="49" t="str">
        <f>'04_MOTOR_CÁLCULO'!B910</f>
        <v>H</v>
      </c>
      <c r="C1241" s="101" t="str">
        <f>'04_MOTOR_CÁLCULO'!C910</f>
        <v>Transporte marítimo de cabotagem - Carga</v>
      </c>
      <c r="D1241" s="14" t="str">
        <f>'04_MOTOR_CÁLCULO'!D910</f>
        <v>TRANSPORTE AQUAV</v>
      </c>
      <c r="E1241" s="78" t="str">
        <f>'04_MOTOR_CÁLCULO'!N910</f>
        <v>CNAE-STG</v>
      </c>
      <c r="F1241" s="45">
        <f>'04_MOTOR_CÁLCULO'!K910</f>
        <v>1.1499999999999999</v>
      </c>
      <c r="G1241" s="46">
        <f>'04_MOTOR_CÁLCULO'!K910-1</f>
        <v>0.14999999999999991</v>
      </c>
      <c r="H1241" s="47" t="str">
        <f>'04_MOTOR_CÁLCULO'!M910</f>
        <v>Alto</v>
      </c>
    </row>
    <row r="1242" spans="1:8" ht="13.5" customHeight="1" x14ac:dyDescent="0.25">
      <c r="A1242" s="24" t="str">
        <f>'04_MOTOR_CÁLCULO'!A911</f>
        <v>5011-4/02</v>
      </c>
      <c r="B1242" s="38" t="str">
        <f>'04_MOTOR_CÁLCULO'!B911</f>
        <v>H</v>
      </c>
      <c r="C1242" s="100" t="str">
        <f>'04_MOTOR_CÁLCULO'!C911</f>
        <v>Transporte marítimo de cabotagem - Passageiros</v>
      </c>
      <c r="D1242" s="25" t="str">
        <f>'04_MOTOR_CÁLCULO'!D911</f>
        <v>TRANSPORTE AQUAV</v>
      </c>
      <c r="E1242" s="78" t="str">
        <f>'04_MOTOR_CÁLCULO'!N911</f>
        <v>CNAE-STG</v>
      </c>
      <c r="F1242" s="45">
        <f>'04_MOTOR_CÁLCULO'!K911</f>
        <v>1.1499999999999999</v>
      </c>
      <c r="G1242" s="46">
        <f>'04_MOTOR_CÁLCULO'!K911-1</f>
        <v>0.14999999999999991</v>
      </c>
      <c r="H1242" s="47" t="str">
        <f>'04_MOTOR_CÁLCULO'!M911</f>
        <v>Alto</v>
      </c>
    </row>
    <row r="1243" spans="1:8" ht="13.5" customHeight="1" x14ac:dyDescent="0.25">
      <c r="A1243" s="13" t="str">
        <f>'04_MOTOR_CÁLCULO'!A912</f>
        <v>5012-2/01</v>
      </c>
      <c r="B1243" s="49" t="str">
        <f>'04_MOTOR_CÁLCULO'!B912</f>
        <v>H</v>
      </c>
      <c r="C1243" s="101" t="str">
        <f>'04_MOTOR_CÁLCULO'!C912</f>
        <v>Transporte marítimo de longo curso - Carga</v>
      </c>
      <c r="D1243" s="14" t="str">
        <f>'04_MOTOR_CÁLCULO'!D912</f>
        <v>TRANSPORTE AQUAV</v>
      </c>
      <c r="E1243" s="78" t="str">
        <f>'04_MOTOR_CÁLCULO'!N912</f>
        <v>CNAE-STG</v>
      </c>
      <c r="F1243" s="45">
        <f>'04_MOTOR_CÁLCULO'!K912</f>
        <v>1.1499999999999999</v>
      </c>
      <c r="G1243" s="46">
        <f>'04_MOTOR_CÁLCULO'!K912-1</f>
        <v>0.14999999999999991</v>
      </c>
      <c r="H1243" s="47" t="str">
        <f>'04_MOTOR_CÁLCULO'!M912</f>
        <v>Alto</v>
      </c>
    </row>
    <row r="1244" spans="1:8" ht="13.5" customHeight="1" x14ac:dyDescent="0.25">
      <c r="A1244" s="24" t="str">
        <f>'04_MOTOR_CÁLCULO'!A913</f>
        <v>5012-2/02</v>
      </c>
      <c r="B1244" s="38" t="str">
        <f>'04_MOTOR_CÁLCULO'!B913</f>
        <v>H</v>
      </c>
      <c r="C1244" s="100" t="str">
        <f>'04_MOTOR_CÁLCULO'!C913</f>
        <v>Transporte marítimo de longo curso - Passageiros</v>
      </c>
      <c r="D1244" s="25" t="str">
        <f>'04_MOTOR_CÁLCULO'!D913</f>
        <v>TRANSPORTE AQUAV</v>
      </c>
      <c r="E1244" s="78" t="str">
        <f>'04_MOTOR_CÁLCULO'!N913</f>
        <v>CNAE-STG</v>
      </c>
      <c r="F1244" s="45">
        <f>'04_MOTOR_CÁLCULO'!K913</f>
        <v>1.1499999999999999</v>
      </c>
      <c r="G1244" s="46">
        <f>'04_MOTOR_CÁLCULO'!K913-1</f>
        <v>0.14999999999999991</v>
      </c>
      <c r="H1244" s="47" t="str">
        <f>'04_MOTOR_CÁLCULO'!M913</f>
        <v>Alto</v>
      </c>
    </row>
    <row r="1245" spans="1:8" ht="13.5" customHeight="1" x14ac:dyDescent="0.25">
      <c r="A1245" s="13" t="str">
        <f>'04_MOTOR_CÁLCULO'!A914</f>
        <v>5021-1/01</v>
      </c>
      <c r="B1245" s="49" t="str">
        <f>'04_MOTOR_CÁLCULO'!B914</f>
        <v>H</v>
      </c>
      <c r="C1245" s="101" t="str">
        <f>'04_MOTOR_CÁLCULO'!C914</f>
        <v>Transporte por navegação interior de carga, municipal, exceto travessia</v>
      </c>
      <c r="D1245" s="14" t="str">
        <f>'04_MOTOR_CÁLCULO'!D914</f>
        <v>TRANSPORTE AQUAV</v>
      </c>
      <c r="E1245" s="78" t="str">
        <f>'04_MOTOR_CÁLCULO'!N914</f>
        <v>CNAE-STG</v>
      </c>
      <c r="F1245" s="45">
        <f>'04_MOTOR_CÁLCULO'!K914</f>
        <v>1.1499999999999999</v>
      </c>
      <c r="G1245" s="46">
        <f>'04_MOTOR_CÁLCULO'!K914-1</f>
        <v>0.14999999999999991</v>
      </c>
      <c r="H1245" s="47" t="str">
        <f>'04_MOTOR_CÁLCULO'!M914</f>
        <v>Alto</v>
      </c>
    </row>
    <row r="1246" spans="1:8" ht="13.5" customHeight="1" x14ac:dyDescent="0.25">
      <c r="A1246" s="24" t="str">
        <f>'04_MOTOR_CÁLCULO'!A915</f>
        <v>5021-1/02</v>
      </c>
      <c r="B1246" s="38" t="str">
        <f>'04_MOTOR_CÁLCULO'!B915</f>
        <v>H</v>
      </c>
      <c r="C1246" s="100" t="str">
        <f>'04_MOTOR_CÁLCULO'!C915</f>
        <v>Transporte por navegação interior de carga, intermunicipal, interestadual e internacional, exceto travessia</v>
      </c>
      <c r="D1246" s="25" t="str">
        <f>'04_MOTOR_CÁLCULO'!D915</f>
        <v>TRANSPORTE AQUAV</v>
      </c>
      <c r="E1246" s="78" t="str">
        <f>'04_MOTOR_CÁLCULO'!N915</f>
        <v>CNAE-STG</v>
      </c>
      <c r="F1246" s="45">
        <f>'04_MOTOR_CÁLCULO'!K915</f>
        <v>1.1499999999999999</v>
      </c>
      <c r="G1246" s="46">
        <f>'04_MOTOR_CÁLCULO'!K915-1</f>
        <v>0.14999999999999991</v>
      </c>
      <c r="H1246" s="47" t="str">
        <f>'04_MOTOR_CÁLCULO'!M915</f>
        <v>Alto</v>
      </c>
    </row>
    <row r="1247" spans="1:8" ht="13.5" customHeight="1" x14ac:dyDescent="0.25">
      <c r="A1247" s="13" t="str">
        <f>'04_MOTOR_CÁLCULO'!A916</f>
        <v>5022-0/01</v>
      </c>
      <c r="B1247" s="49" t="str">
        <f>'04_MOTOR_CÁLCULO'!B916</f>
        <v>H</v>
      </c>
      <c r="C1247" s="101" t="str">
        <f>'04_MOTOR_CÁLCULO'!C916</f>
        <v>Transporte por navegação interior de passageiros em linhas regulares, municipal, exceto travessia</v>
      </c>
      <c r="D1247" s="14" t="str">
        <f>'04_MOTOR_CÁLCULO'!D916</f>
        <v>TRANSPORTE AQUAV</v>
      </c>
      <c r="E1247" s="78" t="str">
        <f>'04_MOTOR_CÁLCULO'!N916</f>
        <v>CNAE-STG</v>
      </c>
      <c r="F1247" s="45">
        <f>'04_MOTOR_CÁLCULO'!K916</f>
        <v>1.1499999999999999</v>
      </c>
      <c r="G1247" s="46">
        <f>'04_MOTOR_CÁLCULO'!K916-1</f>
        <v>0.14999999999999991</v>
      </c>
      <c r="H1247" s="47" t="str">
        <f>'04_MOTOR_CÁLCULO'!M916</f>
        <v>Alto</v>
      </c>
    </row>
    <row r="1248" spans="1:8" ht="13.5" customHeight="1" x14ac:dyDescent="0.25">
      <c r="A1248" s="24" t="str">
        <f>'04_MOTOR_CÁLCULO'!A917</f>
        <v>5022-0/02</v>
      </c>
      <c r="B1248" s="38" t="str">
        <f>'04_MOTOR_CÁLCULO'!B917</f>
        <v>H</v>
      </c>
      <c r="C1248" s="100" t="str">
        <f>'04_MOTOR_CÁLCULO'!C917</f>
        <v>Transporte por navegação interior de passageiros em linhas regulares, intermunicipal, interestadual e internacional, exceto travessia</v>
      </c>
      <c r="D1248" s="25" t="str">
        <f>'04_MOTOR_CÁLCULO'!D917</f>
        <v>TRANSPORTE AQUAV</v>
      </c>
      <c r="E1248" s="78" t="str">
        <f>'04_MOTOR_CÁLCULO'!N917</f>
        <v>CNAE-STG</v>
      </c>
      <c r="F1248" s="45">
        <f>'04_MOTOR_CÁLCULO'!K917</f>
        <v>1.1499999999999999</v>
      </c>
      <c r="G1248" s="46">
        <f>'04_MOTOR_CÁLCULO'!K917-1</f>
        <v>0.14999999999999991</v>
      </c>
      <c r="H1248" s="47" t="str">
        <f>'04_MOTOR_CÁLCULO'!M917</f>
        <v>Alto</v>
      </c>
    </row>
    <row r="1249" spans="1:8" ht="13.5" customHeight="1" x14ac:dyDescent="0.25">
      <c r="A1249" s="13" t="str">
        <f>'04_MOTOR_CÁLCULO'!A918</f>
        <v>5030-1/01</v>
      </c>
      <c r="B1249" s="49" t="str">
        <f>'04_MOTOR_CÁLCULO'!B918</f>
        <v>H</v>
      </c>
      <c r="C1249" s="101" t="str">
        <f>'04_MOTOR_CÁLCULO'!C918</f>
        <v>Navegação de apoio marítimo</v>
      </c>
      <c r="D1249" s="14" t="str">
        <f>'04_MOTOR_CÁLCULO'!D918</f>
        <v>TRANSPORTE AQUAV</v>
      </c>
      <c r="E1249" s="78" t="str">
        <f>'04_MOTOR_CÁLCULO'!N918</f>
        <v>CNAE-STG</v>
      </c>
      <c r="F1249" s="45">
        <f>'04_MOTOR_CÁLCULO'!K918</f>
        <v>1.1499999999999999</v>
      </c>
      <c r="G1249" s="46">
        <f>'04_MOTOR_CÁLCULO'!K918-1</f>
        <v>0.14999999999999991</v>
      </c>
      <c r="H1249" s="47" t="str">
        <f>'04_MOTOR_CÁLCULO'!M918</f>
        <v>Alto</v>
      </c>
    </row>
    <row r="1250" spans="1:8" ht="13.5" customHeight="1" x14ac:dyDescent="0.25">
      <c r="A1250" s="24" t="str">
        <f>'04_MOTOR_CÁLCULO'!A919</f>
        <v>5030-1/02</v>
      </c>
      <c r="B1250" s="38" t="str">
        <f>'04_MOTOR_CÁLCULO'!B919</f>
        <v>H</v>
      </c>
      <c r="C1250" s="100" t="str">
        <f>'04_MOTOR_CÁLCULO'!C919</f>
        <v>Navegação de apoio portuário</v>
      </c>
      <c r="D1250" s="25" t="str">
        <f>'04_MOTOR_CÁLCULO'!D919</f>
        <v>TRANSPORTE AQUAV</v>
      </c>
      <c r="E1250" s="78" t="str">
        <f>'04_MOTOR_CÁLCULO'!N919</f>
        <v>CNAE-STG</v>
      </c>
      <c r="F1250" s="45">
        <f>'04_MOTOR_CÁLCULO'!K919</f>
        <v>1.1499999999999999</v>
      </c>
      <c r="G1250" s="46">
        <f>'04_MOTOR_CÁLCULO'!K919-1</f>
        <v>0.14999999999999991</v>
      </c>
      <c r="H1250" s="47" t="str">
        <f>'04_MOTOR_CÁLCULO'!M919</f>
        <v>Alto</v>
      </c>
    </row>
    <row r="1251" spans="1:8" ht="13.5" customHeight="1" x14ac:dyDescent="0.25">
      <c r="A1251" s="13" t="str">
        <f>'04_MOTOR_CÁLCULO'!A920</f>
        <v>5030-1/03</v>
      </c>
      <c r="B1251" s="49" t="str">
        <f>'04_MOTOR_CÁLCULO'!B920</f>
        <v>H</v>
      </c>
      <c r="C1251" s="101" t="str">
        <f>'04_MOTOR_CÁLCULO'!C920</f>
        <v>Serviço de rebocadores e empurradores</v>
      </c>
      <c r="D1251" s="14" t="str">
        <f>'04_MOTOR_CÁLCULO'!D920</f>
        <v>TRANSPORTE AQUAV</v>
      </c>
      <c r="E1251" s="78" t="str">
        <f>'04_MOTOR_CÁLCULO'!N920</f>
        <v>CNAE-STG</v>
      </c>
      <c r="F1251" s="45">
        <f>'04_MOTOR_CÁLCULO'!K920</f>
        <v>1.1499999999999999</v>
      </c>
      <c r="G1251" s="46">
        <f>'04_MOTOR_CÁLCULO'!K920-1</f>
        <v>0.14999999999999991</v>
      </c>
      <c r="H1251" s="47" t="str">
        <f>'04_MOTOR_CÁLCULO'!M920</f>
        <v>Alto</v>
      </c>
    </row>
    <row r="1252" spans="1:8" ht="13.5" customHeight="1" x14ac:dyDescent="0.25">
      <c r="A1252" s="24" t="str">
        <f>'04_MOTOR_CÁLCULO'!A921</f>
        <v>5091-2/01</v>
      </c>
      <c r="B1252" s="38" t="str">
        <f>'04_MOTOR_CÁLCULO'!B921</f>
        <v>H</v>
      </c>
      <c r="C1252" s="100" t="str">
        <f>'04_MOTOR_CÁLCULO'!C921</f>
        <v>Transporte por navegação de travessia, municipal</v>
      </c>
      <c r="D1252" s="25" t="str">
        <f>'04_MOTOR_CÁLCULO'!D921</f>
        <v>TRANSPORTE AQUAV</v>
      </c>
      <c r="E1252" s="78" t="str">
        <f>'04_MOTOR_CÁLCULO'!N921</f>
        <v>CNAE-STG</v>
      </c>
      <c r="F1252" s="45">
        <f>'04_MOTOR_CÁLCULO'!K921</f>
        <v>1.1499999999999999</v>
      </c>
      <c r="G1252" s="46">
        <f>'04_MOTOR_CÁLCULO'!K921-1</f>
        <v>0.14999999999999991</v>
      </c>
      <c r="H1252" s="47" t="str">
        <f>'04_MOTOR_CÁLCULO'!M921</f>
        <v>Alto</v>
      </c>
    </row>
    <row r="1253" spans="1:8" ht="13.5" customHeight="1" x14ac:dyDescent="0.25">
      <c r="A1253" s="13" t="str">
        <f>'04_MOTOR_CÁLCULO'!A922</f>
        <v>5091-2/02</v>
      </c>
      <c r="B1253" s="49" t="str">
        <f>'04_MOTOR_CÁLCULO'!B922</f>
        <v>H</v>
      </c>
      <c r="C1253" s="101" t="str">
        <f>'04_MOTOR_CÁLCULO'!C922</f>
        <v>Transporte por navegação de travessia, intermunicipal, interestadual e internacional</v>
      </c>
      <c r="D1253" s="14" t="str">
        <f>'04_MOTOR_CÁLCULO'!D922</f>
        <v>TRANSPORTE AQUAV</v>
      </c>
      <c r="E1253" s="78" t="str">
        <f>'04_MOTOR_CÁLCULO'!N922</f>
        <v>CNAE-STG</v>
      </c>
      <c r="F1253" s="45">
        <f>'04_MOTOR_CÁLCULO'!K922</f>
        <v>1.1499999999999999</v>
      </c>
      <c r="G1253" s="46">
        <f>'04_MOTOR_CÁLCULO'!K922-1</f>
        <v>0.14999999999999991</v>
      </c>
      <c r="H1253" s="47" t="str">
        <f>'04_MOTOR_CÁLCULO'!M922</f>
        <v>Alto</v>
      </c>
    </row>
    <row r="1254" spans="1:8" ht="13.5" customHeight="1" x14ac:dyDescent="0.25">
      <c r="A1254" s="24" t="str">
        <f>'04_MOTOR_CÁLCULO'!A923</f>
        <v>5099-8/01</v>
      </c>
      <c r="B1254" s="38" t="str">
        <f>'04_MOTOR_CÁLCULO'!B923</f>
        <v>H</v>
      </c>
      <c r="C1254" s="100" t="str">
        <f>'04_MOTOR_CÁLCULO'!C923</f>
        <v>Transporte aquaviário para passeios turísticos</v>
      </c>
      <c r="D1254" s="25" t="str">
        <f>'04_MOTOR_CÁLCULO'!D923</f>
        <v>TRANSPORTE AQUAV</v>
      </c>
      <c r="E1254" s="78" t="str">
        <f>'04_MOTOR_CÁLCULO'!N923</f>
        <v>CNAE-STG</v>
      </c>
      <c r="F1254" s="45">
        <f>'04_MOTOR_CÁLCULO'!K923</f>
        <v>1.1499999999999999</v>
      </c>
      <c r="G1254" s="46">
        <f>'04_MOTOR_CÁLCULO'!K923-1</f>
        <v>0.14999999999999991</v>
      </c>
      <c r="H1254" s="47" t="str">
        <f>'04_MOTOR_CÁLCULO'!M923</f>
        <v>Alto</v>
      </c>
    </row>
    <row r="1255" spans="1:8" ht="13.5" customHeight="1" x14ac:dyDescent="0.25">
      <c r="A1255" s="13" t="str">
        <f>'04_MOTOR_CÁLCULO'!A924</f>
        <v>5099-8/99</v>
      </c>
      <c r="B1255" s="49" t="str">
        <f>'04_MOTOR_CÁLCULO'!B924</f>
        <v>H</v>
      </c>
      <c r="C1255" s="101" t="str">
        <f>'04_MOTOR_CÁLCULO'!C924</f>
        <v>Outros transportes aquaviários não especificados anteriormente</v>
      </c>
      <c r="D1255" s="14" t="str">
        <f>'04_MOTOR_CÁLCULO'!D924</f>
        <v>TRANSPORTE AQUAV</v>
      </c>
      <c r="E1255" s="78" t="str">
        <f>'04_MOTOR_CÁLCULO'!N924</f>
        <v>CNAE-STG</v>
      </c>
      <c r="F1255" s="45">
        <f>'04_MOTOR_CÁLCULO'!K924</f>
        <v>1.1499999999999999</v>
      </c>
      <c r="G1255" s="46">
        <f>'04_MOTOR_CÁLCULO'!K924-1</f>
        <v>0.14999999999999991</v>
      </c>
      <c r="H1255" s="47" t="str">
        <f>'04_MOTOR_CÁLCULO'!M924</f>
        <v>Alto</v>
      </c>
    </row>
    <row r="1256" spans="1:8" ht="13.5" customHeight="1" x14ac:dyDescent="0.25">
      <c r="A1256" s="24" t="str">
        <f>'04_MOTOR_CÁLCULO'!A925</f>
        <v>5111-1/00</v>
      </c>
      <c r="B1256" s="38" t="str">
        <f>'04_MOTOR_CÁLCULO'!B925</f>
        <v>H</v>
      </c>
      <c r="C1256" s="100" t="str">
        <f>'04_MOTOR_CÁLCULO'!C925</f>
        <v>Transporte aéreo de passageiros regular</v>
      </c>
      <c r="D1256" s="25" t="str">
        <f>'04_MOTOR_CÁLCULO'!D925</f>
        <v>TRANSPORTE AÉREO</v>
      </c>
      <c r="E1256" s="78" t="str">
        <f>'04_MOTOR_CÁLCULO'!N925</f>
        <v>CNAE-STG</v>
      </c>
      <c r="F1256" s="45">
        <f>'04_MOTOR_CÁLCULO'!K925</f>
        <v>1.1499999999999999</v>
      </c>
      <c r="G1256" s="46">
        <f>'04_MOTOR_CÁLCULO'!K925-1</f>
        <v>0.14999999999999991</v>
      </c>
      <c r="H1256" s="47" t="str">
        <f>'04_MOTOR_CÁLCULO'!M925</f>
        <v>Alto</v>
      </c>
    </row>
    <row r="1257" spans="1:8" ht="13.5" customHeight="1" x14ac:dyDescent="0.25">
      <c r="A1257" s="13" t="str">
        <f>'04_MOTOR_CÁLCULO'!A926</f>
        <v>5112-9/01</v>
      </c>
      <c r="B1257" s="49" t="str">
        <f>'04_MOTOR_CÁLCULO'!B926</f>
        <v>H</v>
      </c>
      <c r="C1257" s="101" t="str">
        <f>'04_MOTOR_CÁLCULO'!C926</f>
        <v>Serviço de táxi aéreo e locação de aeronaves com tripulação</v>
      </c>
      <c r="D1257" s="14" t="str">
        <f>'04_MOTOR_CÁLCULO'!D926</f>
        <v>TRANSPORTE AÉREO</v>
      </c>
      <c r="E1257" s="78" t="str">
        <f>'04_MOTOR_CÁLCULO'!N926</f>
        <v>CNAE-STG</v>
      </c>
      <c r="F1257" s="45">
        <f>'04_MOTOR_CÁLCULO'!K926</f>
        <v>1.1499999999999999</v>
      </c>
      <c r="G1257" s="46">
        <f>'04_MOTOR_CÁLCULO'!K926-1</f>
        <v>0.14999999999999991</v>
      </c>
      <c r="H1257" s="47" t="str">
        <f>'04_MOTOR_CÁLCULO'!M926</f>
        <v>Alto</v>
      </c>
    </row>
    <row r="1258" spans="1:8" ht="13.5" customHeight="1" x14ac:dyDescent="0.25">
      <c r="A1258" s="24" t="str">
        <f>'04_MOTOR_CÁLCULO'!A927</f>
        <v>5112-9/99</v>
      </c>
      <c r="B1258" s="38" t="str">
        <f>'04_MOTOR_CÁLCULO'!B927</f>
        <v>H</v>
      </c>
      <c r="C1258" s="100" t="str">
        <f>'04_MOTOR_CÁLCULO'!C927</f>
        <v>Outros serviços de transporte aéreo de passageiros não regular</v>
      </c>
      <c r="D1258" s="25" t="str">
        <f>'04_MOTOR_CÁLCULO'!D927</f>
        <v>TRANSPORTE AÉREO</v>
      </c>
      <c r="E1258" s="78" t="str">
        <f>'04_MOTOR_CÁLCULO'!N927</f>
        <v>CNAE-STG</v>
      </c>
      <c r="F1258" s="45">
        <f>'04_MOTOR_CÁLCULO'!K927</f>
        <v>1.1499999999999999</v>
      </c>
      <c r="G1258" s="46">
        <f>'04_MOTOR_CÁLCULO'!K927-1</f>
        <v>0.14999999999999991</v>
      </c>
      <c r="H1258" s="47" t="str">
        <f>'04_MOTOR_CÁLCULO'!M927</f>
        <v>Alto</v>
      </c>
    </row>
    <row r="1259" spans="1:8" ht="13.5" customHeight="1" x14ac:dyDescent="0.25">
      <c r="A1259" s="13" t="str">
        <f>'04_MOTOR_CÁLCULO'!A928</f>
        <v>5120-0/00</v>
      </c>
      <c r="B1259" s="49" t="str">
        <f>'04_MOTOR_CÁLCULO'!B928</f>
        <v>H</v>
      </c>
      <c r="C1259" s="101" t="str">
        <f>'04_MOTOR_CÁLCULO'!C928</f>
        <v>Transporte aéreo de carga</v>
      </c>
      <c r="D1259" s="14" t="str">
        <f>'04_MOTOR_CÁLCULO'!D928</f>
        <v>TRANSPORTE AÉREO</v>
      </c>
      <c r="E1259" s="78" t="str">
        <f>'04_MOTOR_CÁLCULO'!N928</f>
        <v>CNAE-STG</v>
      </c>
      <c r="F1259" s="45">
        <f>'04_MOTOR_CÁLCULO'!K928</f>
        <v>1.1499999999999999</v>
      </c>
      <c r="G1259" s="46">
        <f>'04_MOTOR_CÁLCULO'!K928-1</f>
        <v>0.14999999999999991</v>
      </c>
      <c r="H1259" s="47" t="str">
        <f>'04_MOTOR_CÁLCULO'!M928</f>
        <v>Alto</v>
      </c>
    </row>
    <row r="1260" spans="1:8" ht="13.5" customHeight="1" x14ac:dyDescent="0.25">
      <c r="A1260" s="24" t="str">
        <f>'04_MOTOR_CÁLCULO'!A929</f>
        <v>5130-7/00</v>
      </c>
      <c r="B1260" s="38" t="str">
        <f>'04_MOTOR_CÁLCULO'!B929</f>
        <v>H</v>
      </c>
      <c r="C1260" s="100" t="str">
        <f>'04_MOTOR_CÁLCULO'!C929</f>
        <v>Transporte espacial</v>
      </c>
      <c r="D1260" s="25" t="str">
        <f>'04_MOTOR_CÁLCULO'!D929</f>
        <v>TRANSPORTE AÉREO</v>
      </c>
      <c r="E1260" s="78" t="str">
        <f>'04_MOTOR_CÁLCULO'!N929</f>
        <v>CNAE-STG</v>
      </c>
      <c r="F1260" s="45">
        <f>'04_MOTOR_CÁLCULO'!K929</f>
        <v>1.1499999999999999</v>
      </c>
      <c r="G1260" s="46">
        <f>'04_MOTOR_CÁLCULO'!K929-1</f>
        <v>0.14999999999999991</v>
      </c>
      <c r="H1260" s="47" t="str">
        <f>'04_MOTOR_CÁLCULO'!M929</f>
        <v>Alto</v>
      </c>
    </row>
    <row r="1261" spans="1:8" ht="13.5" customHeight="1" x14ac:dyDescent="0.25">
      <c r="A1261" s="13" t="str">
        <f>'04_MOTOR_CÁLCULO'!A1157</f>
        <v>8011-1/01</v>
      </c>
      <c r="B1261" s="49" t="str">
        <f>'04_MOTOR_CÁLCULO'!B1157</f>
        <v>N</v>
      </c>
      <c r="C1261" s="101" t="str">
        <f>'04_MOTOR_CÁLCULO'!C1157</f>
        <v>Atividades de vigilância e segurança privada</v>
      </c>
      <c r="D1261" s="14" t="str">
        <f>'04_MOTOR_CÁLCULO'!D1157</f>
        <v>ATIVIDADES DE VI</v>
      </c>
      <c r="E1261" s="78" t="str">
        <f>'04_MOTOR_CÁLCULO'!N1157</f>
        <v>CNAE-STG</v>
      </c>
      <c r="F1261" s="45">
        <f>'04_MOTOR_CÁLCULO'!K1157</f>
        <v>1.1499999999999999</v>
      </c>
      <c r="G1261" s="46">
        <f>'04_MOTOR_CÁLCULO'!K1157-1</f>
        <v>0.14999999999999991</v>
      </c>
      <c r="H1261" s="47" t="str">
        <f>'04_MOTOR_CÁLCULO'!M1157</f>
        <v>Alto</v>
      </c>
    </row>
    <row r="1262" spans="1:8" ht="13.5" customHeight="1" x14ac:dyDescent="0.25">
      <c r="A1262" s="24" t="str">
        <f>'04_MOTOR_CÁLCULO'!A1158</f>
        <v>8011-1/02</v>
      </c>
      <c r="B1262" s="38" t="str">
        <f>'04_MOTOR_CÁLCULO'!B1158</f>
        <v>N</v>
      </c>
      <c r="C1262" s="100" t="str">
        <f>'04_MOTOR_CÁLCULO'!C1158</f>
        <v>Serviços de adestramento de cães de guarda</v>
      </c>
      <c r="D1262" s="25" t="str">
        <f>'04_MOTOR_CÁLCULO'!D1158</f>
        <v>ATIVIDADES DE VI</v>
      </c>
      <c r="E1262" s="78" t="str">
        <f>'04_MOTOR_CÁLCULO'!N1158</f>
        <v>CNAE-STG</v>
      </c>
      <c r="F1262" s="45">
        <f>'04_MOTOR_CÁLCULO'!K1158</f>
        <v>1.1499999999999999</v>
      </c>
      <c r="G1262" s="46">
        <f>'04_MOTOR_CÁLCULO'!K1158-1</f>
        <v>0.14999999999999991</v>
      </c>
      <c r="H1262" s="47" t="str">
        <f>'04_MOTOR_CÁLCULO'!M1158</f>
        <v>Alto</v>
      </c>
    </row>
    <row r="1263" spans="1:8" ht="13.5" customHeight="1" x14ac:dyDescent="0.25">
      <c r="A1263" s="13" t="str">
        <f>'04_MOTOR_CÁLCULO'!A1159</f>
        <v>8012-9/00</v>
      </c>
      <c r="B1263" s="49" t="str">
        <f>'04_MOTOR_CÁLCULO'!B1159</f>
        <v>N</v>
      </c>
      <c r="C1263" s="101" t="str">
        <f>'04_MOTOR_CÁLCULO'!C1159</f>
        <v>Atividades de transporte de valores</v>
      </c>
      <c r="D1263" s="14" t="str">
        <f>'04_MOTOR_CÁLCULO'!D1159</f>
        <v>ATIVIDADES DE VI</v>
      </c>
      <c r="E1263" s="78" t="str">
        <f>'04_MOTOR_CÁLCULO'!N1159</f>
        <v>CNAE-STG</v>
      </c>
      <c r="F1263" s="45">
        <f>'04_MOTOR_CÁLCULO'!K1159</f>
        <v>1.1499999999999999</v>
      </c>
      <c r="G1263" s="46">
        <f>'04_MOTOR_CÁLCULO'!K1159-1</f>
        <v>0.14999999999999991</v>
      </c>
      <c r="H1263" s="47" t="str">
        <f>'04_MOTOR_CÁLCULO'!M1159</f>
        <v>Alto</v>
      </c>
    </row>
    <row r="1264" spans="1:8" ht="13.5" customHeight="1" x14ac:dyDescent="0.25">
      <c r="A1264" s="24" t="str">
        <f>'04_MOTOR_CÁLCULO'!A1217</f>
        <v>8610-1/01</v>
      </c>
      <c r="B1264" s="38" t="str">
        <f>'04_MOTOR_CÁLCULO'!B1217</f>
        <v>Q</v>
      </c>
      <c r="C1264" s="100" t="str">
        <f>'04_MOTOR_CÁLCULO'!C1217</f>
        <v>Atividades de atendimento hospitalar, exceto pronto-socorro e unidades para atendimento a urgências</v>
      </c>
      <c r="D1264" s="25" t="str">
        <f>'04_MOTOR_CÁLCULO'!D1217</f>
        <v>ATIVIDADES DE AT</v>
      </c>
      <c r="E1264" s="78" t="str">
        <f>'04_MOTOR_CÁLCULO'!N1217</f>
        <v>CNAE-STG</v>
      </c>
      <c r="F1264" s="45">
        <f>'04_MOTOR_CÁLCULO'!K1217</f>
        <v>1.1499999999999999</v>
      </c>
      <c r="G1264" s="46">
        <f>'04_MOTOR_CÁLCULO'!K1217-1</f>
        <v>0.14999999999999991</v>
      </c>
      <c r="H1264" s="47" t="str">
        <f>'04_MOTOR_CÁLCULO'!M1217</f>
        <v>Alto</v>
      </c>
    </row>
    <row r="1265" spans="1:8" ht="13.5" customHeight="1" x14ac:dyDescent="0.25">
      <c r="A1265" s="13" t="str">
        <f>'04_MOTOR_CÁLCULO'!A1218</f>
        <v>8610-1/02</v>
      </c>
      <c r="B1265" s="49" t="str">
        <f>'04_MOTOR_CÁLCULO'!B1218</f>
        <v>Q</v>
      </c>
      <c r="C1265" s="101" t="str">
        <f>'04_MOTOR_CÁLCULO'!C1218</f>
        <v>Atividades de atendimento em pronto-socorro e unidades hospitalares para atendimento a urgências</v>
      </c>
      <c r="D1265" s="14" t="str">
        <f>'04_MOTOR_CÁLCULO'!D1218</f>
        <v>ATIVIDADES DE AT</v>
      </c>
      <c r="E1265" s="78" t="str">
        <f>'04_MOTOR_CÁLCULO'!N1218</f>
        <v>CNAE-STG</v>
      </c>
      <c r="F1265" s="45">
        <f>'04_MOTOR_CÁLCULO'!K1218</f>
        <v>1.1499999999999999</v>
      </c>
      <c r="G1265" s="46">
        <f>'04_MOTOR_CÁLCULO'!K1218-1</f>
        <v>0.14999999999999991</v>
      </c>
      <c r="H1265" s="47" t="str">
        <f>'04_MOTOR_CÁLCULO'!M1218</f>
        <v>Alto</v>
      </c>
    </row>
    <row r="1266" spans="1:8" ht="13.5" customHeight="1" x14ac:dyDescent="0.25">
      <c r="A1266" s="24" t="str">
        <f>'04_MOTOR_CÁLCULO'!A1219</f>
        <v>8621-6/01</v>
      </c>
      <c r="B1266" s="38" t="str">
        <f>'04_MOTOR_CÁLCULO'!B1219</f>
        <v>Q</v>
      </c>
      <c r="C1266" s="100" t="str">
        <f>'04_MOTOR_CÁLCULO'!C1219</f>
        <v>UTI móvel</v>
      </c>
      <c r="D1266" s="25" t="str">
        <f>'04_MOTOR_CÁLCULO'!D1219</f>
        <v>ATIVIDADES DE AT</v>
      </c>
      <c r="E1266" s="78" t="str">
        <f>'04_MOTOR_CÁLCULO'!N1219</f>
        <v>CNAE-STG</v>
      </c>
      <c r="F1266" s="45">
        <f>'04_MOTOR_CÁLCULO'!K1219</f>
        <v>1.1499999999999999</v>
      </c>
      <c r="G1266" s="46">
        <f>'04_MOTOR_CÁLCULO'!K1219-1</f>
        <v>0.14999999999999991</v>
      </c>
      <c r="H1266" s="47" t="str">
        <f>'04_MOTOR_CÁLCULO'!M1219</f>
        <v>Alto</v>
      </c>
    </row>
    <row r="1267" spans="1:8" ht="13.5" customHeight="1" x14ac:dyDescent="0.25">
      <c r="A1267" s="13" t="str">
        <f>'04_MOTOR_CÁLCULO'!A1220</f>
        <v>8621-6/02</v>
      </c>
      <c r="B1267" s="49" t="str">
        <f>'04_MOTOR_CÁLCULO'!B1220</f>
        <v>Q</v>
      </c>
      <c r="C1267" s="101" t="str">
        <f>'04_MOTOR_CÁLCULO'!C1220</f>
        <v>Serviços móveis de atendimento a urgências, exceto por UTI móvel</v>
      </c>
      <c r="D1267" s="14" t="str">
        <f>'04_MOTOR_CÁLCULO'!D1220</f>
        <v>ATIVIDADES DE AT</v>
      </c>
      <c r="E1267" s="78" t="str">
        <f>'04_MOTOR_CÁLCULO'!N1220</f>
        <v>CNAE-STG</v>
      </c>
      <c r="F1267" s="45">
        <f>'04_MOTOR_CÁLCULO'!K1220</f>
        <v>1.1499999999999999</v>
      </c>
      <c r="G1267" s="46">
        <f>'04_MOTOR_CÁLCULO'!K1220-1</f>
        <v>0.14999999999999991</v>
      </c>
      <c r="H1267" s="47" t="str">
        <f>'04_MOTOR_CÁLCULO'!M1220</f>
        <v>Alto</v>
      </c>
    </row>
    <row r="1268" spans="1:8" ht="13.5" customHeight="1" x14ac:dyDescent="0.25">
      <c r="A1268" s="24" t="str">
        <f>'04_MOTOR_CÁLCULO'!A1221</f>
        <v>8622-4/00</v>
      </c>
      <c r="B1268" s="38" t="str">
        <f>'04_MOTOR_CÁLCULO'!B1221</f>
        <v>Q</v>
      </c>
      <c r="C1268" s="100" t="str">
        <f>'04_MOTOR_CÁLCULO'!C1221</f>
        <v>Serviços de remoção de pacientes, exceto os serviços móveis de atendimento a urgências</v>
      </c>
      <c r="D1268" s="25" t="str">
        <f>'04_MOTOR_CÁLCULO'!D1221</f>
        <v>ATIVIDADES DE AT</v>
      </c>
      <c r="E1268" s="78" t="str">
        <f>'04_MOTOR_CÁLCULO'!N1221</f>
        <v>CNAE-STG</v>
      </c>
      <c r="F1268" s="45">
        <f>'04_MOTOR_CÁLCULO'!K1221</f>
        <v>1.1499999999999999</v>
      </c>
      <c r="G1268" s="46">
        <f>'04_MOTOR_CÁLCULO'!K1221-1</f>
        <v>0.14999999999999991</v>
      </c>
      <c r="H1268" s="47" t="str">
        <f>'04_MOTOR_CÁLCULO'!M1221</f>
        <v>Alto</v>
      </c>
    </row>
    <row r="1269" spans="1:8" ht="13.5" customHeight="1" x14ac:dyDescent="0.25">
      <c r="A1269" s="13" t="str">
        <f>'04_MOTOR_CÁLCULO'!A65</f>
        <v>0153-9/02</v>
      </c>
      <c r="B1269" s="49" t="str">
        <f>'04_MOTOR_CÁLCULO'!B65</f>
        <v>A</v>
      </c>
      <c r="C1269" s="101" t="str">
        <f>'04_MOTOR_CÁLCULO'!C65</f>
        <v>Criação de ovinos, inclusive para produção de lã</v>
      </c>
      <c r="D1269" s="14" t="str">
        <f>'04_MOTOR_CÁLCULO'!D65</f>
        <v>AGRICULTURA, PEC</v>
      </c>
      <c r="E1269" s="82" t="str">
        <f>'04_MOTOR_CÁLCULO'!N65</f>
        <v>FAP/MPS</v>
      </c>
      <c r="F1269" s="45">
        <f>'04_MOTOR_CÁLCULO'!K65</f>
        <v>1.1500700000000001</v>
      </c>
      <c r="G1269" s="46">
        <f>'04_MOTOR_CÁLCULO'!K65-1</f>
        <v>0.15007000000000015</v>
      </c>
      <c r="H1269" s="47" t="str">
        <f>'04_MOTOR_CÁLCULO'!M65</f>
        <v>Alto</v>
      </c>
    </row>
    <row r="1270" spans="1:8" ht="13.5" customHeight="1" x14ac:dyDescent="0.25">
      <c r="A1270" s="24" t="str">
        <f>'04_MOTOR_CÁLCULO'!A21</f>
        <v>0119-9/03</v>
      </c>
      <c r="B1270" s="38" t="str">
        <f>'04_MOTOR_CÁLCULO'!B21</f>
        <v>A</v>
      </c>
      <c r="C1270" s="100" t="str">
        <f>'04_MOTOR_CÁLCULO'!C21</f>
        <v>Cultivo de batata-inglesa</v>
      </c>
      <c r="D1270" s="25" t="str">
        <f>'04_MOTOR_CÁLCULO'!D21</f>
        <v>AGRICULTURA, PEC</v>
      </c>
      <c r="E1270" s="82" t="str">
        <f>'04_MOTOR_CÁLCULO'!N21</f>
        <v>FAP/MPS</v>
      </c>
      <c r="F1270" s="45">
        <f>'04_MOTOR_CÁLCULO'!K21</f>
        <v>1.1562950000000001</v>
      </c>
      <c r="G1270" s="46">
        <f>'04_MOTOR_CÁLCULO'!K21-1</f>
        <v>0.15629500000000007</v>
      </c>
      <c r="H1270" s="47" t="str">
        <f>'04_MOTOR_CÁLCULO'!M21</f>
        <v>Alto</v>
      </c>
    </row>
    <row r="1271" spans="1:8" ht="13.5" customHeight="1" x14ac:dyDescent="0.25">
      <c r="A1271" s="13" t="str">
        <f>'04_MOTOR_CÁLCULO'!A8</f>
        <v>0111-3/99</v>
      </c>
      <c r="B1271" s="49" t="str">
        <f>'04_MOTOR_CÁLCULO'!B8</f>
        <v>A</v>
      </c>
      <c r="C1271" s="101" t="str">
        <f>'04_MOTOR_CÁLCULO'!C8</f>
        <v>Cultivo de outros cereais não especificados anteriormente</v>
      </c>
      <c r="D1271" s="14" t="str">
        <f>'04_MOTOR_CÁLCULO'!D8</f>
        <v>AGRICULTURA, PEC</v>
      </c>
      <c r="E1271" s="82" t="str">
        <f>'04_MOTOR_CÁLCULO'!N8</f>
        <v>FAP/MPS</v>
      </c>
      <c r="F1271" s="45">
        <f>'04_MOTOR_CÁLCULO'!K8</f>
        <v>1.1641849999999998</v>
      </c>
      <c r="G1271" s="46">
        <f>'04_MOTOR_CÁLCULO'!K8-1</f>
        <v>0.1641849999999998</v>
      </c>
      <c r="H1271" s="47" t="str">
        <f>'04_MOTOR_CÁLCULO'!M8</f>
        <v>Alto</v>
      </c>
    </row>
    <row r="1272" spans="1:8" ht="13.5" customHeight="1" x14ac:dyDescent="0.25">
      <c r="A1272" s="24" t="str">
        <f>'04_MOTOR_CÁLCULO'!A14</f>
        <v>0115-6/00</v>
      </c>
      <c r="B1272" s="38" t="str">
        <f>'04_MOTOR_CÁLCULO'!B14</f>
        <v>A</v>
      </c>
      <c r="C1272" s="100" t="str">
        <f>'04_MOTOR_CÁLCULO'!C14</f>
        <v>Cultivo de soja</v>
      </c>
      <c r="D1272" s="25" t="str">
        <f>'04_MOTOR_CÁLCULO'!D14</f>
        <v>AGRICULTURA, PEC</v>
      </c>
      <c r="E1272" s="82" t="str">
        <f>'04_MOTOR_CÁLCULO'!N14</f>
        <v>FAP/MPS</v>
      </c>
      <c r="F1272" s="45">
        <f>'04_MOTOR_CÁLCULO'!K14</f>
        <v>1.1684450000000002</v>
      </c>
      <c r="G1272" s="46">
        <f>'04_MOTOR_CÁLCULO'!K14-1</f>
        <v>0.16844500000000018</v>
      </c>
      <c r="H1272" s="47" t="str">
        <f>'04_MOTOR_CÁLCULO'!M14</f>
        <v>Alto</v>
      </c>
    </row>
    <row r="1273" spans="1:8" ht="13.5" customHeight="1" x14ac:dyDescent="0.25">
      <c r="A1273" s="13" t="str">
        <f>'04_MOTOR_CÁLCULO'!A162</f>
        <v>0892-4/03</v>
      </c>
      <c r="B1273" s="49" t="str">
        <f>'04_MOTOR_CÁLCULO'!B162</f>
        <v>B</v>
      </c>
      <c r="C1273" s="101" t="str">
        <f>'04_MOTOR_CÁLCULO'!C162</f>
        <v>Refino e outros tratamentos do sal</v>
      </c>
      <c r="D1273" s="14" t="str">
        <f>'04_MOTOR_CÁLCULO'!D162</f>
        <v>EXTRAÇÃO DE MINE</v>
      </c>
      <c r="E1273" s="82" t="str">
        <f>'04_MOTOR_CÁLCULO'!N162</f>
        <v>FAP/MPS</v>
      </c>
      <c r="F1273" s="45">
        <f>'04_MOTOR_CÁLCULO'!K162</f>
        <v>1.1801349999999999</v>
      </c>
      <c r="G1273" s="46">
        <f>'04_MOTOR_CÁLCULO'!K162-1</f>
        <v>0.18013499999999993</v>
      </c>
      <c r="H1273" s="47" t="str">
        <f>'04_MOTOR_CÁLCULO'!M162</f>
        <v>Alto</v>
      </c>
    </row>
    <row r="1274" spans="1:8" ht="13.5" customHeight="1" x14ac:dyDescent="0.25">
      <c r="A1274" s="24" t="str">
        <f>'04_MOTOR_CÁLCULO'!A83</f>
        <v>0162-8/03</v>
      </c>
      <c r="B1274" s="38" t="str">
        <f>'04_MOTOR_CÁLCULO'!B83</f>
        <v>A</v>
      </c>
      <c r="C1274" s="100" t="str">
        <f>'04_MOTOR_CÁLCULO'!C83</f>
        <v>Serviço de manejo de animais</v>
      </c>
      <c r="D1274" s="25" t="str">
        <f>'04_MOTOR_CÁLCULO'!D83</f>
        <v>AGRICULTURA, PEC</v>
      </c>
      <c r="E1274" s="82" t="str">
        <f>'04_MOTOR_CÁLCULO'!N83</f>
        <v>FAP/MPS</v>
      </c>
      <c r="F1274" s="45">
        <f>'04_MOTOR_CÁLCULO'!K83</f>
        <v>1.1810350000000001</v>
      </c>
      <c r="G1274" s="46">
        <f>'04_MOTOR_CÁLCULO'!K83-1</f>
        <v>0.18103500000000006</v>
      </c>
      <c r="H1274" s="47" t="str">
        <f>'04_MOTOR_CÁLCULO'!M83</f>
        <v>Alto</v>
      </c>
    </row>
    <row r="1275" spans="1:8" ht="13.5" customHeight="1" x14ac:dyDescent="0.25">
      <c r="A1275" s="13" t="str">
        <f>'04_MOTOR_CÁLCULO'!A92</f>
        <v>0210-1/06</v>
      </c>
      <c r="B1275" s="49" t="str">
        <f>'04_MOTOR_CÁLCULO'!B92</f>
        <v>A</v>
      </c>
      <c r="C1275" s="101" t="str">
        <f>'04_MOTOR_CÁLCULO'!C92</f>
        <v>Cultivo de mudas em viveiros florestais</v>
      </c>
      <c r="D1275" s="14" t="str">
        <f>'04_MOTOR_CÁLCULO'!D92</f>
        <v>PRODUÇÃO FLOREST</v>
      </c>
      <c r="E1275" s="82" t="str">
        <f>'04_MOTOR_CÁLCULO'!N92</f>
        <v>FAP/MPS</v>
      </c>
      <c r="F1275" s="45">
        <f>'04_MOTOR_CÁLCULO'!K92</f>
        <v>1.1841550000000001</v>
      </c>
      <c r="G1275" s="46">
        <f>'04_MOTOR_CÁLCULO'!K92-1</f>
        <v>0.18415500000000007</v>
      </c>
      <c r="H1275" s="47" t="str">
        <f>'04_MOTOR_CÁLCULO'!M92</f>
        <v>Alto</v>
      </c>
    </row>
    <row r="1276" spans="1:8" ht="13.5" customHeight="1" x14ac:dyDescent="0.25">
      <c r="A1276" s="24" t="str">
        <f>'04_MOTOR_CÁLCULO'!A62</f>
        <v>0152-1/02</v>
      </c>
      <c r="B1276" s="38" t="str">
        <f>'04_MOTOR_CÁLCULO'!B62</f>
        <v>A</v>
      </c>
      <c r="C1276" s="100" t="str">
        <f>'04_MOTOR_CÁLCULO'!C62</f>
        <v>Criação de equinos</v>
      </c>
      <c r="D1276" s="25" t="str">
        <f>'04_MOTOR_CÁLCULO'!D62</f>
        <v>AGRICULTURA, PEC</v>
      </c>
      <c r="E1276" s="82" t="str">
        <f>'04_MOTOR_CÁLCULO'!N62</f>
        <v>FAP/MPS</v>
      </c>
      <c r="F1276" s="45">
        <f>'04_MOTOR_CÁLCULO'!K62</f>
        <v>1.18743</v>
      </c>
      <c r="G1276" s="46">
        <f>'04_MOTOR_CÁLCULO'!K62-1</f>
        <v>0.18742999999999999</v>
      </c>
      <c r="H1276" s="47" t="str">
        <f>'04_MOTOR_CÁLCULO'!M62</f>
        <v>Alto</v>
      </c>
    </row>
    <row r="1277" spans="1:8" ht="13.5" customHeight="1" x14ac:dyDescent="0.25">
      <c r="A1277" s="13" t="str">
        <f>'04_MOTOR_CÁLCULO'!A87</f>
        <v>0210-1/01</v>
      </c>
      <c r="B1277" s="49" t="str">
        <f>'04_MOTOR_CÁLCULO'!B87</f>
        <v>A</v>
      </c>
      <c r="C1277" s="101" t="str">
        <f>'04_MOTOR_CÁLCULO'!C87</f>
        <v>Cultivo de eucalipto</v>
      </c>
      <c r="D1277" s="14" t="str">
        <f>'04_MOTOR_CÁLCULO'!D87</f>
        <v>PRODUÇÃO FLOREST</v>
      </c>
      <c r="E1277" s="82" t="str">
        <f>'04_MOTOR_CÁLCULO'!N87</f>
        <v>FAP/MPS</v>
      </c>
      <c r="F1277" s="45">
        <f>'04_MOTOR_CÁLCULO'!K87</f>
        <v>1.1948750000000001</v>
      </c>
      <c r="G1277" s="46">
        <f>'04_MOTOR_CÁLCULO'!K87-1</f>
        <v>0.19487500000000013</v>
      </c>
      <c r="H1277" s="47" t="str">
        <f>'04_MOTOR_CÁLCULO'!M87</f>
        <v>Alto</v>
      </c>
    </row>
    <row r="1278" spans="1:8" ht="13.5" customHeight="1" x14ac:dyDescent="0.25">
      <c r="A1278" s="24" t="str">
        <f>'04_MOTOR_CÁLCULO'!A100</f>
        <v>0220-9/04</v>
      </c>
      <c r="B1278" s="38" t="str">
        <f>'04_MOTOR_CÁLCULO'!B100</f>
        <v>A</v>
      </c>
      <c r="C1278" s="100" t="str">
        <f>'04_MOTOR_CÁLCULO'!C100</f>
        <v>Coleta de látex em florestas nativas</v>
      </c>
      <c r="D1278" s="25" t="str">
        <f>'04_MOTOR_CÁLCULO'!D100</f>
        <v>PRODUÇÃO FLOREST</v>
      </c>
      <c r="E1278" s="82" t="str">
        <f>'04_MOTOR_CÁLCULO'!N100</f>
        <v>FAP/MPS</v>
      </c>
      <c r="F1278" s="45">
        <f>'04_MOTOR_CÁLCULO'!K100</f>
        <v>1.1958399999999998</v>
      </c>
      <c r="G1278" s="46">
        <f>'04_MOTOR_CÁLCULO'!K100-1</f>
        <v>0.19583999999999979</v>
      </c>
      <c r="H1278" s="47" t="str">
        <f>'04_MOTOR_CÁLCULO'!M100</f>
        <v>Alto</v>
      </c>
    </row>
    <row r="1279" spans="1:8" ht="13.5" customHeight="1" x14ac:dyDescent="0.25">
      <c r="A1279" s="13" t="str">
        <f>'04_MOTOR_CÁLCULO'!A163</f>
        <v>0893-2/00</v>
      </c>
      <c r="B1279" s="49" t="str">
        <f>'04_MOTOR_CÁLCULO'!B163</f>
        <v>B</v>
      </c>
      <c r="C1279" s="101" t="str">
        <f>'04_MOTOR_CÁLCULO'!C163</f>
        <v>Extração de gemas (pedras preciosas e semipreciosas)</v>
      </c>
      <c r="D1279" s="14" t="str">
        <f>'04_MOTOR_CÁLCULO'!D163</f>
        <v>EXTRAÇÃO DE MINE</v>
      </c>
      <c r="E1279" s="82" t="str">
        <f>'04_MOTOR_CÁLCULO'!N163</f>
        <v>FAP/MPS</v>
      </c>
      <c r="F1279" s="45">
        <f>'04_MOTOR_CÁLCULO'!K163</f>
        <v>1.219895</v>
      </c>
      <c r="G1279" s="46">
        <f>'04_MOTOR_CÁLCULO'!K163-1</f>
        <v>0.21989499999999995</v>
      </c>
      <c r="H1279" s="47" t="str">
        <f>'04_MOTOR_CÁLCULO'!M163</f>
        <v>Alto</v>
      </c>
    </row>
    <row r="1280" spans="1:8" ht="13.5" customHeight="1" x14ac:dyDescent="0.25">
      <c r="A1280" s="24" t="str">
        <f>'04_MOTOR_CÁLCULO'!A104</f>
        <v>0230-6/00</v>
      </c>
      <c r="B1280" s="38" t="str">
        <f>'04_MOTOR_CÁLCULO'!B104</f>
        <v>A</v>
      </c>
      <c r="C1280" s="100" t="str">
        <f>'04_MOTOR_CÁLCULO'!C104</f>
        <v>Atividades de apoio à produção florestal</v>
      </c>
      <c r="D1280" s="25" t="str">
        <f>'04_MOTOR_CÁLCULO'!D104</f>
        <v>PRODUÇÃO FLOREST</v>
      </c>
      <c r="E1280" s="82" t="str">
        <f>'04_MOTOR_CÁLCULO'!N104</f>
        <v>FAP/MPS</v>
      </c>
      <c r="F1280" s="45">
        <f>'04_MOTOR_CÁLCULO'!K104</f>
        <v>1.22492</v>
      </c>
      <c r="G1280" s="46">
        <f>'04_MOTOR_CÁLCULO'!K104-1</f>
        <v>0.22492000000000001</v>
      </c>
      <c r="H1280" s="47" t="str">
        <f>'04_MOTOR_CÁLCULO'!M104</f>
        <v>Alto</v>
      </c>
    </row>
    <row r="1281" spans="1:8" ht="13.5" customHeight="1" x14ac:dyDescent="0.25">
      <c r="A1281" s="13" t="str">
        <f>'04_MOTOR_CÁLCULO'!A47</f>
        <v>0135-1/00</v>
      </c>
      <c r="B1281" s="49" t="str">
        <f>'04_MOTOR_CÁLCULO'!B47</f>
        <v>A</v>
      </c>
      <c r="C1281" s="101" t="str">
        <f>'04_MOTOR_CÁLCULO'!C47</f>
        <v>Cultivo de cacau</v>
      </c>
      <c r="D1281" s="14" t="str">
        <f>'04_MOTOR_CÁLCULO'!D47</f>
        <v>AGRICULTURA, PEC</v>
      </c>
      <c r="E1281" s="82" t="str">
        <f>'04_MOTOR_CÁLCULO'!N47</f>
        <v>FAP/MPS</v>
      </c>
      <c r="F1281" s="59">
        <f>'04_MOTOR_CÁLCULO'!K47</f>
        <v>1.2431299999999998</v>
      </c>
      <c r="G1281" s="60">
        <f>'04_MOTOR_CÁLCULO'!K47-1</f>
        <v>0.24312999999999985</v>
      </c>
      <c r="H1281" s="29" t="str">
        <f>'04_MOTOR_CÁLCULO'!M47</f>
        <v>Elevado</v>
      </c>
    </row>
    <row r="1282" spans="1:8" ht="13.5" customHeight="1" x14ac:dyDescent="0.25">
      <c r="A1282" s="24" t="str">
        <f>'04_MOTOR_CÁLCULO'!A35</f>
        <v>0133-4/02</v>
      </c>
      <c r="B1282" s="38" t="str">
        <f>'04_MOTOR_CÁLCULO'!B35</f>
        <v>A</v>
      </c>
      <c r="C1282" s="100" t="str">
        <f>'04_MOTOR_CÁLCULO'!C35</f>
        <v>Cultivo de banana</v>
      </c>
      <c r="D1282" s="25" t="str">
        <f>'04_MOTOR_CÁLCULO'!D35</f>
        <v>AGRICULTURA, PEC</v>
      </c>
      <c r="E1282" s="82" t="str">
        <f>'04_MOTOR_CÁLCULO'!N35</f>
        <v>FAP/MPS</v>
      </c>
      <c r="F1282" s="59">
        <f>'04_MOTOR_CÁLCULO'!K35</f>
        <v>1.2581449999999998</v>
      </c>
      <c r="G1282" s="60">
        <f>'04_MOTOR_CÁLCULO'!K35-1</f>
        <v>0.25814499999999985</v>
      </c>
      <c r="H1282" s="29" t="str">
        <f>'04_MOTOR_CÁLCULO'!M35</f>
        <v>Elevado</v>
      </c>
    </row>
    <row r="1283" spans="1:8" ht="13.5" customHeight="1" x14ac:dyDescent="0.25">
      <c r="A1283" s="13" t="str">
        <f>'04_MOTOR_CÁLCULO'!A169</f>
        <v>0990-4/01</v>
      </c>
      <c r="B1283" s="49" t="str">
        <f>'04_MOTOR_CÁLCULO'!B169</f>
        <v>B</v>
      </c>
      <c r="C1283" s="101" t="str">
        <f>'04_MOTOR_CÁLCULO'!C169</f>
        <v>Atividades de apoio à extração de minério de ferro</v>
      </c>
      <c r="D1283" s="14" t="str">
        <f>'04_MOTOR_CÁLCULO'!D169</f>
        <v>ATIVIDADES DE AP</v>
      </c>
      <c r="E1283" s="82" t="str">
        <f>'04_MOTOR_CÁLCULO'!N169</f>
        <v>FAP/MPS</v>
      </c>
      <c r="F1283" s="59">
        <f>'04_MOTOR_CÁLCULO'!K169</f>
        <v>1.2605599999999999</v>
      </c>
      <c r="G1283" s="60">
        <f>'04_MOTOR_CÁLCULO'!K169-1</f>
        <v>0.2605599999999999</v>
      </c>
      <c r="H1283" s="29" t="str">
        <f>'04_MOTOR_CÁLCULO'!M169</f>
        <v>Elevado</v>
      </c>
    </row>
    <row r="1284" spans="1:8" ht="13.5" customHeight="1" x14ac:dyDescent="0.25">
      <c r="A1284" s="24" t="str">
        <f>'04_MOTOR_CÁLCULO'!A59</f>
        <v>0151-2/02</v>
      </c>
      <c r="B1284" s="38" t="str">
        <f>'04_MOTOR_CÁLCULO'!B59</f>
        <v>A</v>
      </c>
      <c r="C1284" s="100" t="str">
        <f>'04_MOTOR_CÁLCULO'!C59</f>
        <v>Criação de bovinos para leite</v>
      </c>
      <c r="D1284" s="25" t="str">
        <f>'04_MOTOR_CÁLCULO'!D59</f>
        <v>AGRICULTURA, PEC</v>
      </c>
      <c r="E1284" s="82" t="str">
        <f>'04_MOTOR_CÁLCULO'!N59</f>
        <v>FAP/MPS</v>
      </c>
      <c r="F1284" s="59">
        <f>'04_MOTOR_CÁLCULO'!K59</f>
        <v>1.2671599999999998</v>
      </c>
      <c r="G1284" s="60">
        <f>'04_MOTOR_CÁLCULO'!K59-1</f>
        <v>0.26715999999999984</v>
      </c>
      <c r="H1284" s="29" t="str">
        <f>'04_MOTOR_CÁLCULO'!M59</f>
        <v>Elevado</v>
      </c>
    </row>
    <row r="1285" spans="1:8" ht="13.5" customHeight="1" x14ac:dyDescent="0.25">
      <c r="A1285" s="13" t="str">
        <f>'04_MOTOR_CÁLCULO'!A109</f>
        <v>0312-4/01</v>
      </c>
      <c r="B1285" s="49" t="str">
        <f>'04_MOTOR_CÁLCULO'!B109</f>
        <v>A</v>
      </c>
      <c r="C1285" s="101" t="str">
        <f>'04_MOTOR_CÁLCULO'!C109</f>
        <v>Pesca de peixes em água doce</v>
      </c>
      <c r="D1285" s="14" t="str">
        <f>'04_MOTOR_CÁLCULO'!D109</f>
        <v>PESCA E AQÜICULT</v>
      </c>
      <c r="E1285" s="82" t="str">
        <f>'04_MOTOR_CÁLCULO'!N109</f>
        <v>FAP/MPS</v>
      </c>
      <c r="F1285" s="59">
        <f>'04_MOTOR_CÁLCULO'!K109</f>
        <v>1.275455</v>
      </c>
      <c r="G1285" s="60">
        <f>'04_MOTOR_CÁLCULO'!K109-1</f>
        <v>0.27545500000000001</v>
      </c>
      <c r="H1285" s="29" t="str">
        <f>'04_MOTOR_CÁLCULO'!M109</f>
        <v>Elevado</v>
      </c>
    </row>
    <row r="1286" spans="1:8" ht="13.5" customHeight="1" x14ac:dyDescent="0.25">
      <c r="A1286" s="24" t="str">
        <f>'04_MOTOR_CÁLCULO'!A28</f>
        <v>0119-9/99</v>
      </c>
      <c r="B1286" s="38" t="str">
        <f>'04_MOTOR_CÁLCULO'!B28</f>
        <v>A</v>
      </c>
      <c r="C1286" s="100" t="str">
        <f>'04_MOTOR_CÁLCULO'!C28</f>
        <v>Cultivo de outras plantas de lavoura temporária não especificadas anteriormente</v>
      </c>
      <c r="D1286" s="25" t="str">
        <f>'04_MOTOR_CÁLCULO'!D28</f>
        <v>AGRICULTURA, PEC</v>
      </c>
      <c r="E1286" s="82" t="str">
        <f>'04_MOTOR_CÁLCULO'!N28</f>
        <v>FAP/MPS</v>
      </c>
      <c r="F1286" s="59">
        <f>'04_MOTOR_CÁLCULO'!K28</f>
        <v>1.287005</v>
      </c>
      <c r="G1286" s="60">
        <f>'04_MOTOR_CÁLCULO'!K28-1</f>
        <v>0.28700499999999995</v>
      </c>
      <c r="H1286" s="29" t="str">
        <f>'04_MOTOR_CÁLCULO'!M28</f>
        <v>Elevado</v>
      </c>
    </row>
    <row r="1287" spans="1:8" ht="13.5" customHeight="1" x14ac:dyDescent="0.25">
      <c r="A1287" s="13" t="str">
        <f>'04_MOTOR_CÁLCULO'!A98</f>
        <v>0220-9/02</v>
      </c>
      <c r="B1287" s="49" t="str">
        <f>'04_MOTOR_CÁLCULO'!B98</f>
        <v>A</v>
      </c>
      <c r="C1287" s="101" t="str">
        <f>'04_MOTOR_CÁLCULO'!C98</f>
        <v>Produção de carvão vegetal - florestas nativas</v>
      </c>
      <c r="D1287" s="14" t="str">
        <f>'04_MOTOR_CÁLCULO'!D98</f>
        <v>PRODUÇÃO FLOREST</v>
      </c>
      <c r="E1287" s="82" t="str">
        <f>'04_MOTOR_CÁLCULO'!N98</f>
        <v>FAP/MPS</v>
      </c>
      <c r="F1287" s="59">
        <f>'04_MOTOR_CÁLCULO'!K98</f>
        <v>1.2921549999999999</v>
      </c>
      <c r="G1287" s="60">
        <f>'04_MOTOR_CÁLCULO'!K98-1</f>
        <v>0.29215499999999994</v>
      </c>
      <c r="H1287" s="29" t="str">
        <f>'04_MOTOR_CÁLCULO'!M98</f>
        <v>Elevado</v>
      </c>
    </row>
    <row r="1288" spans="1:8" ht="13.5" customHeight="1" x14ac:dyDescent="0.25">
      <c r="A1288" s="24" t="str">
        <f>'04_MOTOR_CÁLCULO'!A38</f>
        <v>0133-4/05</v>
      </c>
      <c r="B1288" s="38" t="str">
        <f>'04_MOTOR_CÁLCULO'!B38</f>
        <v>A</v>
      </c>
      <c r="C1288" s="100" t="str">
        <f>'04_MOTOR_CÁLCULO'!C38</f>
        <v>Cultivo de coco-da-baía</v>
      </c>
      <c r="D1288" s="25" t="str">
        <f>'04_MOTOR_CÁLCULO'!D38</f>
        <v>AGRICULTURA, PEC</v>
      </c>
      <c r="E1288" s="82" t="str">
        <f>'04_MOTOR_CÁLCULO'!N38</f>
        <v>FAP/MPS</v>
      </c>
      <c r="F1288" s="59">
        <f>'04_MOTOR_CÁLCULO'!K38</f>
        <v>1.3122</v>
      </c>
      <c r="G1288" s="60">
        <f>'04_MOTOR_CÁLCULO'!K38-1</f>
        <v>0.31220000000000003</v>
      </c>
      <c r="H1288" s="29" t="str">
        <f>'04_MOTOR_CÁLCULO'!M38</f>
        <v>Elevado</v>
      </c>
    </row>
    <row r="1289" spans="1:8" ht="13.5" customHeight="1" x14ac:dyDescent="0.25">
      <c r="A1289" s="13" t="str">
        <f>'04_MOTOR_CÁLCULO'!A71</f>
        <v>0155-5/05</v>
      </c>
      <c r="B1289" s="49" t="str">
        <f>'04_MOTOR_CÁLCULO'!B71</f>
        <v>A</v>
      </c>
      <c r="C1289" s="101" t="str">
        <f>'04_MOTOR_CÁLCULO'!C71</f>
        <v>Produção de ovos</v>
      </c>
      <c r="D1289" s="14" t="str">
        <f>'04_MOTOR_CÁLCULO'!D71</f>
        <v>AGRICULTURA, PEC</v>
      </c>
      <c r="E1289" s="82" t="str">
        <f>'04_MOTOR_CÁLCULO'!N71</f>
        <v>FAP/MPS</v>
      </c>
      <c r="F1289" s="59">
        <f>'04_MOTOR_CÁLCULO'!K71</f>
        <v>1.3290749999999998</v>
      </c>
      <c r="G1289" s="60">
        <f>'04_MOTOR_CÁLCULO'!K71-1</f>
        <v>0.32907499999999978</v>
      </c>
      <c r="H1289" s="29" t="str">
        <f>'04_MOTOR_CÁLCULO'!M71</f>
        <v>Elevado</v>
      </c>
    </row>
    <row r="1290" spans="1:8" ht="13.5" customHeight="1" x14ac:dyDescent="0.25">
      <c r="A1290" s="24" t="str">
        <f>'04_MOTOR_CÁLCULO'!A40</f>
        <v>0133-4/07</v>
      </c>
      <c r="B1290" s="38" t="str">
        <f>'04_MOTOR_CÁLCULO'!B40</f>
        <v>A</v>
      </c>
      <c r="C1290" s="100" t="str">
        <f>'04_MOTOR_CÁLCULO'!C40</f>
        <v>Cultivo de maçã</v>
      </c>
      <c r="D1290" s="25" t="str">
        <f>'04_MOTOR_CÁLCULO'!D40</f>
        <v>AGRICULTURA, PEC</v>
      </c>
      <c r="E1290" s="82" t="str">
        <f>'04_MOTOR_CÁLCULO'!N40</f>
        <v>FAP/MPS</v>
      </c>
      <c r="F1290" s="59">
        <f>'04_MOTOR_CÁLCULO'!K40</f>
        <v>1.3460150000000002</v>
      </c>
      <c r="G1290" s="60">
        <f>'04_MOTOR_CÁLCULO'!K40-1</f>
        <v>0.34601500000000018</v>
      </c>
      <c r="H1290" s="29" t="str">
        <f>'04_MOTOR_CÁLCULO'!M40</f>
        <v>Elevado</v>
      </c>
    </row>
    <row r="1291" spans="1:8" ht="13.5" customHeight="1" x14ac:dyDescent="0.25">
      <c r="A1291" s="13" t="str">
        <f>'04_MOTOR_CÁLCULO'!A102</f>
        <v>0220-9/06</v>
      </c>
      <c r="B1291" s="49" t="str">
        <f>'04_MOTOR_CÁLCULO'!B102</f>
        <v>A</v>
      </c>
      <c r="C1291" s="101" t="str">
        <f>'04_MOTOR_CÁLCULO'!C102</f>
        <v>Conservação de florestas nativas</v>
      </c>
      <c r="D1291" s="14" t="str">
        <f>'04_MOTOR_CÁLCULO'!D102</f>
        <v>PRODUÇÃO FLOREST</v>
      </c>
      <c r="E1291" s="82" t="str">
        <f>'04_MOTOR_CÁLCULO'!N102</f>
        <v>FAP/MPS</v>
      </c>
      <c r="F1291" s="59">
        <f>'04_MOTOR_CÁLCULO'!K102</f>
        <v>1.353545</v>
      </c>
      <c r="G1291" s="60">
        <f>'04_MOTOR_CÁLCULO'!K102-1</f>
        <v>0.353545</v>
      </c>
      <c r="H1291" s="29" t="str">
        <f>'04_MOTOR_CÁLCULO'!M102</f>
        <v>Elevado</v>
      </c>
    </row>
    <row r="1292" spans="1:8" ht="13.5" customHeight="1" x14ac:dyDescent="0.25">
      <c r="A1292" s="24" t="str">
        <f>'04_MOTOR_CÁLCULO'!A85</f>
        <v>0163-6/00</v>
      </c>
      <c r="B1292" s="38" t="str">
        <f>'04_MOTOR_CÁLCULO'!B85</f>
        <v>A</v>
      </c>
      <c r="C1292" s="100" t="str">
        <f>'04_MOTOR_CÁLCULO'!C85</f>
        <v>Atividades de pós-colheita</v>
      </c>
      <c r="D1292" s="25" t="str">
        <f>'04_MOTOR_CÁLCULO'!D85</f>
        <v>AGRICULTURA, PEC</v>
      </c>
      <c r="E1292" s="82" t="str">
        <f>'04_MOTOR_CÁLCULO'!N85</f>
        <v>FAP/MPS</v>
      </c>
      <c r="F1292" s="59">
        <f>'04_MOTOR_CÁLCULO'!K85</f>
        <v>1.3539249999999998</v>
      </c>
      <c r="G1292" s="60">
        <f>'04_MOTOR_CÁLCULO'!K85-1</f>
        <v>0.35392499999999982</v>
      </c>
      <c r="H1292" s="29" t="str">
        <f>'04_MOTOR_CÁLCULO'!M85</f>
        <v>Elevado</v>
      </c>
    </row>
    <row r="1293" spans="1:8" ht="13.5" customHeight="1" x14ac:dyDescent="0.25">
      <c r="A1293" s="13" t="str">
        <f>'04_MOTOR_CÁLCULO'!A84</f>
        <v>0162-8/99</v>
      </c>
      <c r="B1293" s="49" t="str">
        <f>'04_MOTOR_CÁLCULO'!B84</f>
        <v>A</v>
      </c>
      <c r="C1293" s="101" t="str">
        <f>'04_MOTOR_CÁLCULO'!C84</f>
        <v>Atividades de apoio à pecuária não especificadas anteriormente</v>
      </c>
      <c r="D1293" s="14" t="str">
        <f>'04_MOTOR_CÁLCULO'!D84</f>
        <v>AGRICULTURA, PEC</v>
      </c>
      <c r="E1293" s="82" t="str">
        <f>'04_MOTOR_CÁLCULO'!N84</f>
        <v>FAP/MPS</v>
      </c>
      <c r="F1293" s="59">
        <f>'04_MOTOR_CÁLCULO'!K84</f>
        <v>1.3546199999999999</v>
      </c>
      <c r="G1293" s="60">
        <f>'04_MOTOR_CÁLCULO'!K84-1</f>
        <v>0.35461999999999994</v>
      </c>
      <c r="H1293" s="29" t="str">
        <f>'04_MOTOR_CÁLCULO'!M84</f>
        <v>Elevado</v>
      </c>
    </row>
    <row r="1294" spans="1:8" ht="13.5" customHeight="1" x14ac:dyDescent="0.25">
      <c r="A1294" s="24" t="str">
        <f>'04_MOTOR_CÁLCULO'!A46</f>
        <v>0134-2/00</v>
      </c>
      <c r="B1294" s="38" t="str">
        <f>'04_MOTOR_CÁLCULO'!B46</f>
        <v>A</v>
      </c>
      <c r="C1294" s="100" t="str">
        <f>'04_MOTOR_CÁLCULO'!C46</f>
        <v>Cultivo de café</v>
      </c>
      <c r="D1294" s="25" t="str">
        <f>'04_MOTOR_CÁLCULO'!D46</f>
        <v>AGRICULTURA, PEC</v>
      </c>
      <c r="E1294" s="82" t="str">
        <f>'04_MOTOR_CÁLCULO'!N46</f>
        <v>FAP/MPS</v>
      </c>
      <c r="F1294" s="59">
        <f>'04_MOTOR_CÁLCULO'!K46</f>
        <v>1.3579050000000001</v>
      </c>
      <c r="G1294" s="60">
        <f>'04_MOTOR_CÁLCULO'!K46-1</f>
        <v>0.35790500000000014</v>
      </c>
      <c r="H1294" s="29" t="str">
        <f>'04_MOTOR_CÁLCULO'!M46</f>
        <v>Elevado</v>
      </c>
    </row>
    <row r="1295" spans="1:8" ht="13.5" customHeight="1" x14ac:dyDescent="0.25">
      <c r="A1295" s="13" t="str">
        <f>'04_MOTOR_CÁLCULO'!A138</f>
        <v>0723-5/01</v>
      </c>
      <c r="B1295" s="49" t="str">
        <f>'04_MOTOR_CÁLCULO'!B138</f>
        <v>B</v>
      </c>
      <c r="C1295" s="101" t="str">
        <f>'04_MOTOR_CÁLCULO'!C138</f>
        <v>Extração de minério de manganês</v>
      </c>
      <c r="D1295" s="14" t="str">
        <f>'04_MOTOR_CÁLCULO'!D138</f>
        <v>EXTRAÇÃO DE MINE</v>
      </c>
      <c r="E1295" s="82" t="str">
        <f>'04_MOTOR_CÁLCULO'!N138</f>
        <v>FAP/MPS</v>
      </c>
      <c r="F1295" s="59">
        <f>'04_MOTOR_CÁLCULO'!K138</f>
        <v>1.3581049999999999</v>
      </c>
      <c r="G1295" s="60">
        <f>'04_MOTOR_CÁLCULO'!K138-1</f>
        <v>0.3581049999999999</v>
      </c>
      <c r="H1295" s="29" t="str">
        <f>'04_MOTOR_CÁLCULO'!M138</f>
        <v>Elevado</v>
      </c>
    </row>
    <row r="1296" spans="1:8" ht="13.5" customHeight="1" x14ac:dyDescent="0.25">
      <c r="A1296" s="24" t="str">
        <f>'04_MOTOR_CÁLCULO'!A52</f>
        <v>0139-3/05</v>
      </c>
      <c r="B1296" s="38" t="str">
        <f>'04_MOTOR_CÁLCULO'!B52</f>
        <v>A</v>
      </c>
      <c r="C1296" s="100" t="str">
        <f>'04_MOTOR_CÁLCULO'!C52</f>
        <v>Cultivo de dendê</v>
      </c>
      <c r="D1296" s="25" t="str">
        <f>'04_MOTOR_CÁLCULO'!D52</f>
        <v>AGRICULTURA, PEC</v>
      </c>
      <c r="E1296" s="82" t="str">
        <f>'04_MOTOR_CÁLCULO'!N52</f>
        <v>FAP/MPS</v>
      </c>
      <c r="F1296" s="59">
        <f>'04_MOTOR_CÁLCULO'!K52</f>
        <v>1.3971499999999997</v>
      </c>
      <c r="G1296" s="60">
        <f>'04_MOTOR_CÁLCULO'!K52-1</f>
        <v>0.39714999999999967</v>
      </c>
      <c r="H1296" s="29" t="str">
        <f>'04_MOTOR_CÁLCULO'!M52</f>
        <v>Elevado</v>
      </c>
    </row>
    <row r="1297" spans="1:8" ht="13.5" customHeight="1" x14ac:dyDescent="0.25">
      <c r="A1297" s="13" t="str">
        <f>'04_MOTOR_CÁLCULO'!A94</f>
        <v>0210-1/08</v>
      </c>
      <c r="B1297" s="49" t="str">
        <f>'04_MOTOR_CÁLCULO'!B94</f>
        <v>A</v>
      </c>
      <c r="C1297" s="101" t="str">
        <f>'04_MOTOR_CÁLCULO'!C94</f>
        <v>Produção de carvão vegetal - florestas plantadas</v>
      </c>
      <c r="D1297" s="14" t="str">
        <f>'04_MOTOR_CÁLCULO'!D94</f>
        <v>PRODUÇÃO FLOREST</v>
      </c>
      <c r="E1297" s="82" t="str">
        <f>'04_MOTOR_CÁLCULO'!N94</f>
        <v>FAP/MPS</v>
      </c>
      <c r="F1297" s="59">
        <f>'04_MOTOR_CÁLCULO'!K94</f>
        <v>1.39791</v>
      </c>
      <c r="G1297" s="60">
        <f>'04_MOTOR_CÁLCULO'!K94-1</f>
        <v>0.39790999999999999</v>
      </c>
      <c r="H1297" s="29" t="str">
        <f>'04_MOTOR_CÁLCULO'!M94</f>
        <v>Elevado</v>
      </c>
    </row>
    <row r="1298" spans="1:8" ht="13.5" customHeight="1" x14ac:dyDescent="0.25">
      <c r="A1298" s="24" t="str">
        <f>'04_MOTOR_CÁLCULO'!A12</f>
        <v>0113-0/00</v>
      </c>
      <c r="B1298" s="38" t="str">
        <f>'04_MOTOR_CÁLCULO'!B12</f>
        <v>A</v>
      </c>
      <c r="C1298" s="100" t="str">
        <f>'04_MOTOR_CÁLCULO'!C12</f>
        <v>Cultivo de cana-de-açúcar</v>
      </c>
      <c r="D1298" s="25" t="str">
        <f>'04_MOTOR_CÁLCULO'!D12</f>
        <v>AGRICULTURA, PEC</v>
      </c>
      <c r="E1298" s="82" t="str">
        <f>'04_MOTOR_CÁLCULO'!N12</f>
        <v>FAP/MPS</v>
      </c>
      <c r="F1298" s="59">
        <f>'04_MOTOR_CÁLCULO'!K12</f>
        <v>1.4</v>
      </c>
      <c r="G1298" s="60">
        <f>'04_MOTOR_CÁLCULO'!K12-1</f>
        <v>0.39999999999999991</v>
      </c>
      <c r="H1298" s="29" t="str">
        <f>'04_MOTOR_CÁLCULO'!M12</f>
        <v>Elevado</v>
      </c>
    </row>
    <row r="1299" spans="1:8" ht="13.5" customHeight="1" x14ac:dyDescent="0.25">
      <c r="A1299" s="13" t="str">
        <f>'04_MOTOR_CÁLCULO'!A32</f>
        <v>0131-8/00</v>
      </c>
      <c r="B1299" s="49" t="str">
        <f>'04_MOTOR_CÁLCULO'!B32</f>
        <v>A</v>
      </c>
      <c r="C1299" s="101" t="str">
        <f>'04_MOTOR_CÁLCULO'!C32</f>
        <v>Cultivo de laranja</v>
      </c>
      <c r="D1299" s="14" t="str">
        <f>'04_MOTOR_CÁLCULO'!D32</f>
        <v>AGRICULTURA, PEC</v>
      </c>
      <c r="E1299" s="82" t="str">
        <f>'04_MOTOR_CÁLCULO'!N32</f>
        <v>FAP/MPS</v>
      </c>
      <c r="F1299" s="59">
        <f>'04_MOTOR_CÁLCULO'!K32</f>
        <v>1.4</v>
      </c>
      <c r="G1299" s="60">
        <f>'04_MOTOR_CÁLCULO'!K32-1</f>
        <v>0.39999999999999991</v>
      </c>
      <c r="H1299" s="29" t="str">
        <f>'04_MOTOR_CÁLCULO'!M32</f>
        <v>Elevado</v>
      </c>
    </row>
    <row r="1300" spans="1:8" ht="13.5" customHeight="1" x14ac:dyDescent="0.25">
      <c r="A1300" s="24" t="str">
        <f>'04_MOTOR_CÁLCULO'!A36</f>
        <v>0133-4/03</v>
      </c>
      <c r="B1300" s="38" t="str">
        <f>'04_MOTOR_CÁLCULO'!B36</f>
        <v>A</v>
      </c>
      <c r="C1300" s="100" t="str">
        <f>'04_MOTOR_CÁLCULO'!C36</f>
        <v>Cultivo de caju</v>
      </c>
      <c r="D1300" s="25" t="str">
        <f>'04_MOTOR_CÁLCULO'!D36</f>
        <v>AGRICULTURA, PEC</v>
      </c>
      <c r="E1300" s="82" t="str">
        <f>'04_MOTOR_CÁLCULO'!N36</f>
        <v>FAP/MPS</v>
      </c>
      <c r="F1300" s="59">
        <f>'04_MOTOR_CÁLCULO'!K36</f>
        <v>1.4</v>
      </c>
      <c r="G1300" s="60">
        <f>'04_MOTOR_CÁLCULO'!K36-1</f>
        <v>0.39999999999999991</v>
      </c>
      <c r="H1300" s="29" t="str">
        <f>'04_MOTOR_CÁLCULO'!M36</f>
        <v>Elevado</v>
      </c>
    </row>
    <row r="1301" spans="1:8" ht="13.5" customHeight="1" x14ac:dyDescent="0.25">
      <c r="A1301" s="13" t="str">
        <f>'04_MOTOR_CÁLCULO'!A50</f>
        <v>0139-3/03</v>
      </c>
      <c r="B1301" s="49" t="str">
        <f>'04_MOTOR_CÁLCULO'!B50</f>
        <v>A</v>
      </c>
      <c r="C1301" s="101" t="str">
        <f>'04_MOTOR_CÁLCULO'!C50</f>
        <v>Cultivo de pimenta-do-reino</v>
      </c>
      <c r="D1301" s="14" t="str">
        <f>'04_MOTOR_CÁLCULO'!D50</f>
        <v>AGRICULTURA, PEC</v>
      </c>
      <c r="E1301" s="82" t="str">
        <f>'04_MOTOR_CÁLCULO'!N50</f>
        <v>FAP/MPS</v>
      </c>
      <c r="F1301" s="59">
        <f>'04_MOTOR_CÁLCULO'!K50</f>
        <v>1.4</v>
      </c>
      <c r="G1301" s="60">
        <f>'04_MOTOR_CÁLCULO'!K50-1</f>
        <v>0.39999999999999991</v>
      </c>
      <c r="H1301" s="29" t="str">
        <f>'04_MOTOR_CÁLCULO'!M50</f>
        <v>Elevado</v>
      </c>
    </row>
    <row r="1302" spans="1:8" ht="13.5" customHeight="1" x14ac:dyDescent="0.25">
      <c r="A1302" s="24" t="str">
        <f>'04_MOTOR_CÁLCULO'!A56</f>
        <v>0141-5/02</v>
      </c>
      <c r="B1302" s="38" t="str">
        <f>'04_MOTOR_CÁLCULO'!B56</f>
        <v>A</v>
      </c>
      <c r="C1302" s="100" t="str">
        <f>'04_MOTOR_CÁLCULO'!C56</f>
        <v>Produção de sementes certificadas de forrageiras para formação de pasto</v>
      </c>
      <c r="D1302" s="25" t="str">
        <f>'04_MOTOR_CÁLCULO'!D56</f>
        <v>AGRICULTURA, PEC</v>
      </c>
      <c r="E1302" s="82" t="str">
        <f>'04_MOTOR_CÁLCULO'!N56</f>
        <v>FAP/MPS</v>
      </c>
      <c r="F1302" s="59">
        <f>'04_MOTOR_CÁLCULO'!K56</f>
        <v>1.4</v>
      </c>
      <c r="G1302" s="60">
        <f>'04_MOTOR_CÁLCULO'!K56-1</f>
        <v>0.39999999999999991</v>
      </c>
      <c r="H1302" s="29" t="str">
        <f>'04_MOTOR_CÁLCULO'!M56</f>
        <v>Elevado</v>
      </c>
    </row>
    <row r="1303" spans="1:8" ht="13.5" customHeight="1" x14ac:dyDescent="0.25">
      <c r="A1303" s="13" t="str">
        <f>'04_MOTOR_CÁLCULO'!A58</f>
        <v>0151-2/01</v>
      </c>
      <c r="B1303" s="49" t="str">
        <f>'04_MOTOR_CÁLCULO'!B58</f>
        <v>A</v>
      </c>
      <c r="C1303" s="101" t="str">
        <f>'04_MOTOR_CÁLCULO'!C58</f>
        <v>Criação de bovinos para corte</v>
      </c>
      <c r="D1303" s="14" t="str">
        <f>'04_MOTOR_CÁLCULO'!D58</f>
        <v>AGRICULTURA, PEC</v>
      </c>
      <c r="E1303" s="82" t="str">
        <f>'04_MOTOR_CÁLCULO'!N58</f>
        <v>FAP/MPS</v>
      </c>
      <c r="F1303" s="59">
        <f>'04_MOTOR_CÁLCULO'!K58</f>
        <v>1.4</v>
      </c>
      <c r="G1303" s="60">
        <f>'04_MOTOR_CÁLCULO'!K58-1</f>
        <v>0.39999999999999991</v>
      </c>
      <c r="H1303" s="29" t="str">
        <f>'04_MOTOR_CÁLCULO'!M58</f>
        <v>Elevado</v>
      </c>
    </row>
    <row r="1304" spans="1:8" ht="13.5" customHeight="1" x14ac:dyDescent="0.25">
      <c r="A1304" s="24" t="str">
        <f>'04_MOTOR_CÁLCULO'!A60</f>
        <v>0151-2/03</v>
      </c>
      <c r="B1304" s="38" t="str">
        <f>'04_MOTOR_CÁLCULO'!B60</f>
        <v>A</v>
      </c>
      <c r="C1304" s="100" t="str">
        <f>'04_MOTOR_CÁLCULO'!C60</f>
        <v>Criação de bovinos, exceto para corte e leite</v>
      </c>
      <c r="D1304" s="25" t="str">
        <f>'04_MOTOR_CÁLCULO'!D60</f>
        <v>AGRICULTURA, PEC</v>
      </c>
      <c r="E1304" s="82" t="str">
        <f>'04_MOTOR_CÁLCULO'!N60</f>
        <v>FAP/MPS</v>
      </c>
      <c r="F1304" s="59">
        <f>'04_MOTOR_CÁLCULO'!K60</f>
        <v>1.4</v>
      </c>
      <c r="G1304" s="60">
        <f>'04_MOTOR_CÁLCULO'!K60-1</f>
        <v>0.39999999999999991</v>
      </c>
      <c r="H1304" s="29" t="str">
        <f>'04_MOTOR_CÁLCULO'!M60</f>
        <v>Elevado</v>
      </c>
    </row>
    <row r="1305" spans="1:8" ht="13.5" customHeight="1" x14ac:dyDescent="0.25">
      <c r="A1305" s="13" t="str">
        <f>'04_MOTOR_CÁLCULO'!A63</f>
        <v>0152-1/03</v>
      </c>
      <c r="B1305" s="49" t="str">
        <f>'04_MOTOR_CÁLCULO'!B63</f>
        <v>A</v>
      </c>
      <c r="C1305" s="101" t="str">
        <f>'04_MOTOR_CÁLCULO'!C63</f>
        <v>Criação de asininos e muares</v>
      </c>
      <c r="D1305" s="14" t="str">
        <f>'04_MOTOR_CÁLCULO'!D63</f>
        <v>AGRICULTURA, PEC</v>
      </c>
      <c r="E1305" s="82" t="str">
        <f>'04_MOTOR_CÁLCULO'!N63</f>
        <v>FAP/MPS</v>
      </c>
      <c r="F1305" s="59">
        <f>'04_MOTOR_CÁLCULO'!K63</f>
        <v>1.4</v>
      </c>
      <c r="G1305" s="60">
        <f>'04_MOTOR_CÁLCULO'!K63-1</f>
        <v>0.39999999999999991</v>
      </c>
      <c r="H1305" s="29" t="str">
        <f>'04_MOTOR_CÁLCULO'!M63</f>
        <v>Elevado</v>
      </c>
    </row>
    <row r="1306" spans="1:8" ht="13.5" customHeight="1" x14ac:dyDescent="0.25">
      <c r="A1306" s="24" t="str">
        <f>'04_MOTOR_CÁLCULO'!A66</f>
        <v>0154-7/00</v>
      </c>
      <c r="B1306" s="38" t="str">
        <f>'04_MOTOR_CÁLCULO'!B66</f>
        <v>A</v>
      </c>
      <c r="C1306" s="100" t="str">
        <f>'04_MOTOR_CÁLCULO'!C66</f>
        <v>Criação de suínos</v>
      </c>
      <c r="D1306" s="25" t="str">
        <f>'04_MOTOR_CÁLCULO'!D66</f>
        <v>AGRICULTURA, PEC</v>
      </c>
      <c r="E1306" s="82" t="str">
        <f>'04_MOTOR_CÁLCULO'!N66</f>
        <v>FAP/MPS</v>
      </c>
      <c r="F1306" s="59">
        <f>'04_MOTOR_CÁLCULO'!K66</f>
        <v>1.4</v>
      </c>
      <c r="G1306" s="60">
        <f>'04_MOTOR_CÁLCULO'!K66-1</f>
        <v>0.39999999999999991</v>
      </c>
      <c r="H1306" s="29" t="str">
        <f>'04_MOTOR_CÁLCULO'!M66</f>
        <v>Elevado</v>
      </c>
    </row>
    <row r="1307" spans="1:8" ht="13.5" customHeight="1" x14ac:dyDescent="0.25">
      <c r="A1307" s="13" t="str">
        <f>'04_MOTOR_CÁLCULO'!A68</f>
        <v>0155-5/02</v>
      </c>
      <c r="B1307" s="49" t="str">
        <f>'04_MOTOR_CÁLCULO'!B68</f>
        <v>A</v>
      </c>
      <c r="C1307" s="101" t="str">
        <f>'04_MOTOR_CÁLCULO'!C68</f>
        <v>Produção de pintos de um dia</v>
      </c>
      <c r="D1307" s="14" t="str">
        <f>'04_MOTOR_CÁLCULO'!D68</f>
        <v>AGRICULTURA, PEC</v>
      </c>
      <c r="E1307" s="82" t="str">
        <f>'04_MOTOR_CÁLCULO'!N68</f>
        <v>FAP/MPS</v>
      </c>
      <c r="F1307" s="59">
        <f>'04_MOTOR_CÁLCULO'!K68</f>
        <v>1.4</v>
      </c>
      <c r="G1307" s="60">
        <f>'04_MOTOR_CÁLCULO'!K68-1</f>
        <v>0.39999999999999991</v>
      </c>
      <c r="H1307" s="29" t="str">
        <f>'04_MOTOR_CÁLCULO'!M68</f>
        <v>Elevado</v>
      </c>
    </row>
    <row r="1308" spans="1:8" ht="13.5" customHeight="1" x14ac:dyDescent="0.25">
      <c r="A1308" s="24" t="str">
        <f>'04_MOTOR_CÁLCULO'!A69</f>
        <v>0155-5/03</v>
      </c>
      <c r="B1308" s="38" t="str">
        <f>'04_MOTOR_CÁLCULO'!B69</f>
        <v>A</v>
      </c>
      <c r="C1308" s="100" t="str">
        <f>'04_MOTOR_CÁLCULO'!C69</f>
        <v>Criação de outros galináceos, exceto para corte</v>
      </c>
      <c r="D1308" s="25" t="str">
        <f>'04_MOTOR_CÁLCULO'!D69</f>
        <v>AGRICULTURA, PEC</v>
      </c>
      <c r="E1308" s="82" t="str">
        <f>'04_MOTOR_CÁLCULO'!N69</f>
        <v>FAP/MPS</v>
      </c>
      <c r="F1308" s="59">
        <f>'04_MOTOR_CÁLCULO'!K69</f>
        <v>1.4</v>
      </c>
      <c r="G1308" s="60">
        <f>'04_MOTOR_CÁLCULO'!K69-1</f>
        <v>0.39999999999999991</v>
      </c>
      <c r="H1308" s="29" t="str">
        <f>'04_MOTOR_CÁLCULO'!M69</f>
        <v>Elevado</v>
      </c>
    </row>
    <row r="1309" spans="1:8" ht="13.5" customHeight="1" x14ac:dyDescent="0.25">
      <c r="A1309" s="13" t="str">
        <f>'04_MOTOR_CÁLCULO'!A78</f>
        <v>0161-0/02</v>
      </c>
      <c r="B1309" s="49" t="str">
        <f>'04_MOTOR_CÁLCULO'!B78</f>
        <v>A</v>
      </c>
      <c r="C1309" s="101" t="str">
        <f>'04_MOTOR_CÁLCULO'!C78</f>
        <v>Serviço de poda de árvores para lavouras</v>
      </c>
      <c r="D1309" s="14" t="str">
        <f>'04_MOTOR_CÁLCULO'!D78</f>
        <v>AGRICULTURA, PEC</v>
      </c>
      <c r="E1309" s="82" t="str">
        <f>'04_MOTOR_CÁLCULO'!N78</f>
        <v>FAP/MPS</v>
      </c>
      <c r="F1309" s="59">
        <f>'04_MOTOR_CÁLCULO'!K78</f>
        <v>1.4</v>
      </c>
      <c r="G1309" s="60">
        <f>'04_MOTOR_CÁLCULO'!K78-1</f>
        <v>0.39999999999999991</v>
      </c>
      <c r="H1309" s="29" t="str">
        <f>'04_MOTOR_CÁLCULO'!M78</f>
        <v>Elevado</v>
      </c>
    </row>
    <row r="1310" spans="1:8" ht="13.5" customHeight="1" x14ac:dyDescent="0.25">
      <c r="A1310" s="24" t="str">
        <f>'04_MOTOR_CÁLCULO'!A89</f>
        <v>0210-1/03</v>
      </c>
      <c r="B1310" s="38" t="str">
        <f>'04_MOTOR_CÁLCULO'!B89</f>
        <v>A</v>
      </c>
      <c r="C1310" s="100" t="str">
        <f>'04_MOTOR_CÁLCULO'!C89</f>
        <v>Cultivo de pinus</v>
      </c>
      <c r="D1310" s="25" t="str">
        <f>'04_MOTOR_CÁLCULO'!D89</f>
        <v>PRODUÇÃO FLOREST</v>
      </c>
      <c r="E1310" s="82" t="str">
        <f>'04_MOTOR_CÁLCULO'!N89</f>
        <v>FAP/MPS</v>
      </c>
      <c r="F1310" s="59">
        <f>'04_MOTOR_CÁLCULO'!K89</f>
        <v>1.4</v>
      </c>
      <c r="G1310" s="60">
        <f>'04_MOTOR_CÁLCULO'!K89-1</f>
        <v>0.39999999999999991</v>
      </c>
      <c r="H1310" s="29" t="str">
        <f>'04_MOTOR_CÁLCULO'!M89</f>
        <v>Elevado</v>
      </c>
    </row>
    <row r="1311" spans="1:8" ht="13.5" customHeight="1" x14ac:dyDescent="0.25">
      <c r="A1311" s="13" t="str">
        <f>'04_MOTOR_CÁLCULO'!A90</f>
        <v>0210-1/04</v>
      </c>
      <c r="B1311" s="49" t="str">
        <f>'04_MOTOR_CÁLCULO'!B90</f>
        <v>A</v>
      </c>
      <c r="C1311" s="101" t="str">
        <f>'04_MOTOR_CÁLCULO'!C90</f>
        <v>Cultivo de teca</v>
      </c>
      <c r="D1311" s="14" t="str">
        <f>'04_MOTOR_CÁLCULO'!D90</f>
        <v>PRODUÇÃO FLOREST</v>
      </c>
      <c r="E1311" s="82" t="str">
        <f>'04_MOTOR_CÁLCULO'!N90</f>
        <v>FAP/MPS</v>
      </c>
      <c r="F1311" s="59">
        <f>'04_MOTOR_CÁLCULO'!K90</f>
        <v>1.4</v>
      </c>
      <c r="G1311" s="60">
        <f>'04_MOTOR_CÁLCULO'!K90-1</f>
        <v>0.39999999999999991</v>
      </c>
      <c r="H1311" s="29" t="str">
        <f>'04_MOTOR_CÁLCULO'!M90</f>
        <v>Elevado</v>
      </c>
    </row>
    <row r="1312" spans="1:8" ht="13.5" customHeight="1" x14ac:dyDescent="0.25">
      <c r="A1312" s="24" t="str">
        <f>'04_MOTOR_CÁLCULO'!A93</f>
        <v>0210-1/07</v>
      </c>
      <c r="B1312" s="38" t="str">
        <f>'04_MOTOR_CÁLCULO'!B93</f>
        <v>A</v>
      </c>
      <c r="C1312" s="100" t="str">
        <f>'04_MOTOR_CÁLCULO'!C93</f>
        <v>Extração de madeira em florestas plantadas</v>
      </c>
      <c r="D1312" s="25" t="str">
        <f>'04_MOTOR_CÁLCULO'!D93</f>
        <v>PRODUÇÃO FLOREST</v>
      </c>
      <c r="E1312" s="82" t="str">
        <f>'04_MOTOR_CÁLCULO'!N93</f>
        <v>FAP/MPS</v>
      </c>
      <c r="F1312" s="59">
        <f>'04_MOTOR_CÁLCULO'!K93</f>
        <v>1.4</v>
      </c>
      <c r="G1312" s="60">
        <f>'04_MOTOR_CÁLCULO'!K93-1</f>
        <v>0.39999999999999991</v>
      </c>
      <c r="H1312" s="29" t="str">
        <f>'04_MOTOR_CÁLCULO'!M93</f>
        <v>Elevado</v>
      </c>
    </row>
    <row r="1313" spans="1:8" ht="13.5" customHeight="1" x14ac:dyDescent="0.25">
      <c r="A1313" s="13" t="str">
        <f>'04_MOTOR_CÁLCULO'!A97</f>
        <v>0220-9/01</v>
      </c>
      <c r="B1313" s="49" t="str">
        <f>'04_MOTOR_CÁLCULO'!B97</f>
        <v>A</v>
      </c>
      <c r="C1313" s="101" t="str">
        <f>'04_MOTOR_CÁLCULO'!C97</f>
        <v>Extração de madeira em florestas nativas</v>
      </c>
      <c r="D1313" s="14" t="str">
        <f>'04_MOTOR_CÁLCULO'!D97</f>
        <v>PRODUÇÃO FLOREST</v>
      </c>
      <c r="E1313" s="82" t="str">
        <f>'04_MOTOR_CÁLCULO'!N97</f>
        <v>FAP/MPS</v>
      </c>
      <c r="F1313" s="59">
        <f>'04_MOTOR_CÁLCULO'!K97</f>
        <v>1.4</v>
      </c>
      <c r="G1313" s="60">
        <f>'04_MOTOR_CÁLCULO'!K97-1</f>
        <v>0.39999999999999991</v>
      </c>
      <c r="H1313" s="29" t="str">
        <f>'04_MOTOR_CÁLCULO'!M97</f>
        <v>Elevado</v>
      </c>
    </row>
    <row r="1314" spans="1:8" ht="13.5" customHeight="1" x14ac:dyDescent="0.25">
      <c r="A1314" s="24" t="str">
        <f>'04_MOTOR_CÁLCULO'!A99</f>
        <v>0220-9/03</v>
      </c>
      <c r="B1314" s="38" t="str">
        <f>'04_MOTOR_CÁLCULO'!B99</f>
        <v>A</v>
      </c>
      <c r="C1314" s="100" t="str">
        <f>'04_MOTOR_CÁLCULO'!C99</f>
        <v>Coleta de castanha-do-pará em florestas nativas</v>
      </c>
      <c r="D1314" s="25" t="str">
        <f>'04_MOTOR_CÁLCULO'!D99</f>
        <v>PRODUÇÃO FLOREST</v>
      </c>
      <c r="E1314" s="82" t="str">
        <f>'04_MOTOR_CÁLCULO'!N99</f>
        <v>FAP/MPS</v>
      </c>
      <c r="F1314" s="59">
        <f>'04_MOTOR_CÁLCULO'!K99</f>
        <v>1.4</v>
      </c>
      <c r="G1314" s="60">
        <f>'04_MOTOR_CÁLCULO'!K99-1</f>
        <v>0.39999999999999991</v>
      </c>
      <c r="H1314" s="29" t="str">
        <f>'04_MOTOR_CÁLCULO'!M99</f>
        <v>Elevado</v>
      </c>
    </row>
    <row r="1315" spans="1:8" ht="13.5" customHeight="1" x14ac:dyDescent="0.25">
      <c r="A1315" s="13" t="str">
        <f>'04_MOTOR_CÁLCULO'!A101</f>
        <v>0220-9/05</v>
      </c>
      <c r="B1315" s="49" t="str">
        <f>'04_MOTOR_CÁLCULO'!B101</f>
        <v>A</v>
      </c>
      <c r="C1315" s="101" t="str">
        <f>'04_MOTOR_CÁLCULO'!C101</f>
        <v>Coleta de palmito em florestas nativas</v>
      </c>
      <c r="D1315" s="14" t="str">
        <f>'04_MOTOR_CÁLCULO'!D101</f>
        <v>PRODUÇÃO FLOREST</v>
      </c>
      <c r="E1315" s="82" t="str">
        <f>'04_MOTOR_CÁLCULO'!N101</f>
        <v>FAP/MPS</v>
      </c>
      <c r="F1315" s="59">
        <f>'04_MOTOR_CÁLCULO'!K101</f>
        <v>1.4</v>
      </c>
      <c r="G1315" s="60">
        <f>'04_MOTOR_CÁLCULO'!K101-1</f>
        <v>0.39999999999999991</v>
      </c>
      <c r="H1315" s="29" t="str">
        <f>'04_MOTOR_CÁLCULO'!M101</f>
        <v>Elevado</v>
      </c>
    </row>
    <row r="1316" spans="1:8" ht="13.5" customHeight="1" x14ac:dyDescent="0.25">
      <c r="A1316" s="24" t="str">
        <f>'04_MOTOR_CÁLCULO'!A105</f>
        <v>0311-6/01</v>
      </c>
      <c r="B1316" s="38" t="str">
        <f>'04_MOTOR_CÁLCULO'!B105</f>
        <v>A</v>
      </c>
      <c r="C1316" s="100" t="str">
        <f>'04_MOTOR_CÁLCULO'!C105</f>
        <v>Pesca de peixes em água salgada</v>
      </c>
      <c r="D1316" s="25" t="str">
        <f>'04_MOTOR_CÁLCULO'!D105</f>
        <v>PESCA E AQÜICULT</v>
      </c>
      <c r="E1316" s="82" t="str">
        <f>'04_MOTOR_CÁLCULO'!N105</f>
        <v>FAP/MPS</v>
      </c>
      <c r="F1316" s="59">
        <f>'04_MOTOR_CÁLCULO'!K105</f>
        <v>1.4</v>
      </c>
      <c r="G1316" s="60">
        <f>'04_MOTOR_CÁLCULO'!K105-1</f>
        <v>0.39999999999999991</v>
      </c>
      <c r="H1316" s="29" t="str">
        <f>'04_MOTOR_CÁLCULO'!M105</f>
        <v>Elevado</v>
      </c>
    </row>
    <row r="1317" spans="1:8" ht="13.5" customHeight="1" x14ac:dyDescent="0.25">
      <c r="A1317" s="13" t="str">
        <f>'04_MOTOR_CÁLCULO'!A107</f>
        <v>0311-6/03</v>
      </c>
      <c r="B1317" s="49" t="str">
        <f>'04_MOTOR_CÁLCULO'!B107</f>
        <v>A</v>
      </c>
      <c r="C1317" s="101" t="str">
        <f>'04_MOTOR_CÁLCULO'!C107</f>
        <v>Coleta de outros produtos marinhos</v>
      </c>
      <c r="D1317" s="14" t="str">
        <f>'04_MOTOR_CÁLCULO'!D107</f>
        <v>PESCA E AQÜICULT</v>
      </c>
      <c r="E1317" s="82" t="str">
        <f>'04_MOTOR_CÁLCULO'!N107</f>
        <v>FAP/MPS</v>
      </c>
      <c r="F1317" s="59">
        <f>'04_MOTOR_CÁLCULO'!K107</f>
        <v>1.4</v>
      </c>
      <c r="G1317" s="60">
        <f>'04_MOTOR_CÁLCULO'!K107-1</f>
        <v>0.39999999999999991</v>
      </c>
      <c r="H1317" s="29" t="str">
        <f>'04_MOTOR_CÁLCULO'!M107</f>
        <v>Elevado</v>
      </c>
    </row>
    <row r="1318" spans="1:8" ht="13.5" customHeight="1" x14ac:dyDescent="0.25">
      <c r="A1318" s="24" t="str">
        <f>'04_MOTOR_CÁLCULO'!A116</f>
        <v>0321-3/04</v>
      </c>
      <c r="B1318" s="38" t="str">
        <f>'04_MOTOR_CÁLCULO'!B116</f>
        <v>A</v>
      </c>
      <c r="C1318" s="100" t="str">
        <f>'04_MOTOR_CÁLCULO'!C116</f>
        <v>Criação de peixes ornamentais em água salgada e salobra</v>
      </c>
      <c r="D1318" s="25" t="str">
        <f>'04_MOTOR_CÁLCULO'!D116</f>
        <v>PESCA E AQÜICULT</v>
      </c>
      <c r="E1318" s="82" t="str">
        <f>'04_MOTOR_CÁLCULO'!N116</f>
        <v>FAP/MPS</v>
      </c>
      <c r="F1318" s="59">
        <f>'04_MOTOR_CÁLCULO'!K116</f>
        <v>1.4</v>
      </c>
      <c r="G1318" s="60">
        <f>'04_MOTOR_CÁLCULO'!K116-1</f>
        <v>0.39999999999999991</v>
      </c>
      <c r="H1318" s="29" t="str">
        <f>'04_MOTOR_CÁLCULO'!M116</f>
        <v>Elevado</v>
      </c>
    </row>
    <row r="1319" spans="1:8" ht="13.5" customHeight="1" x14ac:dyDescent="0.25">
      <c r="A1319" s="13" t="str">
        <f>'04_MOTOR_CÁLCULO'!A127</f>
        <v>0500-3/01</v>
      </c>
      <c r="B1319" s="49" t="str">
        <f>'04_MOTOR_CÁLCULO'!B127</f>
        <v>B</v>
      </c>
      <c r="C1319" s="101" t="str">
        <f>'04_MOTOR_CÁLCULO'!C127</f>
        <v>Extração de carvão mineral</v>
      </c>
      <c r="D1319" s="14" t="str">
        <f>'04_MOTOR_CÁLCULO'!D127</f>
        <v>EXTRAÇÃO DE CARV</v>
      </c>
      <c r="E1319" s="82" t="str">
        <f>'04_MOTOR_CÁLCULO'!N127</f>
        <v>FAP/MPS</v>
      </c>
      <c r="F1319" s="59">
        <f>'04_MOTOR_CÁLCULO'!K127</f>
        <v>1.4</v>
      </c>
      <c r="G1319" s="60">
        <f>'04_MOTOR_CÁLCULO'!K127-1</f>
        <v>0.39999999999999991</v>
      </c>
      <c r="H1319" s="29" t="str">
        <f>'04_MOTOR_CÁLCULO'!M127</f>
        <v>Elevado</v>
      </c>
    </row>
    <row r="1320" spans="1:8" ht="13.5" customHeight="1" x14ac:dyDescent="0.25">
      <c r="A1320" s="24" t="str">
        <f>'04_MOTOR_CÁLCULO'!A128</f>
        <v>0500-3/02</v>
      </c>
      <c r="B1320" s="38" t="str">
        <f>'04_MOTOR_CÁLCULO'!B128</f>
        <v>B</v>
      </c>
      <c r="C1320" s="100" t="str">
        <f>'04_MOTOR_CÁLCULO'!C128</f>
        <v>Beneficiamento de carvão mineral</v>
      </c>
      <c r="D1320" s="25" t="str">
        <f>'04_MOTOR_CÁLCULO'!D128</f>
        <v>EXTRAÇÃO DE CARV</v>
      </c>
      <c r="E1320" s="82" t="str">
        <f>'04_MOTOR_CÁLCULO'!N128</f>
        <v>FAP/MPS</v>
      </c>
      <c r="F1320" s="59">
        <f>'04_MOTOR_CÁLCULO'!K128</f>
        <v>1.4</v>
      </c>
      <c r="G1320" s="60">
        <f>'04_MOTOR_CÁLCULO'!K128-1</f>
        <v>0.39999999999999991</v>
      </c>
      <c r="H1320" s="29" t="str">
        <f>'04_MOTOR_CÁLCULO'!M128</f>
        <v>Elevado</v>
      </c>
    </row>
    <row r="1321" spans="1:8" ht="13.5" customHeight="1" x14ac:dyDescent="0.25">
      <c r="A1321" s="13" t="str">
        <f>'04_MOTOR_CÁLCULO'!A135</f>
        <v>0721-9/02</v>
      </c>
      <c r="B1321" s="49" t="str">
        <f>'04_MOTOR_CÁLCULO'!B135</f>
        <v>B</v>
      </c>
      <c r="C1321" s="101" t="str">
        <f>'04_MOTOR_CÁLCULO'!C135</f>
        <v>Beneficiamento de minério de alumínio</v>
      </c>
      <c r="D1321" s="14" t="str">
        <f>'04_MOTOR_CÁLCULO'!D135</f>
        <v>EXTRAÇÃO DE MINE</v>
      </c>
      <c r="E1321" s="82" t="str">
        <f>'04_MOTOR_CÁLCULO'!N135</f>
        <v>FAP/MPS</v>
      </c>
      <c r="F1321" s="59">
        <f>'04_MOTOR_CÁLCULO'!K135</f>
        <v>1.4</v>
      </c>
      <c r="G1321" s="60">
        <f>'04_MOTOR_CÁLCULO'!K135-1</f>
        <v>0.39999999999999991</v>
      </c>
      <c r="H1321" s="29" t="str">
        <f>'04_MOTOR_CÁLCULO'!M135</f>
        <v>Elevado</v>
      </c>
    </row>
    <row r="1322" spans="1:8" ht="13.5" customHeight="1" x14ac:dyDescent="0.25">
      <c r="A1322" s="24" t="str">
        <f>'04_MOTOR_CÁLCULO'!A139</f>
        <v>0723-5/02</v>
      </c>
      <c r="B1322" s="38" t="str">
        <f>'04_MOTOR_CÁLCULO'!B139</f>
        <v>B</v>
      </c>
      <c r="C1322" s="100" t="str">
        <f>'04_MOTOR_CÁLCULO'!C139</f>
        <v>Beneficiamento de minério de manganês</v>
      </c>
      <c r="D1322" s="25" t="str">
        <f>'04_MOTOR_CÁLCULO'!D139</f>
        <v>EXTRAÇÃO DE MINE</v>
      </c>
      <c r="E1322" s="82" t="str">
        <f>'04_MOTOR_CÁLCULO'!N139</f>
        <v>FAP/MPS</v>
      </c>
      <c r="F1322" s="59">
        <f>'04_MOTOR_CÁLCULO'!K139</f>
        <v>1.4</v>
      </c>
      <c r="G1322" s="60">
        <f>'04_MOTOR_CÁLCULO'!K139-1</f>
        <v>0.39999999999999991</v>
      </c>
      <c r="H1322" s="29" t="str">
        <f>'04_MOTOR_CÁLCULO'!M139</f>
        <v>Elevado</v>
      </c>
    </row>
    <row r="1323" spans="1:8" ht="13.5" customHeight="1" x14ac:dyDescent="0.25">
      <c r="A1323" s="13" t="str">
        <f>'04_MOTOR_CÁLCULO'!A148</f>
        <v>0810-0/01</v>
      </c>
      <c r="B1323" s="49" t="str">
        <f>'04_MOTOR_CÁLCULO'!B148</f>
        <v>B</v>
      </c>
      <c r="C1323" s="101" t="str">
        <f>'04_MOTOR_CÁLCULO'!C148</f>
        <v>Extração de ardósia e beneficiamento associado</v>
      </c>
      <c r="D1323" s="14" t="str">
        <f>'04_MOTOR_CÁLCULO'!D148</f>
        <v>EXTRAÇÃO DE MINE</v>
      </c>
      <c r="E1323" s="82" t="str">
        <f>'04_MOTOR_CÁLCULO'!N148</f>
        <v>FAP/MPS</v>
      </c>
      <c r="F1323" s="59">
        <f>'04_MOTOR_CÁLCULO'!K148</f>
        <v>1.4</v>
      </c>
      <c r="G1323" s="60">
        <f>'04_MOTOR_CÁLCULO'!K148-1</f>
        <v>0.39999999999999991</v>
      </c>
      <c r="H1323" s="29" t="str">
        <f>'04_MOTOR_CÁLCULO'!M148</f>
        <v>Elevado</v>
      </c>
    </row>
    <row r="1324" spans="1:8" ht="13.5" customHeight="1" x14ac:dyDescent="0.25">
      <c r="A1324" s="24" t="str">
        <f>'04_MOTOR_CÁLCULO'!A149</f>
        <v>0810-0/02</v>
      </c>
      <c r="B1324" s="38" t="str">
        <f>'04_MOTOR_CÁLCULO'!B149</f>
        <v>B</v>
      </c>
      <c r="C1324" s="100" t="str">
        <f>'04_MOTOR_CÁLCULO'!C149</f>
        <v>Extração de granito e beneficiamento associado</v>
      </c>
      <c r="D1324" s="25" t="str">
        <f>'04_MOTOR_CÁLCULO'!D149</f>
        <v>EXTRAÇÃO DE MINE</v>
      </c>
      <c r="E1324" s="82" t="str">
        <f>'04_MOTOR_CÁLCULO'!N149</f>
        <v>FAP/MPS</v>
      </c>
      <c r="F1324" s="59">
        <f>'04_MOTOR_CÁLCULO'!K149</f>
        <v>1.4</v>
      </c>
      <c r="G1324" s="60">
        <f>'04_MOTOR_CÁLCULO'!K149-1</f>
        <v>0.39999999999999991</v>
      </c>
      <c r="H1324" s="29" t="str">
        <f>'04_MOTOR_CÁLCULO'!M149</f>
        <v>Elevado</v>
      </c>
    </row>
    <row r="1325" spans="1:8" ht="13.5" customHeight="1" x14ac:dyDescent="0.25">
      <c r="A1325" s="13" t="str">
        <f>'04_MOTOR_CÁLCULO'!A150</f>
        <v>0810-0/03</v>
      </c>
      <c r="B1325" s="49" t="str">
        <f>'04_MOTOR_CÁLCULO'!B150</f>
        <v>B</v>
      </c>
      <c r="C1325" s="101" t="str">
        <f>'04_MOTOR_CÁLCULO'!C150</f>
        <v>Extração de mármore e beneficiamento associado</v>
      </c>
      <c r="D1325" s="14" t="str">
        <f>'04_MOTOR_CÁLCULO'!D150</f>
        <v>EXTRAÇÃO DE MINE</v>
      </c>
      <c r="E1325" s="82" t="str">
        <f>'04_MOTOR_CÁLCULO'!N150</f>
        <v>FAP/MPS</v>
      </c>
      <c r="F1325" s="59">
        <f>'04_MOTOR_CÁLCULO'!K150</f>
        <v>1.4</v>
      </c>
      <c r="G1325" s="60">
        <f>'04_MOTOR_CÁLCULO'!K150-1</f>
        <v>0.39999999999999991</v>
      </c>
      <c r="H1325" s="29" t="str">
        <f>'04_MOTOR_CÁLCULO'!M150</f>
        <v>Elevado</v>
      </c>
    </row>
    <row r="1326" spans="1:8" ht="13.5" customHeight="1" x14ac:dyDescent="0.25">
      <c r="A1326" s="24" t="str">
        <f>'04_MOTOR_CÁLCULO'!A151</f>
        <v>0810-0/04</v>
      </c>
      <c r="B1326" s="38" t="str">
        <f>'04_MOTOR_CÁLCULO'!B151</f>
        <v>B</v>
      </c>
      <c r="C1326" s="100" t="str">
        <f>'04_MOTOR_CÁLCULO'!C151</f>
        <v>Extração de calcário e dolomita e beneficiamento associado</v>
      </c>
      <c r="D1326" s="25" t="str">
        <f>'04_MOTOR_CÁLCULO'!D151</f>
        <v>EXTRAÇÃO DE MINE</v>
      </c>
      <c r="E1326" s="82" t="str">
        <f>'04_MOTOR_CÁLCULO'!N151</f>
        <v>FAP/MPS</v>
      </c>
      <c r="F1326" s="59">
        <f>'04_MOTOR_CÁLCULO'!K151</f>
        <v>1.4</v>
      </c>
      <c r="G1326" s="60">
        <f>'04_MOTOR_CÁLCULO'!K151-1</f>
        <v>0.39999999999999991</v>
      </c>
      <c r="H1326" s="29" t="str">
        <f>'04_MOTOR_CÁLCULO'!M151</f>
        <v>Elevado</v>
      </c>
    </row>
    <row r="1327" spans="1:8" ht="13.5" customHeight="1" x14ac:dyDescent="0.25">
      <c r="A1327" s="13" t="str">
        <f>'04_MOTOR_CÁLCULO'!A152</f>
        <v>0810-0/05</v>
      </c>
      <c r="B1327" s="49" t="str">
        <f>'04_MOTOR_CÁLCULO'!B152</f>
        <v>B</v>
      </c>
      <c r="C1327" s="101" t="str">
        <f>'04_MOTOR_CÁLCULO'!C152</f>
        <v>Extração de gesso e caulim</v>
      </c>
      <c r="D1327" s="14" t="str">
        <f>'04_MOTOR_CÁLCULO'!D152</f>
        <v>EXTRAÇÃO DE MINE</v>
      </c>
      <c r="E1327" s="82" t="str">
        <f>'04_MOTOR_CÁLCULO'!N152</f>
        <v>FAP/MPS</v>
      </c>
      <c r="F1327" s="59">
        <f>'04_MOTOR_CÁLCULO'!K152</f>
        <v>1.4</v>
      </c>
      <c r="G1327" s="60">
        <f>'04_MOTOR_CÁLCULO'!K152-1</f>
        <v>0.39999999999999991</v>
      </c>
      <c r="H1327" s="29" t="str">
        <f>'04_MOTOR_CÁLCULO'!M152</f>
        <v>Elevado</v>
      </c>
    </row>
    <row r="1328" spans="1:8" ht="13.5" customHeight="1" x14ac:dyDescent="0.25">
      <c r="A1328" s="24" t="str">
        <f>'04_MOTOR_CÁLCULO'!A153</f>
        <v>0810-0/06</v>
      </c>
      <c r="B1328" s="38" t="str">
        <f>'04_MOTOR_CÁLCULO'!B153</f>
        <v>B</v>
      </c>
      <c r="C1328" s="100" t="str">
        <f>'04_MOTOR_CÁLCULO'!C153</f>
        <v>Extração de areia, cascalho ou pedregulho e beneficiamento associado</v>
      </c>
      <c r="D1328" s="25" t="str">
        <f>'04_MOTOR_CÁLCULO'!D153</f>
        <v>EXTRAÇÃO DE MINE</v>
      </c>
      <c r="E1328" s="82" t="str">
        <f>'04_MOTOR_CÁLCULO'!N153</f>
        <v>FAP/MPS</v>
      </c>
      <c r="F1328" s="59">
        <f>'04_MOTOR_CÁLCULO'!K153</f>
        <v>1.4</v>
      </c>
      <c r="G1328" s="60">
        <f>'04_MOTOR_CÁLCULO'!K153-1</f>
        <v>0.39999999999999991</v>
      </c>
      <c r="H1328" s="29" t="str">
        <f>'04_MOTOR_CÁLCULO'!M153</f>
        <v>Elevado</v>
      </c>
    </row>
    <row r="1329" spans="1:8" ht="13.5" customHeight="1" x14ac:dyDescent="0.25">
      <c r="A1329" s="13" t="str">
        <f>'04_MOTOR_CÁLCULO'!A154</f>
        <v>0810-0/07</v>
      </c>
      <c r="B1329" s="49" t="str">
        <f>'04_MOTOR_CÁLCULO'!B154</f>
        <v>B</v>
      </c>
      <c r="C1329" s="101" t="str">
        <f>'04_MOTOR_CÁLCULO'!C154</f>
        <v>Extração de argila e beneficiamento associado</v>
      </c>
      <c r="D1329" s="14" t="str">
        <f>'04_MOTOR_CÁLCULO'!D154</f>
        <v>EXTRAÇÃO DE MINE</v>
      </c>
      <c r="E1329" s="82" t="str">
        <f>'04_MOTOR_CÁLCULO'!N154</f>
        <v>FAP/MPS</v>
      </c>
      <c r="F1329" s="59">
        <f>'04_MOTOR_CÁLCULO'!K154</f>
        <v>1.4</v>
      </c>
      <c r="G1329" s="60">
        <f>'04_MOTOR_CÁLCULO'!K154-1</f>
        <v>0.39999999999999991</v>
      </c>
      <c r="H1329" s="29" t="str">
        <f>'04_MOTOR_CÁLCULO'!M154</f>
        <v>Elevado</v>
      </c>
    </row>
    <row r="1330" spans="1:8" ht="13.5" customHeight="1" x14ac:dyDescent="0.25">
      <c r="A1330" s="24" t="str">
        <f>'04_MOTOR_CÁLCULO'!A156</f>
        <v>0810-0/09</v>
      </c>
      <c r="B1330" s="38" t="str">
        <f>'04_MOTOR_CÁLCULO'!B156</f>
        <v>B</v>
      </c>
      <c r="C1330" s="100" t="str">
        <f>'04_MOTOR_CÁLCULO'!C156</f>
        <v>Extração de basalto e beneficiamento associado</v>
      </c>
      <c r="D1330" s="25" t="str">
        <f>'04_MOTOR_CÁLCULO'!D156</f>
        <v>EXTRAÇÃO DE MINE</v>
      </c>
      <c r="E1330" s="82" t="str">
        <f>'04_MOTOR_CÁLCULO'!N156</f>
        <v>FAP/MPS</v>
      </c>
      <c r="F1330" s="59">
        <f>'04_MOTOR_CÁLCULO'!K156</f>
        <v>1.4</v>
      </c>
      <c r="G1330" s="60">
        <f>'04_MOTOR_CÁLCULO'!K156-1</f>
        <v>0.39999999999999991</v>
      </c>
      <c r="H1330" s="29" t="str">
        <f>'04_MOTOR_CÁLCULO'!M156</f>
        <v>Elevado</v>
      </c>
    </row>
    <row r="1331" spans="1:8" ht="13.5" customHeight="1" x14ac:dyDescent="0.25">
      <c r="A1331" s="13" t="str">
        <f>'04_MOTOR_CÁLCULO'!A158</f>
        <v>0810-0/99</v>
      </c>
      <c r="B1331" s="49" t="str">
        <f>'04_MOTOR_CÁLCULO'!B158</f>
        <v>B</v>
      </c>
      <c r="C1331" s="101" t="str">
        <f>'04_MOTOR_CÁLCULO'!C158</f>
        <v>Extração e britamento de pedras e outros materiais para construção e beneficiamento associado</v>
      </c>
      <c r="D1331" s="14" t="str">
        <f>'04_MOTOR_CÁLCULO'!D158</f>
        <v>EXTRAÇÃO DE MINE</v>
      </c>
      <c r="E1331" s="82" t="str">
        <f>'04_MOTOR_CÁLCULO'!N158</f>
        <v>FAP/MPS</v>
      </c>
      <c r="F1331" s="59">
        <f>'04_MOTOR_CÁLCULO'!K158</f>
        <v>1.4</v>
      </c>
      <c r="G1331" s="60">
        <f>'04_MOTOR_CÁLCULO'!K158-1</f>
        <v>0.39999999999999991</v>
      </c>
      <c r="H1331" s="29" t="str">
        <f>'04_MOTOR_CÁLCULO'!M158</f>
        <v>Elevado</v>
      </c>
    </row>
    <row r="1332" spans="1:8" ht="13.5" customHeight="1" x14ac:dyDescent="0.25">
      <c r="A1332" s="24" t="str">
        <f>'04_MOTOR_CÁLCULO'!A159</f>
        <v>0891-6/00</v>
      </c>
      <c r="B1332" s="38" t="str">
        <f>'04_MOTOR_CÁLCULO'!B159</f>
        <v>B</v>
      </c>
      <c r="C1332" s="100" t="str">
        <f>'04_MOTOR_CÁLCULO'!C159</f>
        <v>Extração de minerais para fabricação de adubos, fertilizantes e outros produtos químicos</v>
      </c>
      <c r="D1332" s="25" t="str">
        <f>'04_MOTOR_CÁLCULO'!D159</f>
        <v>EXTRAÇÃO DE MINE</v>
      </c>
      <c r="E1332" s="82" t="str">
        <f>'04_MOTOR_CÁLCULO'!N159</f>
        <v>FAP/MPS</v>
      </c>
      <c r="F1332" s="59">
        <f>'04_MOTOR_CÁLCULO'!K159</f>
        <v>1.4</v>
      </c>
      <c r="G1332" s="60">
        <f>'04_MOTOR_CÁLCULO'!K159-1</f>
        <v>0.39999999999999991</v>
      </c>
      <c r="H1332" s="29" t="str">
        <f>'04_MOTOR_CÁLCULO'!M159</f>
        <v>Elevado</v>
      </c>
    </row>
    <row r="1333" spans="1:8" ht="13.5" customHeight="1" x14ac:dyDescent="0.25">
      <c r="A1333" s="13" t="str">
        <f>'04_MOTOR_CÁLCULO'!A165</f>
        <v>0899-1/02</v>
      </c>
      <c r="B1333" s="49" t="str">
        <f>'04_MOTOR_CÁLCULO'!B165</f>
        <v>B</v>
      </c>
      <c r="C1333" s="101" t="str">
        <f>'04_MOTOR_CÁLCULO'!C165</f>
        <v>Extração de quartzo</v>
      </c>
      <c r="D1333" s="14" t="str">
        <f>'04_MOTOR_CÁLCULO'!D165</f>
        <v>EXTRAÇÃO DE MINE</v>
      </c>
      <c r="E1333" s="82" t="str">
        <f>'04_MOTOR_CÁLCULO'!N165</f>
        <v>FAP/MPS</v>
      </c>
      <c r="F1333" s="59">
        <f>'04_MOTOR_CÁLCULO'!K165</f>
        <v>1.4</v>
      </c>
      <c r="G1333" s="60">
        <f>'04_MOTOR_CÁLCULO'!K165-1</f>
        <v>0.39999999999999991</v>
      </c>
      <c r="H1333" s="29" t="str">
        <f>'04_MOTOR_CÁLCULO'!M165</f>
        <v>Elevado</v>
      </c>
    </row>
    <row r="1334" spans="1:8" ht="13.5" customHeight="1" x14ac:dyDescent="0.25">
      <c r="A1334" s="24" t="str">
        <f>'04_MOTOR_CÁLCULO'!A167</f>
        <v>0899-1/99</v>
      </c>
      <c r="B1334" s="38" t="str">
        <f>'04_MOTOR_CÁLCULO'!B167</f>
        <v>B</v>
      </c>
      <c r="C1334" s="100" t="str">
        <f>'04_MOTOR_CÁLCULO'!C167</f>
        <v>Extração de outros minerais não metálicos não especificados anteriormente</v>
      </c>
      <c r="D1334" s="25" t="str">
        <f>'04_MOTOR_CÁLCULO'!D167</f>
        <v>EXTRAÇÃO DE MINE</v>
      </c>
      <c r="E1334" s="82" t="str">
        <f>'04_MOTOR_CÁLCULO'!N167</f>
        <v>FAP/MPS</v>
      </c>
      <c r="F1334" s="59">
        <f>'04_MOTOR_CÁLCULO'!K167</f>
        <v>1.4</v>
      </c>
      <c r="G1334" s="60">
        <f>'04_MOTOR_CÁLCULO'!K167-1</f>
        <v>0.39999999999999991</v>
      </c>
      <c r="H1334" s="29" t="str">
        <f>'04_MOTOR_CÁLCULO'!M167</f>
        <v>Elevado</v>
      </c>
    </row>
    <row r="1335" spans="1:8" ht="13.5" customHeight="1" x14ac:dyDescent="0.25">
      <c r="A1335" s="13" t="str">
        <f>'04_MOTOR_CÁLCULO'!A171</f>
        <v>0990-4/03</v>
      </c>
      <c r="B1335" s="49" t="str">
        <f>'04_MOTOR_CÁLCULO'!B171</f>
        <v>B</v>
      </c>
      <c r="C1335" s="101" t="str">
        <f>'04_MOTOR_CÁLCULO'!C171</f>
        <v>Atividades de apoio à extração de minerais não metálicos</v>
      </c>
      <c r="D1335" s="14" t="str">
        <f>'04_MOTOR_CÁLCULO'!D171</f>
        <v>ATIVIDADES DE AP</v>
      </c>
      <c r="E1335" s="82" t="str">
        <f>'04_MOTOR_CÁLCULO'!N171</f>
        <v>FAP/MPS</v>
      </c>
      <c r="F1335" s="59">
        <f>'04_MOTOR_CÁLCULO'!K171</f>
        <v>1.4</v>
      </c>
      <c r="G1335" s="60">
        <f>'04_MOTOR_CÁLCULO'!K171-1</f>
        <v>0.39999999999999991</v>
      </c>
      <c r="H1335" s="29" t="str">
        <f>'04_MOTOR_CÁLCULO'!M171</f>
        <v>Elevado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H1197"/>
  <sheetViews>
    <sheetView showGridLines="0" zoomScaleNormal="100" workbookViewId="0">
      <pane ySplit="4" topLeftCell="A1101" activePane="bottomLeft" state="frozen"/>
      <selection pane="bottomLeft" activeCell="C1112" sqref="C1112"/>
    </sheetView>
  </sheetViews>
  <sheetFormatPr defaultColWidth="8.7109375" defaultRowHeight="15" x14ac:dyDescent="0.25"/>
  <cols>
    <col min="1" max="1" width="10" customWidth="1"/>
    <col min="2" max="2" width="4" customWidth="1"/>
    <col min="3" max="3" width="138.28515625" customWidth="1"/>
    <col min="4" max="4" width="101.140625" customWidth="1"/>
    <col min="5" max="5" width="52.140625" customWidth="1"/>
    <col min="6" max="7" width="14" customWidth="1"/>
    <col min="8" max="8" width="33.140625" bestFit="1" customWidth="1"/>
  </cols>
  <sheetData>
    <row r="1" spans="1:8" ht="27.75" customHeight="1" x14ac:dyDescent="0.25">
      <c r="A1" s="115" t="s">
        <v>3230</v>
      </c>
      <c r="B1" s="115"/>
      <c r="C1" s="115"/>
      <c r="D1" s="115"/>
      <c r="E1" s="115"/>
      <c r="F1" s="115"/>
      <c r="G1" s="115"/>
      <c r="H1" s="115"/>
    </row>
    <row r="2" spans="1:8" ht="19.5" customHeight="1" x14ac:dyDescent="0.25">
      <c r="A2" s="116" t="s">
        <v>3231</v>
      </c>
      <c r="B2" s="116"/>
      <c r="C2" s="116"/>
      <c r="D2" s="116"/>
      <c r="E2" s="116"/>
      <c r="F2" s="116"/>
      <c r="G2" s="116"/>
      <c r="H2" s="116"/>
    </row>
    <row r="3" spans="1:8" ht="19.5" customHeight="1" x14ac:dyDescent="0.25">
      <c r="A3" s="130" t="s">
        <v>3232</v>
      </c>
      <c r="B3" s="130"/>
      <c r="C3" s="130"/>
      <c r="D3" s="130"/>
      <c r="E3" s="130"/>
      <c r="F3" s="130"/>
      <c r="G3" s="130"/>
      <c r="H3" s="130"/>
    </row>
    <row r="4" spans="1:8" ht="27.75" customHeight="1" x14ac:dyDescent="0.25">
      <c r="A4" s="71" t="s">
        <v>3229</v>
      </c>
      <c r="B4" s="71" t="s">
        <v>461</v>
      </c>
      <c r="C4" s="71" t="s">
        <v>118</v>
      </c>
      <c r="D4" s="71" t="s">
        <v>3142</v>
      </c>
      <c r="E4" s="71" t="s">
        <v>3233</v>
      </c>
      <c r="F4" s="71" t="s">
        <v>3234</v>
      </c>
      <c r="G4" s="71" t="s">
        <v>3235</v>
      </c>
      <c r="H4" s="71" t="s">
        <v>3236</v>
      </c>
    </row>
    <row r="5" spans="1:8" ht="13.5" customHeight="1" x14ac:dyDescent="0.25">
      <c r="A5" s="13" t="s">
        <v>549</v>
      </c>
      <c r="B5" s="49" t="s">
        <v>475</v>
      </c>
      <c r="C5" s="101" t="s">
        <v>550</v>
      </c>
      <c r="D5" s="14" t="s">
        <v>3237</v>
      </c>
      <c r="E5" s="14" t="s">
        <v>3238</v>
      </c>
      <c r="F5" s="40" t="s">
        <v>477</v>
      </c>
      <c r="G5" s="102">
        <v>1</v>
      </c>
      <c r="H5" s="103" t="s">
        <v>3239</v>
      </c>
    </row>
    <row r="6" spans="1:8" ht="13.5" customHeight="1" x14ac:dyDescent="0.25">
      <c r="A6" s="24" t="s">
        <v>551</v>
      </c>
      <c r="B6" s="38" t="s">
        <v>475</v>
      </c>
      <c r="C6" s="100" t="s">
        <v>552</v>
      </c>
      <c r="D6" s="25" t="s">
        <v>3237</v>
      </c>
      <c r="E6" s="25" t="s">
        <v>3238</v>
      </c>
      <c r="F6" s="40" t="s">
        <v>477</v>
      </c>
      <c r="G6" s="102">
        <v>1</v>
      </c>
      <c r="H6" s="103" t="s">
        <v>3239</v>
      </c>
    </row>
    <row r="7" spans="1:8" ht="13.5" customHeight="1" x14ac:dyDescent="0.25">
      <c r="A7" s="13" t="s">
        <v>590</v>
      </c>
      <c r="B7" s="49" t="s">
        <v>475</v>
      </c>
      <c r="C7" s="101" t="s">
        <v>591</v>
      </c>
      <c r="D7" s="14" t="s">
        <v>3240</v>
      </c>
      <c r="E7" s="14" t="s">
        <v>3238</v>
      </c>
      <c r="F7" s="64" t="s">
        <v>566</v>
      </c>
      <c r="G7" s="104">
        <v>1.1499999999999999</v>
      </c>
      <c r="H7" s="103" t="s">
        <v>3239</v>
      </c>
    </row>
    <row r="8" spans="1:8" ht="13.5" customHeight="1" x14ac:dyDescent="0.25">
      <c r="A8" s="24" t="s">
        <v>602</v>
      </c>
      <c r="B8" s="38" t="s">
        <v>475</v>
      </c>
      <c r="C8" s="100" t="s">
        <v>603</v>
      </c>
      <c r="D8" s="25" t="s">
        <v>3240</v>
      </c>
      <c r="E8" s="25" t="s">
        <v>3238</v>
      </c>
      <c r="F8" s="64" t="s">
        <v>566</v>
      </c>
      <c r="G8" s="104">
        <v>1.1499999999999999</v>
      </c>
      <c r="H8" s="103" t="s">
        <v>3239</v>
      </c>
    </row>
    <row r="9" spans="1:8" ht="13.5" customHeight="1" x14ac:dyDescent="0.25">
      <c r="A9" s="13" t="s">
        <v>659</v>
      </c>
      <c r="B9" s="49" t="s">
        <v>660</v>
      </c>
      <c r="C9" s="101" t="s">
        <v>661</v>
      </c>
      <c r="D9" s="14" t="s">
        <v>3241</v>
      </c>
      <c r="E9" s="14" t="s">
        <v>3242</v>
      </c>
      <c r="F9" s="64" t="s">
        <v>566</v>
      </c>
      <c r="G9" s="104">
        <v>1.1499999999999999</v>
      </c>
      <c r="H9" s="105" t="s">
        <v>3243</v>
      </c>
    </row>
    <row r="10" spans="1:8" ht="13.5" customHeight="1" x14ac:dyDescent="0.25">
      <c r="A10" s="24" t="s">
        <v>663</v>
      </c>
      <c r="B10" s="38" t="s">
        <v>660</v>
      </c>
      <c r="C10" s="100" t="s">
        <v>664</v>
      </c>
      <c r="D10" s="25" t="s">
        <v>3241</v>
      </c>
      <c r="E10" s="25" t="s">
        <v>3242</v>
      </c>
      <c r="F10" s="64" t="s">
        <v>566</v>
      </c>
      <c r="G10" s="104">
        <v>1.1499999999999999</v>
      </c>
      <c r="H10" s="105" t="s">
        <v>3243</v>
      </c>
    </row>
    <row r="11" spans="1:8" ht="13.5" customHeight="1" x14ac:dyDescent="0.25">
      <c r="A11" s="13" t="s">
        <v>665</v>
      </c>
      <c r="B11" s="49" t="s">
        <v>660</v>
      </c>
      <c r="C11" s="101" t="s">
        <v>666</v>
      </c>
      <c r="D11" s="14" t="s">
        <v>3241</v>
      </c>
      <c r="E11" s="14" t="s">
        <v>3242</v>
      </c>
      <c r="F11" s="64" t="s">
        <v>566</v>
      </c>
      <c r="G11" s="104">
        <v>1.1499999999999999</v>
      </c>
      <c r="H11" s="105" t="s">
        <v>3243</v>
      </c>
    </row>
    <row r="12" spans="1:8" ht="13.5" customHeight="1" x14ac:dyDescent="0.25">
      <c r="A12" s="24" t="s">
        <v>667</v>
      </c>
      <c r="B12" s="38" t="s">
        <v>660</v>
      </c>
      <c r="C12" s="100" t="s">
        <v>668</v>
      </c>
      <c r="D12" s="25" t="s">
        <v>3241</v>
      </c>
      <c r="E12" s="25" t="s">
        <v>3242</v>
      </c>
      <c r="F12" s="64" t="s">
        <v>566</v>
      </c>
      <c r="G12" s="104">
        <v>1.1499999999999999</v>
      </c>
      <c r="H12" s="105" t="s">
        <v>3243</v>
      </c>
    </row>
    <row r="13" spans="1:8" ht="13.5" customHeight="1" x14ac:dyDescent="0.25">
      <c r="A13" s="13" t="s">
        <v>669</v>
      </c>
      <c r="B13" s="49" t="s">
        <v>660</v>
      </c>
      <c r="C13" s="101" t="s">
        <v>670</v>
      </c>
      <c r="D13" s="14" t="s">
        <v>3241</v>
      </c>
      <c r="E13" s="14" t="s">
        <v>3242</v>
      </c>
      <c r="F13" s="64" t="s">
        <v>566</v>
      </c>
      <c r="G13" s="104">
        <v>1.1499999999999999</v>
      </c>
      <c r="H13" s="105" t="s">
        <v>3243</v>
      </c>
    </row>
    <row r="14" spans="1:8" ht="13.5" customHeight="1" x14ac:dyDescent="0.25">
      <c r="A14" s="24" t="s">
        <v>671</v>
      </c>
      <c r="B14" s="38" t="s">
        <v>660</v>
      </c>
      <c r="C14" s="100" t="s">
        <v>672</v>
      </c>
      <c r="D14" s="25" t="s">
        <v>3241</v>
      </c>
      <c r="E14" s="25" t="s">
        <v>3242</v>
      </c>
      <c r="F14" s="64" t="s">
        <v>566</v>
      </c>
      <c r="G14" s="104">
        <v>1.1499999999999999</v>
      </c>
      <c r="H14" s="105" t="s">
        <v>3243</v>
      </c>
    </row>
    <row r="15" spans="1:8" ht="13.5" customHeight="1" x14ac:dyDescent="0.25">
      <c r="A15" s="13" t="s">
        <v>673</v>
      </c>
      <c r="B15" s="49" t="s">
        <v>660</v>
      </c>
      <c r="C15" s="101" t="s">
        <v>674</v>
      </c>
      <c r="D15" s="14" t="s">
        <v>3241</v>
      </c>
      <c r="E15" s="14" t="s">
        <v>3242</v>
      </c>
      <c r="F15" s="64" t="s">
        <v>566</v>
      </c>
      <c r="G15" s="104">
        <v>1.1499999999999999</v>
      </c>
      <c r="H15" s="105" t="s">
        <v>3243</v>
      </c>
    </row>
    <row r="16" spans="1:8" ht="13.5" customHeight="1" x14ac:dyDescent="0.25">
      <c r="A16" s="24" t="s">
        <v>675</v>
      </c>
      <c r="B16" s="38" t="s">
        <v>660</v>
      </c>
      <c r="C16" s="100" t="s">
        <v>676</v>
      </c>
      <c r="D16" s="25" t="s">
        <v>3241</v>
      </c>
      <c r="E16" s="25" t="s">
        <v>3242</v>
      </c>
      <c r="F16" s="64" t="s">
        <v>566</v>
      </c>
      <c r="G16" s="104">
        <v>1.1499999999999999</v>
      </c>
      <c r="H16" s="105" t="s">
        <v>3243</v>
      </c>
    </row>
    <row r="17" spans="1:8" ht="13.5" customHeight="1" x14ac:dyDescent="0.25">
      <c r="A17" s="13" t="s">
        <v>677</v>
      </c>
      <c r="B17" s="49" t="s">
        <v>660</v>
      </c>
      <c r="C17" s="101" t="s">
        <v>678</v>
      </c>
      <c r="D17" s="14" t="s">
        <v>3241</v>
      </c>
      <c r="E17" s="14" t="s">
        <v>3242</v>
      </c>
      <c r="F17" s="64" t="s">
        <v>566</v>
      </c>
      <c r="G17" s="104">
        <v>1.1499999999999999</v>
      </c>
      <c r="H17" s="105" t="s">
        <v>3243</v>
      </c>
    </row>
    <row r="18" spans="1:8" ht="13.5" customHeight="1" x14ac:dyDescent="0.25">
      <c r="A18" s="24" t="s">
        <v>679</v>
      </c>
      <c r="B18" s="38" t="s">
        <v>660</v>
      </c>
      <c r="C18" s="100" t="s">
        <v>680</v>
      </c>
      <c r="D18" s="25" t="s">
        <v>3241</v>
      </c>
      <c r="E18" s="25" t="s">
        <v>3242</v>
      </c>
      <c r="F18" s="64" t="s">
        <v>566</v>
      </c>
      <c r="G18" s="104">
        <v>1.1499999999999999</v>
      </c>
      <c r="H18" s="105" t="s">
        <v>3243</v>
      </c>
    </row>
    <row r="19" spans="1:8" ht="13.5" customHeight="1" x14ac:dyDescent="0.25">
      <c r="A19" s="13" t="s">
        <v>681</v>
      </c>
      <c r="B19" s="49" t="s">
        <v>660</v>
      </c>
      <c r="C19" s="101" t="s">
        <v>682</v>
      </c>
      <c r="D19" s="14" t="s">
        <v>3241</v>
      </c>
      <c r="E19" s="14" t="s">
        <v>3242</v>
      </c>
      <c r="F19" s="64" t="s">
        <v>566</v>
      </c>
      <c r="G19" s="104">
        <v>1.1499999999999999</v>
      </c>
      <c r="H19" s="105" t="s">
        <v>3243</v>
      </c>
    </row>
    <row r="20" spans="1:8" ht="13.5" customHeight="1" x14ac:dyDescent="0.25">
      <c r="A20" s="24" t="s">
        <v>683</v>
      </c>
      <c r="B20" s="38" t="s">
        <v>660</v>
      </c>
      <c r="C20" s="100" t="s">
        <v>684</v>
      </c>
      <c r="D20" s="25" t="s">
        <v>3241</v>
      </c>
      <c r="E20" s="25" t="s">
        <v>3242</v>
      </c>
      <c r="F20" s="40" t="s">
        <v>477</v>
      </c>
      <c r="G20" s="102">
        <v>1</v>
      </c>
      <c r="H20" s="105" t="s">
        <v>3243</v>
      </c>
    </row>
    <row r="21" spans="1:8" ht="13.5" customHeight="1" x14ac:dyDescent="0.25">
      <c r="A21" s="13" t="s">
        <v>685</v>
      </c>
      <c r="B21" s="49" t="s">
        <v>660</v>
      </c>
      <c r="C21" s="101" t="s">
        <v>686</v>
      </c>
      <c r="D21" s="14" t="s">
        <v>3241</v>
      </c>
      <c r="E21" s="14" t="s">
        <v>3242</v>
      </c>
      <c r="F21" s="40" t="s">
        <v>477</v>
      </c>
      <c r="G21" s="102">
        <v>1</v>
      </c>
      <c r="H21" s="105" t="s">
        <v>3243</v>
      </c>
    </row>
    <row r="22" spans="1:8" ht="13.5" customHeight="1" x14ac:dyDescent="0.25">
      <c r="A22" s="24" t="s">
        <v>687</v>
      </c>
      <c r="B22" s="38" t="s">
        <v>660</v>
      </c>
      <c r="C22" s="100" t="s">
        <v>688</v>
      </c>
      <c r="D22" s="25" t="s">
        <v>3241</v>
      </c>
      <c r="E22" s="25" t="s">
        <v>3242</v>
      </c>
      <c r="F22" s="40" t="s">
        <v>477</v>
      </c>
      <c r="G22" s="102">
        <v>1</v>
      </c>
      <c r="H22" s="105" t="s">
        <v>3243</v>
      </c>
    </row>
    <row r="23" spans="1:8" ht="13.5" customHeight="1" x14ac:dyDescent="0.25">
      <c r="A23" s="13" t="s">
        <v>689</v>
      </c>
      <c r="B23" s="49" t="s">
        <v>660</v>
      </c>
      <c r="C23" s="101" t="s">
        <v>690</v>
      </c>
      <c r="D23" s="14" t="s">
        <v>3241</v>
      </c>
      <c r="E23" s="14" t="s">
        <v>3242</v>
      </c>
      <c r="F23" s="40" t="s">
        <v>477</v>
      </c>
      <c r="G23" s="102">
        <v>1</v>
      </c>
      <c r="H23" s="105" t="s">
        <v>3243</v>
      </c>
    </row>
    <row r="24" spans="1:8" ht="13.5" customHeight="1" x14ac:dyDescent="0.25">
      <c r="A24" s="24" t="s">
        <v>691</v>
      </c>
      <c r="B24" s="38" t="s">
        <v>660</v>
      </c>
      <c r="C24" s="100" t="s">
        <v>692</v>
      </c>
      <c r="D24" s="25" t="s">
        <v>3241</v>
      </c>
      <c r="E24" s="25" t="s">
        <v>3242</v>
      </c>
      <c r="F24" s="40" t="s">
        <v>477</v>
      </c>
      <c r="G24" s="102">
        <v>1</v>
      </c>
      <c r="H24" s="105" t="s">
        <v>3243</v>
      </c>
    </row>
    <row r="25" spans="1:8" ht="13.5" customHeight="1" x14ac:dyDescent="0.25">
      <c r="A25" s="13" t="s">
        <v>693</v>
      </c>
      <c r="B25" s="49" t="s">
        <v>660</v>
      </c>
      <c r="C25" s="101" t="s">
        <v>694</v>
      </c>
      <c r="D25" s="14" t="s">
        <v>3241</v>
      </c>
      <c r="E25" s="14" t="s">
        <v>3242</v>
      </c>
      <c r="F25" s="40" t="s">
        <v>477</v>
      </c>
      <c r="G25" s="102">
        <v>1</v>
      </c>
      <c r="H25" s="105" t="s">
        <v>3243</v>
      </c>
    </row>
    <row r="26" spans="1:8" ht="13.5" customHeight="1" x14ac:dyDescent="0.25">
      <c r="A26" s="24" t="s">
        <v>695</v>
      </c>
      <c r="B26" s="38" t="s">
        <v>660</v>
      </c>
      <c r="C26" s="100" t="s">
        <v>696</v>
      </c>
      <c r="D26" s="25" t="s">
        <v>3241</v>
      </c>
      <c r="E26" s="25" t="s">
        <v>3242</v>
      </c>
      <c r="F26" s="40" t="s">
        <v>477</v>
      </c>
      <c r="G26" s="102">
        <v>1</v>
      </c>
      <c r="H26" s="105" t="s">
        <v>3243</v>
      </c>
    </row>
    <row r="27" spans="1:8" ht="13.5" customHeight="1" x14ac:dyDescent="0.25">
      <c r="A27" s="13" t="s">
        <v>697</v>
      </c>
      <c r="B27" s="49" t="s">
        <v>660</v>
      </c>
      <c r="C27" s="101" t="s">
        <v>698</v>
      </c>
      <c r="D27" s="14" t="s">
        <v>3241</v>
      </c>
      <c r="E27" s="14" t="s">
        <v>3242</v>
      </c>
      <c r="F27" s="40" t="s">
        <v>477</v>
      </c>
      <c r="G27" s="102">
        <v>1</v>
      </c>
      <c r="H27" s="105" t="s">
        <v>3243</v>
      </c>
    </row>
    <row r="28" spans="1:8" ht="13.5" customHeight="1" x14ac:dyDescent="0.25">
      <c r="A28" s="24" t="s">
        <v>699</v>
      </c>
      <c r="B28" s="38" t="s">
        <v>660</v>
      </c>
      <c r="C28" s="100" t="s">
        <v>700</v>
      </c>
      <c r="D28" s="25" t="s">
        <v>3241</v>
      </c>
      <c r="E28" s="25" t="s">
        <v>3242</v>
      </c>
      <c r="F28" s="40" t="s">
        <v>477</v>
      </c>
      <c r="G28" s="102">
        <v>1</v>
      </c>
      <c r="H28" s="105" t="s">
        <v>3243</v>
      </c>
    </row>
    <row r="29" spans="1:8" ht="13.5" customHeight="1" x14ac:dyDescent="0.25">
      <c r="A29" s="13" t="s">
        <v>701</v>
      </c>
      <c r="B29" s="49" t="s">
        <v>660</v>
      </c>
      <c r="C29" s="101" t="s">
        <v>702</v>
      </c>
      <c r="D29" s="14" t="s">
        <v>3241</v>
      </c>
      <c r="E29" s="14" t="s">
        <v>3242</v>
      </c>
      <c r="F29" s="40" t="s">
        <v>477</v>
      </c>
      <c r="G29" s="102">
        <v>1</v>
      </c>
      <c r="H29" s="105" t="s">
        <v>3243</v>
      </c>
    </row>
    <row r="30" spans="1:8" ht="13.5" customHeight="1" x14ac:dyDescent="0.25">
      <c r="A30" s="24" t="s">
        <v>703</v>
      </c>
      <c r="B30" s="38" t="s">
        <v>660</v>
      </c>
      <c r="C30" s="100" t="s">
        <v>704</v>
      </c>
      <c r="D30" s="25" t="s">
        <v>3241</v>
      </c>
      <c r="E30" s="25" t="s">
        <v>3242</v>
      </c>
      <c r="F30" s="40" t="s">
        <v>477</v>
      </c>
      <c r="G30" s="102">
        <v>1</v>
      </c>
      <c r="H30" s="105" t="s">
        <v>3243</v>
      </c>
    </row>
    <row r="31" spans="1:8" ht="13.5" customHeight="1" x14ac:dyDescent="0.25">
      <c r="A31" s="13" t="s">
        <v>705</v>
      </c>
      <c r="B31" s="49" t="s">
        <v>660</v>
      </c>
      <c r="C31" s="101" t="s">
        <v>706</v>
      </c>
      <c r="D31" s="14" t="s">
        <v>3241</v>
      </c>
      <c r="E31" s="14" t="s">
        <v>3242</v>
      </c>
      <c r="F31" s="40" t="s">
        <v>477</v>
      </c>
      <c r="G31" s="102">
        <v>1</v>
      </c>
      <c r="H31" s="105" t="s">
        <v>3243</v>
      </c>
    </row>
    <row r="32" spans="1:8" ht="13.5" customHeight="1" x14ac:dyDescent="0.25">
      <c r="A32" s="24" t="s">
        <v>707</v>
      </c>
      <c r="B32" s="38" t="s">
        <v>660</v>
      </c>
      <c r="C32" s="100" t="s">
        <v>708</v>
      </c>
      <c r="D32" s="25" t="s">
        <v>3241</v>
      </c>
      <c r="E32" s="25" t="s">
        <v>3242</v>
      </c>
      <c r="F32" s="40" t="s">
        <v>477</v>
      </c>
      <c r="G32" s="102">
        <v>1</v>
      </c>
      <c r="H32" s="105" t="s">
        <v>3243</v>
      </c>
    </row>
    <row r="33" spans="1:8" ht="13.5" customHeight="1" x14ac:dyDescent="0.25">
      <c r="A33" s="13" t="s">
        <v>709</v>
      </c>
      <c r="B33" s="49" t="s">
        <v>660</v>
      </c>
      <c r="C33" s="101" t="s">
        <v>710</v>
      </c>
      <c r="D33" s="14" t="s">
        <v>3241</v>
      </c>
      <c r="E33" s="14" t="s">
        <v>3242</v>
      </c>
      <c r="F33" s="40" t="s">
        <v>477</v>
      </c>
      <c r="G33" s="102">
        <v>1</v>
      </c>
      <c r="H33" s="105" t="s">
        <v>3243</v>
      </c>
    </row>
    <row r="34" spans="1:8" ht="13.5" customHeight="1" x14ac:dyDescent="0.25">
      <c r="A34" s="24" t="s">
        <v>711</v>
      </c>
      <c r="B34" s="38" t="s">
        <v>660</v>
      </c>
      <c r="C34" s="100" t="s">
        <v>712</v>
      </c>
      <c r="D34" s="25" t="s">
        <v>3241</v>
      </c>
      <c r="E34" s="25" t="s">
        <v>3242</v>
      </c>
      <c r="F34" s="40" t="s">
        <v>477</v>
      </c>
      <c r="G34" s="102">
        <v>1</v>
      </c>
      <c r="H34" s="105" t="s">
        <v>3243</v>
      </c>
    </row>
    <row r="35" spans="1:8" ht="13.5" customHeight="1" x14ac:dyDescent="0.25">
      <c r="A35" s="13" t="s">
        <v>713</v>
      </c>
      <c r="B35" s="49" t="s">
        <v>660</v>
      </c>
      <c r="C35" s="101" t="s">
        <v>714</v>
      </c>
      <c r="D35" s="14" t="s">
        <v>3241</v>
      </c>
      <c r="E35" s="14" t="s">
        <v>3242</v>
      </c>
      <c r="F35" s="40" t="s">
        <v>477</v>
      </c>
      <c r="G35" s="102">
        <v>1</v>
      </c>
      <c r="H35" s="105" t="s">
        <v>3243</v>
      </c>
    </row>
    <row r="36" spans="1:8" ht="13.5" customHeight="1" x14ac:dyDescent="0.25">
      <c r="A36" s="24" t="s">
        <v>715</v>
      </c>
      <c r="B36" s="38" t="s">
        <v>660</v>
      </c>
      <c r="C36" s="100" t="s">
        <v>716</v>
      </c>
      <c r="D36" s="25" t="s">
        <v>3241</v>
      </c>
      <c r="E36" s="25" t="s">
        <v>3242</v>
      </c>
      <c r="F36" s="40" t="s">
        <v>477</v>
      </c>
      <c r="G36" s="102">
        <v>1</v>
      </c>
      <c r="H36" s="105" t="s">
        <v>3243</v>
      </c>
    </row>
    <row r="37" spans="1:8" ht="13.5" customHeight="1" x14ac:dyDescent="0.25">
      <c r="A37" s="13" t="s">
        <v>717</v>
      </c>
      <c r="B37" s="49" t="s">
        <v>660</v>
      </c>
      <c r="C37" s="101" t="s">
        <v>718</v>
      </c>
      <c r="D37" s="14" t="s">
        <v>3241</v>
      </c>
      <c r="E37" s="14" t="s">
        <v>3242</v>
      </c>
      <c r="F37" s="40" t="s">
        <v>477</v>
      </c>
      <c r="G37" s="102">
        <v>1</v>
      </c>
      <c r="H37" s="105" t="s">
        <v>3243</v>
      </c>
    </row>
    <row r="38" spans="1:8" ht="13.5" customHeight="1" x14ac:dyDescent="0.25">
      <c r="A38" s="24" t="s">
        <v>719</v>
      </c>
      <c r="B38" s="38" t="s">
        <v>660</v>
      </c>
      <c r="C38" s="100" t="s">
        <v>720</v>
      </c>
      <c r="D38" s="25" t="s">
        <v>3241</v>
      </c>
      <c r="E38" s="25" t="s">
        <v>3242</v>
      </c>
      <c r="F38" s="40" t="s">
        <v>477</v>
      </c>
      <c r="G38" s="102">
        <v>1</v>
      </c>
      <c r="H38" s="105" t="s">
        <v>3243</v>
      </c>
    </row>
    <row r="39" spans="1:8" ht="13.5" customHeight="1" x14ac:dyDescent="0.25">
      <c r="A39" s="13" t="s">
        <v>721</v>
      </c>
      <c r="B39" s="49" t="s">
        <v>660</v>
      </c>
      <c r="C39" s="101" t="s">
        <v>722</v>
      </c>
      <c r="D39" s="14" t="s">
        <v>3241</v>
      </c>
      <c r="E39" s="14" t="s">
        <v>3242</v>
      </c>
      <c r="F39" s="40" t="s">
        <v>477</v>
      </c>
      <c r="G39" s="102">
        <v>1</v>
      </c>
      <c r="H39" s="105" t="s">
        <v>3243</v>
      </c>
    </row>
    <row r="40" spans="1:8" ht="13.5" customHeight="1" x14ac:dyDescent="0.25">
      <c r="A40" s="24" t="s">
        <v>723</v>
      </c>
      <c r="B40" s="38" t="s">
        <v>660</v>
      </c>
      <c r="C40" s="100" t="s">
        <v>724</v>
      </c>
      <c r="D40" s="25" t="s">
        <v>3241</v>
      </c>
      <c r="E40" s="25" t="s">
        <v>3242</v>
      </c>
      <c r="F40" s="40" t="s">
        <v>477</v>
      </c>
      <c r="G40" s="102">
        <v>1</v>
      </c>
      <c r="H40" s="105" t="s">
        <v>3243</v>
      </c>
    </row>
    <row r="41" spans="1:8" ht="13.5" customHeight="1" x14ac:dyDescent="0.25">
      <c r="A41" s="13" t="s">
        <v>725</v>
      </c>
      <c r="B41" s="49" t="s">
        <v>660</v>
      </c>
      <c r="C41" s="101" t="s">
        <v>726</v>
      </c>
      <c r="D41" s="14" t="s">
        <v>3241</v>
      </c>
      <c r="E41" s="14" t="s">
        <v>3242</v>
      </c>
      <c r="F41" s="40" t="s">
        <v>477</v>
      </c>
      <c r="G41" s="102">
        <v>1</v>
      </c>
      <c r="H41" s="105" t="s">
        <v>3243</v>
      </c>
    </row>
    <row r="42" spans="1:8" ht="13.5" customHeight="1" x14ac:dyDescent="0.25">
      <c r="A42" s="24" t="s">
        <v>727</v>
      </c>
      <c r="B42" s="38" t="s">
        <v>660</v>
      </c>
      <c r="C42" s="100" t="s">
        <v>728</v>
      </c>
      <c r="D42" s="25" t="s">
        <v>3241</v>
      </c>
      <c r="E42" s="25" t="s">
        <v>3242</v>
      </c>
      <c r="F42" s="40" t="s">
        <v>477</v>
      </c>
      <c r="G42" s="102">
        <v>1</v>
      </c>
      <c r="H42" s="105" t="s">
        <v>3243</v>
      </c>
    </row>
    <row r="43" spans="1:8" ht="13.5" customHeight="1" x14ac:dyDescent="0.25">
      <c r="A43" s="13" t="s">
        <v>729</v>
      </c>
      <c r="B43" s="49" t="s">
        <v>660</v>
      </c>
      <c r="C43" s="101" t="s">
        <v>730</v>
      </c>
      <c r="D43" s="14" t="s">
        <v>3241</v>
      </c>
      <c r="E43" s="14" t="s">
        <v>3242</v>
      </c>
      <c r="F43" s="40" t="s">
        <v>477</v>
      </c>
      <c r="G43" s="102">
        <v>1</v>
      </c>
      <c r="H43" s="105" t="s">
        <v>3243</v>
      </c>
    </row>
    <row r="44" spans="1:8" ht="13.5" customHeight="1" x14ac:dyDescent="0.25">
      <c r="A44" s="24" t="s">
        <v>731</v>
      </c>
      <c r="B44" s="38" t="s">
        <v>660</v>
      </c>
      <c r="C44" s="100" t="s">
        <v>732</v>
      </c>
      <c r="D44" s="25" t="s">
        <v>3241</v>
      </c>
      <c r="E44" s="25" t="s">
        <v>3242</v>
      </c>
      <c r="F44" s="40" t="s">
        <v>477</v>
      </c>
      <c r="G44" s="102">
        <v>1</v>
      </c>
      <c r="H44" s="105" t="s">
        <v>3243</v>
      </c>
    </row>
    <row r="45" spans="1:8" ht="13.5" customHeight="1" x14ac:dyDescent="0.25">
      <c r="A45" s="13" t="s">
        <v>733</v>
      </c>
      <c r="B45" s="49" t="s">
        <v>660</v>
      </c>
      <c r="C45" s="101" t="s">
        <v>734</v>
      </c>
      <c r="D45" s="14" t="s">
        <v>3241</v>
      </c>
      <c r="E45" s="14" t="s">
        <v>3242</v>
      </c>
      <c r="F45" s="40" t="s">
        <v>477</v>
      </c>
      <c r="G45" s="102">
        <v>1</v>
      </c>
      <c r="H45" s="105" t="s">
        <v>3243</v>
      </c>
    </row>
    <row r="46" spans="1:8" ht="13.5" customHeight="1" x14ac:dyDescent="0.25">
      <c r="A46" s="24" t="s">
        <v>735</v>
      </c>
      <c r="B46" s="38" t="s">
        <v>660</v>
      </c>
      <c r="C46" s="100" t="s">
        <v>736</v>
      </c>
      <c r="D46" s="25" t="s">
        <v>3241</v>
      </c>
      <c r="E46" s="25" t="s">
        <v>3242</v>
      </c>
      <c r="F46" s="40" t="s">
        <v>477</v>
      </c>
      <c r="G46" s="102">
        <v>1</v>
      </c>
      <c r="H46" s="105" t="s">
        <v>3243</v>
      </c>
    </row>
    <row r="47" spans="1:8" ht="13.5" customHeight="1" x14ac:dyDescent="0.25">
      <c r="A47" s="13" t="s">
        <v>737</v>
      </c>
      <c r="B47" s="49" t="s">
        <v>660</v>
      </c>
      <c r="C47" s="101" t="s">
        <v>738</v>
      </c>
      <c r="D47" s="14" t="s">
        <v>3241</v>
      </c>
      <c r="E47" s="14" t="s">
        <v>3242</v>
      </c>
      <c r="F47" s="40" t="s">
        <v>477</v>
      </c>
      <c r="G47" s="102">
        <v>1</v>
      </c>
      <c r="H47" s="105" t="s">
        <v>3243</v>
      </c>
    </row>
    <row r="48" spans="1:8" ht="13.5" customHeight="1" x14ac:dyDescent="0.25">
      <c r="A48" s="24" t="s">
        <v>739</v>
      </c>
      <c r="B48" s="38" t="s">
        <v>660</v>
      </c>
      <c r="C48" s="100" t="s">
        <v>740</v>
      </c>
      <c r="D48" s="25" t="s">
        <v>3241</v>
      </c>
      <c r="E48" s="25" t="s">
        <v>3242</v>
      </c>
      <c r="F48" s="40" t="s">
        <v>477</v>
      </c>
      <c r="G48" s="102">
        <v>1</v>
      </c>
      <c r="H48" s="105" t="s">
        <v>3243</v>
      </c>
    </row>
    <row r="49" spans="1:8" ht="13.5" customHeight="1" x14ac:dyDescent="0.25">
      <c r="A49" s="13" t="s">
        <v>741</v>
      </c>
      <c r="B49" s="49" t="s">
        <v>660</v>
      </c>
      <c r="C49" s="101" t="s">
        <v>742</v>
      </c>
      <c r="D49" s="14" t="s">
        <v>3241</v>
      </c>
      <c r="E49" s="14" t="s">
        <v>3242</v>
      </c>
      <c r="F49" s="40" t="s">
        <v>477</v>
      </c>
      <c r="G49" s="102">
        <v>1</v>
      </c>
      <c r="H49" s="105" t="s">
        <v>3243</v>
      </c>
    </row>
    <row r="50" spans="1:8" ht="13.5" customHeight="1" x14ac:dyDescent="0.25">
      <c r="A50" s="24" t="s">
        <v>743</v>
      </c>
      <c r="B50" s="38" t="s">
        <v>660</v>
      </c>
      <c r="C50" s="100" t="s">
        <v>744</v>
      </c>
      <c r="D50" s="25" t="s">
        <v>3241</v>
      </c>
      <c r="E50" s="25" t="s">
        <v>3242</v>
      </c>
      <c r="F50" s="40" t="s">
        <v>477</v>
      </c>
      <c r="G50" s="102">
        <v>1</v>
      </c>
      <c r="H50" s="105" t="s">
        <v>3243</v>
      </c>
    </row>
    <row r="51" spans="1:8" ht="13.5" customHeight="1" x14ac:dyDescent="0.25">
      <c r="A51" s="13" t="s">
        <v>745</v>
      </c>
      <c r="B51" s="49" t="s">
        <v>660</v>
      </c>
      <c r="C51" s="101" t="s">
        <v>746</v>
      </c>
      <c r="D51" s="14" t="s">
        <v>3241</v>
      </c>
      <c r="E51" s="14" t="s">
        <v>3242</v>
      </c>
      <c r="F51" s="40" t="s">
        <v>477</v>
      </c>
      <c r="G51" s="102">
        <v>1</v>
      </c>
      <c r="H51" s="105" t="s">
        <v>3243</v>
      </c>
    </row>
    <row r="52" spans="1:8" ht="13.5" customHeight="1" x14ac:dyDescent="0.25">
      <c r="A52" s="24" t="s">
        <v>747</v>
      </c>
      <c r="B52" s="38" t="s">
        <v>660</v>
      </c>
      <c r="C52" s="100" t="s">
        <v>748</v>
      </c>
      <c r="D52" s="25" t="s">
        <v>3241</v>
      </c>
      <c r="E52" s="25" t="s">
        <v>3242</v>
      </c>
      <c r="F52" s="40" t="s">
        <v>477</v>
      </c>
      <c r="G52" s="102">
        <v>1</v>
      </c>
      <c r="H52" s="105" t="s">
        <v>3243</v>
      </c>
    </row>
    <row r="53" spans="1:8" ht="13.5" customHeight="1" x14ac:dyDescent="0.25">
      <c r="A53" s="13" t="s">
        <v>749</v>
      </c>
      <c r="B53" s="49" t="s">
        <v>660</v>
      </c>
      <c r="C53" s="101" t="s">
        <v>750</v>
      </c>
      <c r="D53" s="14" t="s">
        <v>3241</v>
      </c>
      <c r="E53" s="14" t="s">
        <v>3242</v>
      </c>
      <c r="F53" s="40" t="s">
        <v>477</v>
      </c>
      <c r="G53" s="102">
        <v>1</v>
      </c>
      <c r="H53" s="105" t="s">
        <v>3243</v>
      </c>
    </row>
    <row r="54" spans="1:8" ht="13.5" customHeight="1" x14ac:dyDescent="0.25">
      <c r="A54" s="24" t="s">
        <v>751</v>
      </c>
      <c r="B54" s="38" t="s">
        <v>660</v>
      </c>
      <c r="C54" s="100" t="s">
        <v>752</v>
      </c>
      <c r="D54" s="25" t="s">
        <v>3241</v>
      </c>
      <c r="E54" s="25" t="s">
        <v>3242</v>
      </c>
      <c r="F54" s="40" t="s">
        <v>477</v>
      </c>
      <c r="G54" s="102">
        <v>1</v>
      </c>
      <c r="H54" s="105" t="s">
        <v>3243</v>
      </c>
    </row>
    <row r="55" spans="1:8" ht="13.5" customHeight="1" x14ac:dyDescent="0.25">
      <c r="A55" s="13" t="s">
        <v>753</v>
      </c>
      <c r="B55" s="49" t="s">
        <v>660</v>
      </c>
      <c r="C55" s="101" t="s">
        <v>754</v>
      </c>
      <c r="D55" s="14" t="s">
        <v>3241</v>
      </c>
      <c r="E55" s="14" t="s">
        <v>3242</v>
      </c>
      <c r="F55" s="40" t="s">
        <v>477</v>
      </c>
      <c r="G55" s="102">
        <v>1</v>
      </c>
      <c r="H55" s="105" t="s">
        <v>3243</v>
      </c>
    </row>
    <row r="56" spans="1:8" ht="13.5" customHeight="1" x14ac:dyDescent="0.25">
      <c r="A56" s="24" t="s">
        <v>755</v>
      </c>
      <c r="B56" s="38" t="s">
        <v>660</v>
      </c>
      <c r="C56" s="100" t="s">
        <v>756</v>
      </c>
      <c r="D56" s="25" t="s">
        <v>3241</v>
      </c>
      <c r="E56" s="25" t="s">
        <v>3242</v>
      </c>
      <c r="F56" s="40" t="s">
        <v>477</v>
      </c>
      <c r="G56" s="102">
        <v>1</v>
      </c>
      <c r="H56" s="105" t="s">
        <v>3243</v>
      </c>
    </row>
    <row r="57" spans="1:8" ht="13.5" customHeight="1" x14ac:dyDescent="0.25">
      <c r="A57" s="13" t="s">
        <v>757</v>
      </c>
      <c r="B57" s="49" t="s">
        <v>660</v>
      </c>
      <c r="C57" s="101" t="s">
        <v>758</v>
      </c>
      <c r="D57" s="14" t="s">
        <v>3241</v>
      </c>
      <c r="E57" s="14" t="s">
        <v>3242</v>
      </c>
      <c r="F57" s="40" t="s">
        <v>477</v>
      </c>
      <c r="G57" s="102">
        <v>1</v>
      </c>
      <c r="H57" s="105" t="s">
        <v>3243</v>
      </c>
    </row>
    <row r="58" spans="1:8" ht="13.5" customHeight="1" x14ac:dyDescent="0.25">
      <c r="A58" s="24" t="s">
        <v>759</v>
      </c>
      <c r="B58" s="38" t="s">
        <v>660</v>
      </c>
      <c r="C58" s="100" t="s">
        <v>760</v>
      </c>
      <c r="D58" s="25" t="s">
        <v>3241</v>
      </c>
      <c r="E58" s="25" t="s">
        <v>3242</v>
      </c>
      <c r="F58" s="40" t="s">
        <v>477</v>
      </c>
      <c r="G58" s="102">
        <v>1</v>
      </c>
      <c r="H58" s="105" t="s">
        <v>3243</v>
      </c>
    </row>
    <row r="59" spans="1:8" ht="13.5" customHeight="1" x14ac:dyDescent="0.25">
      <c r="A59" s="13" t="s">
        <v>761</v>
      </c>
      <c r="B59" s="49" t="s">
        <v>660</v>
      </c>
      <c r="C59" s="101" t="s">
        <v>762</v>
      </c>
      <c r="D59" s="14" t="s">
        <v>3241</v>
      </c>
      <c r="E59" s="14" t="s">
        <v>3242</v>
      </c>
      <c r="F59" s="40" t="s">
        <v>477</v>
      </c>
      <c r="G59" s="102">
        <v>1</v>
      </c>
      <c r="H59" s="105" t="s">
        <v>3243</v>
      </c>
    </row>
    <row r="60" spans="1:8" ht="13.5" customHeight="1" x14ac:dyDescent="0.25">
      <c r="A60" s="24" t="s">
        <v>763</v>
      </c>
      <c r="B60" s="38" t="s">
        <v>660</v>
      </c>
      <c r="C60" s="100" t="s">
        <v>764</v>
      </c>
      <c r="D60" s="25" t="s">
        <v>3241</v>
      </c>
      <c r="E60" s="25" t="s">
        <v>3242</v>
      </c>
      <c r="F60" s="40" t="s">
        <v>477</v>
      </c>
      <c r="G60" s="102">
        <v>1</v>
      </c>
      <c r="H60" s="105" t="s">
        <v>3243</v>
      </c>
    </row>
    <row r="61" spans="1:8" ht="13.5" customHeight="1" x14ac:dyDescent="0.25">
      <c r="A61" s="13" t="s">
        <v>765</v>
      </c>
      <c r="B61" s="49" t="s">
        <v>660</v>
      </c>
      <c r="C61" s="101" t="s">
        <v>766</v>
      </c>
      <c r="D61" s="14" t="s">
        <v>3241</v>
      </c>
      <c r="E61" s="14" t="s">
        <v>3242</v>
      </c>
      <c r="F61" s="40" t="s">
        <v>477</v>
      </c>
      <c r="G61" s="102">
        <v>1</v>
      </c>
      <c r="H61" s="105" t="s">
        <v>3243</v>
      </c>
    </row>
    <row r="62" spans="1:8" ht="13.5" customHeight="1" x14ac:dyDescent="0.25">
      <c r="A62" s="24" t="s">
        <v>767</v>
      </c>
      <c r="B62" s="38" t="s">
        <v>660</v>
      </c>
      <c r="C62" s="100" t="s">
        <v>768</v>
      </c>
      <c r="D62" s="25" t="s">
        <v>3241</v>
      </c>
      <c r="E62" s="25" t="s">
        <v>3242</v>
      </c>
      <c r="F62" s="40" t="s">
        <v>477</v>
      </c>
      <c r="G62" s="102">
        <v>1</v>
      </c>
      <c r="H62" s="105" t="s">
        <v>3243</v>
      </c>
    </row>
    <row r="63" spans="1:8" ht="13.5" customHeight="1" x14ac:dyDescent="0.25">
      <c r="A63" s="13" t="s">
        <v>769</v>
      </c>
      <c r="B63" s="49" t="s">
        <v>660</v>
      </c>
      <c r="C63" s="101" t="s">
        <v>770</v>
      </c>
      <c r="D63" s="14" t="s">
        <v>3241</v>
      </c>
      <c r="E63" s="14" t="s">
        <v>3242</v>
      </c>
      <c r="F63" s="40" t="s">
        <v>477</v>
      </c>
      <c r="G63" s="102">
        <v>1</v>
      </c>
      <c r="H63" s="105" t="s">
        <v>3243</v>
      </c>
    </row>
    <row r="64" spans="1:8" ht="13.5" customHeight="1" x14ac:dyDescent="0.25">
      <c r="A64" s="24" t="s">
        <v>771</v>
      </c>
      <c r="B64" s="38" t="s">
        <v>660</v>
      </c>
      <c r="C64" s="100" t="s">
        <v>772</v>
      </c>
      <c r="D64" s="25" t="s">
        <v>3241</v>
      </c>
      <c r="E64" s="25" t="s">
        <v>3242</v>
      </c>
      <c r="F64" s="40" t="s">
        <v>477</v>
      </c>
      <c r="G64" s="102">
        <v>1</v>
      </c>
      <c r="H64" s="105" t="s">
        <v>3243</v>
      </c>
    </row>
    <row r="65" spans="1:8" ht="13.5" customHeight="1" x14ac:dyDescent="0.25">
      <c r="A65" s="13" t="s">
        <v>773</v>
      </c>
      <c r="B65" s="49" t="s">
        <v>660</v>
      </c>
      <c r="C65" s="101" t="s">
        <v>774</v>
      </c>
      <c r="D65" s="14" t="s">
        <v>3244</v>
      </c>
      <c r="E65" s="14" t="s">
        <v>3242</v>
      </c>
      <c r="F65" s="40" t="s">
        <v>477</v>
      </c>
      <c r="G65" s="102">
        <v>1</v>
      </c>
      <c r="H65" s="105" t="s">
        <v>3243</v>
      </c>
    </row>
    <row r="66" spans="1:8" ht="13.5" customHeight="1" x14ac:dyDescent="0.25">
      <c r="A66" s="24" t="s">
        <v>776</v>
      </c>
      <c r="B66" s="38" t="s">
        <v>660</v>
      </c>
      <c r="C66" s="100" t="s">
        <v>777</v>
      </c>
      <c r="D66" s="25" t="s">
        <v>3244</v>
      </c>
      <c r="E66" s="25" t="s">
        <v>3242</v>
      </c>
      <c r="F66" s="40" t="s">
        <v>477</v>
      </c>
      <c r="G66" s="102">
        <v>1</v>
      </c>
      <c r="H66" s="105" t="s">
        <v>3243</v>
      </c>
    </row>
    <row r="67" spans="1:8" ht="13.5" customHeight="1" x14ac:dyDescent="0.25">
      <c r="A67" s="13" t="s">
        <v>778</v>
      </c>
      <c r="B67" s="49" t="s">
        <v>660</v>
      </c>
      <c r="C67" s="101" t="s">
        <v>779</v>
      </c>
      <c r="D67" s="14" t="s">
        <v>3244</v>
      </c>
      <c r="E67" s="14" t="s">
        <v>3242</v>
      </c>
      <c r="F67" s="40" t="s">
        <v>477</v>
      </c>
      <c r="G67" s="102">
        <v>1</v>
      </c>
      <c r="H67" s="105" t="s">
        <v>3243</v>
      </c>
    </row>
    <row r="68" spans="1:8" ht="13.5" customHeight="1" x14ac:dyDescent="0.25">
      <c r="A68" s="24" t="s">
        <v>780</v>
      </c>
      <c r="B68" s="38" t="s">
        <v>660</v>
      </c>
      <c r="C68" s="100" t="s">
        <v>781</v>
      </c>
      <c r="D68" s="25" t="s">
        <v>3244</v>
      </c>
      <c r="E68" s="25" t="s">
        <v>3242</v>
      </c>
      <c r="F68" s="40" t="s">
        <v>477</v>
      </c>
      <c r="G68" s="102">
        <v>1</v>
      </c>
      <c r="H68" s="105" t="s">
        <v>3243</v>
      </c>
    </row>
    <row r="69" spans="1:8" ht="13.5" customHeight="1" x14ac:dyDescent="0.25">
      <c r="A69" s="13" t="s">
        <v>782</v>
      </c>
      <c r="B69" s="49" t="s">
        <v>660</v>
      </c>
      <c r="C69" s="101" t="s">
        <v>783</v>
      </c>
      <c r="D69" s="14" t="s">
        <v>3244</v>
      </c>
      <c r="E69" s="14" t="s">
        <v>3242</v>
      </c>
      <c r="F69" s="40" t="s">
        <v>477</v>
      </c>
      <c r="G69" s="102">
        <v>1</v>
      </c>
      <c r="H69" s="105" t="s">
        <v>3243</v>
      </c>
    </row>
    <row r="70" spans="1:8" ht="13.5" customHeight="1" x14ac:dyDescent="0.25">
      <c r="A70" s="24" t="s">
        <v>784</v>
      </c>
      <c r="B70" s="38" t="s">
        <v>660</v>
      </c>
      <c r="C70" s="100" t="s">
        <v>785</v>
      </c>
      <c r="D70" s="25" t="s">
        <v>3244</v>
      </c>
      <c r="E70" s="25" t="s">
        <v>3242</v>
      </c>
      <c r="F70" s="40" t="s">
        <v>477</v>
      </c>
      <c r="G70" s="102">
        <v>1</v>
      </c>
      <c r="H70" s="105" t="s">
        <v>3243</v>
      </c>
    </row>
    <row r="71" spans="1:8" ht="13.5" customHeight="1" x14ac:dyDescent="0.25">
      <c r="A71" s="13" t="s">
        <v>786</v>
      </c>
      <c r="B71" s="49" t="s">
        <v>660</v>
      </c>
      <c r="C71" s="101" t="s">
        <v>787</v>
      </c>
      <c r="D71" s="14" t="s">
        <v>3244</v>
      </c>
      <c r="E71" s="14" t="s">
        <v>3242</v>
      </c>
      <c r="F71" s="40" t="s">
        <v>477</v>
      </c>
      <c r="G71" s="102">
        <v>1</v>
      </c>
      <c r="H71" s="105" t="s">
        <v>3243</v>
      </c>
    </row>
    <row r="72" spans="1:8" ht="13.5" customHeight="1" x14ac:dyDescent="0.25">
      <c r="A72" s="24" t="s">
        <v>788</v>
      </c>
      <c r="B72" s="38" t="s">
        <v>660</v>
      </c>
      <c r="C72" s="100" t="s">
        <v>789</v>
      </c>
      <c r="D72" s="25" t="s">
        <v>3244</v>
      </c>
      <c r="E72" s="25" t="s">
        <v>3242</v>
      </c>
      <c r="F72" s="40" t="s">
        <v>477</v>
      </c>
      <c r="G72" s="102">
        <v>1</v>
      </c>
      <c r="H72" s="105" t="s">
        <v>3243</v>
      </c>
    </row>
    <row r="73" spans="1:8" ht="13.5" customHeight="1" x14ac:dyDescent="0.25">
      <c r="A73" s="13" t="s">
        <v>790</v>
      </c>
      <c r="B73" s="49" t="s">
        <v>660</v>
      </c>
      <c r="C73" s="101" t="s">
        <v>791</v>
      </c>
      <c r="D73" s="14" t="s">
        <v>3244</v>
      </c>
      <c r="E73" s="14" t="s">
        <v>3242</v>
      </c>
      <c r="F73" s="40" t="s">
        <v>477</v>
      </c>
      <c r="G73" s="102">
        <v>1</v>
      </c>
      <c r="H73" s="105" t="s">
        <v>3243</v>
      </c>
    </row>
    <row r="74" spans="1:8" ht="13.5" customHeight="1" x14ac:dyDescent="0.25">
      <c r="A74" s="24" t="s">
        <v>792</v>
      </c>
      <c r="B74" s="38" t="s">
        <v>660</v>
      </c>
      <c r="C74" s="100" t="s">
        <v>793</v>
      </c>
      <c r="D74" s="25" t="s">
        <v>3244</v>
      </c>
      <c r="E74" s="25" t="s">
        <v>3242</v>
      </c>
      <c r="F74" s="40" t="s">
        <v>477</v>
      </c>
      <c r="G74" s="102">
        <v>1</v>
      </c>
      <c r="H74" s="105" t="s">
        <v>3243</v>
      </c>
    </row>
    <row r="75" spans="1:8" ht="13.5" customHeight="1" x14ac:dyDescent="0.25">
      <c r="A75" s="13" t="s">
        <v>794</v>
      </c>
      <c r="B75" s="49" t="s">
        <v>660</v>
      </c>
      <c r="C75" s="101" t="s">
        <v>795</v>
      </c>
      <c r="D75" s="14" t="s">
        <v>3244</v>
      </c>
      <c r="E75" s="14" t="s">
        <v>3242</v>
      </c>
      <c r="F75" s="40" t="s">
        <v>477</v>
      </c>
      <c r="G75" s="102">
        <v>1</v>
      </c>
      <c r="H75" s="105" t="s">
        <v>3243</v>
      </c>
    </row>
    <row r="76" spans="1:8" ht="13.5" customHeight="1" x14ac:dyDescent="0.25">
      <c r="A76" s="24" t="s">
        <v>796</v>
      </c>
      <c r="B76" s="38" t="s">
        <v>660</v>
      </c>
      <c r="C76" s="100" t="s">
        <v>797</v>
      </c>
      <c r="D76" s="25" t="s">
        <v>3245</v>
      </c>
      <c r="E76" s="25" t="s">
        <v>3242</v>
      </c>
      <c r="F76" s="40" t="s">
        <v>477</v>
      </c>
      <c r="G76" s="102">
        <v>1</v>
      </c>
      <c r="H76" s="105" t="s">
        <v>3243</v>
      </c>
    </row>
    <row r="77" spans="1:8" ht="13.5" customHeight="1" x14ac:dyDescent="0.25">
      <c r="A77" s="13" t="s">
        <v>798</v>
      </c>
      <c r="B77" s="49" t="s">
        <v>660</v>
      </c>
      <c r="C77" s="101" t="s">
        <v>799</v>
      </c>
      <c r="D77" s="14" t="s">
        <v>3245</v>
      </c>
      <c r="E77" s="14" t="s">
        <v>3242</v>
      </c>
      <c r="F77" s="40" t="s">
        <v>477</v>
      </c>
      <c r="G77" s="102">
        <v>1</v>
      </c>
      <c r="H77" s="105" t="s">
        <v>3243</v>
      </c>
    </row>
    <row r="78" spans="1:8" ht="13.5" customHeight="1" x14ac:dyDescent="0.25">
      <c r="A78" s="24" t="s">
        <v>800</v>
      </c>
      <c r="B78" s="38" t="s">
        <v>660</v>
      </c>
      <c r="C78" s="100" t="s">
        <v>801</v>
      </c>
      <c r="D78" s="25" t="s">
        <v>3245</v>
      </c>
      <c r="E78" s="25" t="s">
        <v>3242</v>
      </c>
      <c r="F78" s="40" t="s">
        <v>477</v>
      </c>
      <c r="G78" s="102">
        <v>1</v>
      </c>
      <c r="H78" s="105" t="s">
        <v>3243</v>
      </c>
    </row>
    <row r="79" spans="1:8" ht="13.5" customHeight="1" x14ac:dyDescent="0.25">
      <c r="A79" s="13" t="s">
        <v>802</v>
      </c>
      <c r="B79" s="49" t="s">
        <v>660</v>
      </c>
      <c r="C79" s="101" t="s">
        <v>803</v>
      </c>
      <c r="D79" s="14" t="s">
        <v>3245</v>
      </c>
      <c r="E79" s="14" t="s">
        <v>3242</v>
      </c>
      <c r="F79" s="40" t="s">
        <v>477</v>
      </c>
      <c r="G79" s="102">
        <v>1</v>
      </c>
      <c r="H79" s="105" t="s">
        <v>3243</v>
      </c>
    </row>
    <row r="80" spans="1:8" ht="13.5" customHeight="1" x14ac:dyDescent="0.25">
      <c r="A80" s="24" t="s">
        <v>804</v>
      </c>
      <c r="B80" s="38" t="s">
        <v>660</v>
      </c>
      <c r="C80" s="100" t="s">
        <v>805</v>
      </c>
      <c r="D80" s="25" t="s">
        <v>3245</v>
      </c>
      <c r="E80" s="25" t="s">
        <v>3242</v>
      </c>
      <c r="F80" s="40" t="s">
        <v>477</v>
      </c>
      <c r="G80" s="102">
        <v>1</v>
      </c>
      <c r="H80" s="105" t="s">
        <v>3243</v>
      </c>
    </row>
    <row r="81" spans="1:8" ht="13.5" customHeight="1" x14ac:dyDescent="0.25">
      <c r="A81" s="13" t="s">
        <v>806</v>
      </c>
      <c r="B81" s="49" t="s">
        <v>660</v>
      </c>
      <c r="C81" s="101" t="s">
        <v>807</v>
      </c>
      <c r="D81" s="14" t="s">
        <v>3246</v>
      </c>
      <c r="E81" s="14" t="s">
        <v>3242</v>
      </c>
      <c r="F81" s="40" t="s">
        <v>477</v>
      </c>
      <c r="G81" s="102">
        <v>1</v>
      </c>
      <c r="H81" s="105" t="s">
        <v>3243</v>
      </c>
    </row>
    <row r="82" spans="1:8" ht="13.5" customHeight="1" x14ac:dyDescent="0.25">
      <c r="A82" s="24" t="s">
        <v>808</v>
      </c>
      <c r="B82" s="38" t="s">
        <v>660</v>
      </c>
      <c r="C82" s="100" t="s">
        <v>809</v>
      </c>
      <c r="D82" s="25" t="s">
        <v>3246</v>
      </c>
      <c r="E82" s="25" t="s">
        <v>3242</v>
      </c>
      <c r="F82" s="40" t="s">
        <v>477</v>
      </c>
      <c r="G82" s="102">
        <v>1</v>
      </c>
      <c r="H82" s="105" t="s">
        <v>3243</v>
      </c>
    </row>
    <row r="83" spans="1:8" ht="13.5" customHeight="1" x14ac:dyDescent="0.25">
      <c r="A83" s="13" t="s">
        <v>810</v>
      </c>
      <c r="B83" s="49" t="s">
        <v>660</v>
      </c>
      <c r="C83" s="101" t="s">
        <v>811</v>
      </c>
      <c r="D83" s="14" t="s">
        <v>3246</v>
      </c>
      <c r="E83" s="14" t="s">
        <v>3242</v>
      </c>
      <c r="F83" s="40" t="s">
        <v>477</v>
      </c>
      <c r="G83" s="102">
        <v>1</v>
      </c>
      <c r="H83" s="105" t="s">
        <v>3243</v>
      </c>
    </row>
    <row r="84" spans="1:8" ht="13.5" customHeight="1" x14ac:dyDescent="0.25">
      <c r="A84" s="24" t="s">
        <v>812</v>
      </c>
      <c r="B84" s="38" t="s">
        <v>660</v>
      </c>
      <c r="C84" s="100" t="s">
        <v>813</v>
      </c>
      <c r="D84" s="25" t="s">
        <v>3246</v>
      </c>
      <c r="E84" s="25" t="s">
        <v>3242</v>
      </c>
      <c r="F84" s="40" t="s">
        <v>477</v>
      </c>
      <c r="G84" s="102">
        <v>1</v>
      </c>
      <c r="H84" s="105" t="s">
        <v>3243</v>
      </c>
    </row>
    <row r="85" spans="1:8" ht="13.5" customHeight="1" x14ac:dyDescent="0.25">
      <c r="A85" s="13" t="s">
        <v>814</v>
      </c>
      <c r="B85" s="49" t="s">
        <v>660</v>
      </c>
      <c r="C85" s="101" t="s">
        <v>815</v>
      </c>
      <c r="D85" s="14" t="s">
        <v>3246</v>
      </c>
      <c r="E85" s="14" t="s">
        <v>3242</v>
      </c>
      <c r="F85" s="40" t="s">
        <v>477</v>
      </c>
      <c r="G85" s="102">
        <v>1</v>
      </c>
      <c r="H85" s="105" t="s">
        <v>3243</v>
      </c>
    </row>
    <row r="86" spans="1:8" ht="13.5" customHeight="1" x14ac:dyDescent="0.25">
      <c r="A86" s="24" t="s">
        <v>816</v>
      </c>
      <c r="B86" s="38" t="s">
        <v>660</v>
      </c>
      <c r="C86" s="100" t="s">
        <v>817</v>
      </c>
      <c r="D86" s="25" t="s">
        <v>3246</v>
      </c>
      <c r="E86" s="25" t="s">
        <v>3242</v>
      </c>
      <c r="F86" s="40" t="s">
        <v>477</v>
      </c>
      <c r="G86" s="102">
        <v>1</v>
      </c>
      <c r="H86" s="105" t="s">
        <v>3243</v>
      </c>
    </row>
    <row r="87" spans="1:8" ht="13.5" customHeight="1" x14ac:dyDescent="0.25">
      <c r="A87" s="13" t="s">
        <v>818</v>
      </c>
      <c r="B87" s="49" t="s">
        <v>660</v>
      </c>
      <c r="C87" s="101" t="s">
        <v>819</v>
      </c>
      <c r="D87" s="14" t="s">
        <v>3246</v>
      </c>
      <c r="E87" s="14" t="s">
        <v>3242</v>
      </c>
      <c r="F87" s="40" t="s">
        <v>477</v>
      </c>
      <c r="G87" s="102">
        <v>1</v>
      </c>
      <c r="H87" s="105" t="s">
        <v>3243</v>
      </c>
    </row>
    <row r="88" spans="1:8" ht="13.5" customHeight="1" x14ac:dyDescent="0.25">
      <c r="A88" s="24" t="s">
        <v>820</v>
      </c>
      <c r="B88" s="38" t="s">
        <v>660</v>
      </c>
      <c r="C88" s="100" t="s">
        <v>821</v>
      </c>
      <c r="D88" s="25" t="s">
        <v>3246</v>
      </c>
      <c r="E88" s="25" t="s">
        <v>3242</v>
      </c>
      <c r="F88" s="40" t="s">
        <v>477</v>
      </c>
      <c r="G88" s="102">
        <v>1</v>
      </c>
      <c r="H88" s="105" t="s">
        <v>3243</v>
      </c>
    </row>
    <row r="89" spans="1:8" ht="13.5" customHeight="1" x14ac:dyDescent="0.25">
      <c r="A89" s="13" t="s">
        <v>822</v>
      </c>
      <c r="B89" s="49" t="s">
        <v>660</v>
      </c>
      <c r="C89" s="101" t="s">
        <v>823</v>
      </c>
      <c r="D89" s="14" t="s">
        <v>3246</v>
      </c>
      <c r="E89" s="14" t="s">
        <v>3242</v>
      </c>
      <c r="F89" s="40" t="s">
        <v>477</v>
      </c>
      <c r="G89" s="102">
        <v>1</v>
      </c>
      <c r="H89" s="105" t="s">
        <v>3243</v>
      </c>
    </row>
    <row r="90" spans="1:8" ht="13.5" customHeight="1" x14ac:dyDescent="0.25">
      <c r="A90" s="24" t="s">
        <v>824</v>
      </c>
      <c r="B90" s="38" t="s">
        <v>660</v>
      </c>
      <c r="C90" s="100" t="s">
        <v>825</v>
      </c>
      <c r="D90" s="25" t="s">
        <v>3246</v>
      </c>
      <c r="E90" s="25" t="s">
        <v>3242</v>
      </c>
      <c r="F90" s="40" t="s">
        <v>477</v>
      </c>
      <c r="G90" s="102">
        <v>1</v>
      </c>
      <c r="H90" s="105" t="s">
        <v>3243</v>
      </c>
    </row>
    <row r="91" spans="1:8" ht="13.5" customHeight="1" x14ac:dyDescent="0.25">
      <c r="A91" s="13" t="s">
        <v>826</v>
      </c>
      <c r="B91" s="49" t="s">
        <v>660</v>
      </c>
      <c r="C91" s="101" t="s">
        <v>827</v>
      </c>
      <c r="D91" s="14" t="s">
        <v>3246</v>
      </c>
      <c r="E91" s="14" t="s">
        <v>3242</v>
      </c>
      <c r="F91" s="40" t="s">
        <v>477</v>
      </c>
      <c r="G91" s="102">
        <v>1</v>
      </c>
      <c r="H91" s="105" t="s">
        <v>3243</v>
      </c>
    </row>
    <row r="92" spans="1:8" ht="13.5" customHeight="1" x14ac:dyDescent="0.25">
      <c r="A92" s="24" t="s">
        <v>828</v>
      </c>
      <c r="B92" s="38" t="s">
        <v>660</v>
      </c>
      <c r="C92" s="100" t="s">
        <v>829</v>
      </c>
      <c r="D92" s="25" t="s">
        <v>3246</v>
      </c>
      <c r="E92" s="25" t="s">
        <v>3242</v>
      </c>
      <c r="F92" s="40" t="s">
        <v>477</v>
      </c>
      <c r="G92" s="102">
        <v>1</v>
      </c>
      <c r="H92" s="105" t="s">
        <v>3243</v>
      </c>
    </row>
    <row r="93" spans="1:8" ht="13.5" customHeight="1" x14ac:dyDescent="0.25">
      <c r="A93" s="13" t="s">
        <v>830</v>
      </c>
      <c r="B93" s="49" t="s">
        <v>660</v>
      </c>
      <c r="C93" s="101" t="s">
        <v>831</v>
      </c>
      <c r="D93" s="14" t="s">
        <v>3246</v>
      </c>
      <c r="E93" s="14" t="s">
        <v>3242</v>
      </c>
      <c r="F93" s="40" t="s">
        <v>477</v>
      </c>
      <c r="G93" s="102">
        <v>1</v>
      </c>
      <c r="H93" s="105" t="s">
        <v>3243</v>
      </c>
    </row>
    <row r="94" spans="1:8" ht="13.5" customHeight="1" x14ac:dyDescent="0.25">
      <c r="A94" s="24" t="s">
        <v>832</v>
      </c>
      <c r="B94" s="38" t="s">
        <v>660</v>
      </c>
      <c r="C94" s="100" t="s">
        <v>833</v>
      </c>
      <c r="D94" s="25" t="s">
        <v>3246</v>
      </c>
      <c r="E94" s="25" t="s">
        <v>3242</v>
      </c>
      <c r="F94" s="40" t="s">
        <v>477</v>
      </c>
      <c r="G94" s="102">
        <v>1</v>
      </c>
      <c r="H94" s="105" t="s">
        <v>3243</v>
      </c>
    </row>
    <row r="95" spans="1:8" ht="13.5" customHeight="1" x14ac:dyDescent="0.25">
      <c r="A95" s="13" t="s">
        <v>834</v>
      </c>
      <c r="B95" s="49" t="s">
        <v>660</v>
      </c>
      <c r="C95" s="101" t="s">
        <v>835</v>
      </c>
      <c r="D95" s="14" t="s">
        <v>3246</v>
      </c>
      <c r="E95" s="14" t="s">
        <v>3242</v>
      </c>
      <c r="F95" s="40" t="s">
        <v>477</v>
      </c>
      <c r="G95" s="102">
        <v>1</v>
      </c>
      <c r="H95" s="105" t="s">
        <v>3243</v>
      </c>
    </row>
    <row r="96" spans="1:8" ht="13.5" customHeight="1" x14ac:dyDescent="0.25">
      <c r="A96" s="24" t="s">
        <v>836</v>
      </c>
      <c r="B96" s="38" t="s">
        <v>660</v>
      </c>
      <c r="C96" s="100" t="s">
        <v>837</v>
      </c>
      <c r="D96" s="25" t="s">
        <v>3246</v>
      </c>
      <c r="E96" s="25" t="s">
        <v>3242</v>
      </c>
      <c r="F96" s="40" t="s">
        <v>477</v>
      </c>
      <c r="G96" s="102">
        <v>1</v>
      </c>
      <c r="H96" s="105" t="s">
        <v>3243</v>
      </c>
    </row>
    <row r="97" spans="1:8" ht="13.5" customHeight="1" x14ac:dyDescent="0.25">
      <c r="A97" s="13" t="s">
        <v>838</v>
      </c>
      <c r="B97" s="49" t="s">
        <v>660</v>
      </c>
      <c r="C97" s="101" t="s">
        <v>839</v>
      </c>
      <c r="D97" s="14" t="s">
        <v>3247</v>
      </c>
      <c r="E97" s="14" t="s">
        <v>3242</v>
      </c>
      <c r="F97" s="65" t="s">
        <v>841</v>
      </c>
      <c r="G97" s="106">
        <v>0.9</v>
      </c>
      <c r="H97" s="105" t="s">
        <v>3243</v>
      </c>
    </row>
    <row r="98" spans="1:8" ht="13.5" customHeight="1" x14ac:dyDescent="0.25">
      <c r="A98" s="24" t="s">
        <v>842</v>
      </c>
      <c r="B98" s="38" t="s">
        <v>660</v>
      </c>
      <c r="C98" s="100" t="s">
        <v>843</v>
      </c>
      <c r="D98" s="25" t="s">
        <v>3247</v>
      </c>
      <c r="E98" s="25" t="s">
        <v>3242</v>
      </c>
      <c r="F98" s="65" t="s">
        <v>841</v>
      </c>
      <c r="G98" s="106">
        <v>0.9</v>
      </c>
      <c r="H98" s="105" t="s">
        <v>3243</v>
      </c>
    </row>
    <row r="99" spans="1:8" ht="13.5" customHeight="1" x14ac:dyDescent="0.25">
      <c r="A99" s="13" t="s">
        <v>844</v>
      </c>
      <c r="B99" s="49" t="s">
        <v>660</v>
      </c>
      <c r="C99" s="101" t="s">
        <v>845</v>
      </c>
      <c r="D99" s="14" t="s">
        <v>3247</v>
      </c>
      <c r="E99" s="14" t="s">
        <v>3242</v>
      </c>
      <c r="F99" s="65" t="s">
        <v>841</v>
      </c>
      <c r="G99" s="106">
        <v>0.9</v>
      </c>
      <c r="H99" s="105" t="s">
        <v>3243</v>
      </c>
    </row>
    <row r="100" spans="1:8" ht="13.5" customHeight="1" x14ac:dyDescent="0.25">
      <c r="A100" s="24" t="s">
        <v>846</v>
      </c>
      <c r="B100" s="38" t="s">
        <v>660</v>
      </c>
      <c r="C100" s="100" t="s">
        <v>847</v>
      </c>
      <c r="D100" s="25" t="s">
        <v>3247</v>
      </c>
      <c r="E100" s="25" t="s">
        <v>3242</v>
      </c>
      <c r="F100" s="65" t="s">
        <v>841</v>
      </c>
      <c r="G100" s="106">
        <v>0.9</v>
      </c>
      <c r="H100" s="105" t="s">
        <v>3243</v>
      </c>
    </row>
    <row r="101" spans="1:8" ht="13.5" customHeight="1" x14ac:dyDescent="0.25">
      <c r="A101" s="13" t="s">
        <v>848</v>
      </c>
      <c r="B101" s="49" t="s">
        <v>660</v>
      </c>
      <c r="C101" s="101" t="s">
        <v>849</v>
      </c>
      <c r="D101" s="14" t="s">
        <v>3247</v>
      </c>
      <c r="E101" s="14" t="s">
        <v>3242</v>
      </c>
      <c r="F101" s="65" t="s">
        <v>841</v>
      </c>
      <c r="G101" s="106">
        <v>0.9</v>
      </c>
      <c r="H101" s="105" t="s">
        <v>3243</v>
      </c>
    </row>
    <row r="102" spans="1:8" ht="13.5" customHeight="1" x14ac:dyDescent="0.25">
      <c r="A102" s="24" t="s">
        <v>850</v>
      </c>
      <c r="B102" s="38" t="s">
        <v>660</v>
      </c>
      <c r="C102" s="100" t="s">
        <v>851</v>
      </c>
      <c r="D102" s="25" t="s">
        <v>3247</v>
      </c>
      <c r="E102" s="25" t="s">
        <v>3242</v>
      </c>
      <c r="F102" s="65" t="s">
        <v>841</v>
      </c>
      <c r="G102" s="106">
        <v>0.9</v>
      </c>
      <c r="H102" s="105" t="s">
        <v>3243</v>
      </c>
    </row>
    <row r="103" spans="1:8" ht="13.5" customHeight="1" x14ac:dyDescent="0.25">
      <c r="A103" s="13" t="s">
        <v>852</v>
      </c>
      <c r="B103" s="49" t="s">
        <v>660</v>
      </c>
      <c r="C103" s="101" t="s">
        <v>853</v>
      </c>
      <c r="D103" s="14" t="s">
        <v>3247</v>
      </c>
      <c r="E103" s="14" t="s">
        <v>3242</v>
      </c>
      <c r="F103" s="65" t="s">
        <v>841</v>
      </c>
      <c r="G103" s="106">
        <v>0.9</v>
      </c>
      <c r="H103" s="105" t="s">
        <v>3243</v>
      </c>
    </row>
    <row r="104" spans="1:8" ht="13.5" customHeight="1" x14ac:dyDescent="0.25">
      <c r="A104" s="24" t="s">
        <v>854</v>
      </c>
      <c r="B104" s="38" t="s">
        <v>660</v>
      </c>
      <c r="C104" s="100" t="s">
        <v>855</v>
      </c>
      <c r="D104" s="25" t="s">
        <v>3247</v>
      </c>
      <c r="E104" s="25" t="s">
        <v>3242</v>
      </c>
      <c r="F104" s="65" t="s">
        <v>841</v>
      </c>
      <c r="G104" s="106">
        <v>0.9</v>
      </c>
      <c r="H104" s="105" t="s">
        <v>3243</v>
      </c>
    </row>
    <row r="105" spans="1:8" ht="13.5" customHeight="1" x14ac:dyDescent="0.25">
      <c r="A105" s="13" t="s">
        <v>856</v>
      </c>
      <c r="B105" s="49" t="s">
        <v>660</v>
      </c>
      <c r="C105" s="101" t="s">
        <v>857</v>
      </c>
      <c r="D105" s="14" t="s">
        <v>3247</v>
      </c>
      <c r="E105" s="14" t="s">
        <v>3242</v>
      </c>
      <c r="F105" s="65" t="s">
        <v>841</v>
      </c>
      <c r="G105" s="106">
        <v>0.9</v>
      </c>
      <c r="H105" s="105" t="s">
        <v>3243</v>
      </c>
    </row>
    <row r="106" spans="1:8" ht="13.5" customHeight="1" x14ac:dyDescent="0.25">
      <c r="A106" s="24" t="s">
        <v>858</v>
      </c>
      <c r="B106" s="38" t="s">
        <v>660</v>
      </c>
      <c r="C106" s="100" t="s">
        <v>859</v>
      </c>
      <c r="D106" s="25" t="s">
        <v>3247</v>
      </c>
      <c r="E106" s="25" t="s">
        <v>3242</v>
      </c>
      <c r="F106" s="65" t="s">
        <v>841</v>
      </c>
      <c r="G106" s="106">
        <v>0.9</v>
      </c>
      <c r="H106" s="105" t="s">
        <v>3243</v>
      </c>
    </row>
    <row r="107" spans="1:8" ht="13.5" customHeight="1" x14ac:dyDescent="0.25">
      <c r="A107" s="13" t="s">
        <v>860</v>
      </c>
      <c r="B107" s="49" t="s">
        <v>660</v>
      </c>
      <c r="C107" s="101" t="s">
        <v>861</v>
      </c>
      <c r="D107" s="14" t="s">
        <v>3247</v>
      </c>
      <c r="E107" s="14" t="s">
        <v>3242</v>
      </c>
      <c r="F107" s="65" t="s">
        <v>841</v>
      </c>
      <c r="G107" s="106">
        <v>0.9</v>
      </c>
      <c r="H107" s="105" t="s">
        <v>3243</v>
      </c>
    </row>
    <row r="108" spans="1:8" ht="13.5" customHeight="1" x14ac:dyDescent="0.25">
      <c r="A108" s="24" t="s">
        <v>862</v>
      </c>
      <c r="B108" s="38" t="s">
        <v>660</v>
      </c>
      <c r="C108" s="100" t="s">
        <v>863</v>
      </c>
      <c r="D108" s="25" t="s">
        <v>3248</v>
      </c>
      <c r="E108" s="25" t="s">
        <v>3242</v>
      </c>
      <c r="F108" s="64" t="s">
        <v>566</v>
      </c>
      <c r="G108" s="104">
        <v>1.1499999999999999</v>
      </c>
      <c r="H108" s="105" t="s">
        <v>3243</v>
      </c>
    </row>
    <row r="109" spans="1:8" ht="13.5" customHeight="1" x14ac:dyDescent="0.25">
      <c r="A109" s="13" t="s">
        <v>865</v>
      </c>
      <c r="B109" s="49" t="s">
        <v>660</v>
      </c>
      <c r="C109" s="101" t="s">
        <v>866</v>
      </c>
      <c r="D109" s="14" t="s">
        <v>3248</v>
      </c>
      <c r="E109" s="14" t="s">
        <v>3242</v>
      </c>
      <c r="F109" s="40" t="s">
        <v>477</v>
      </c>
      <c r="G109" s="102">
        <v>1</v>
      </c>
      <c r="H109" s="105" t="s">
        <v>3243</v>
      </c>
    </row>
    <row r="110" spans="1:8" ht="13.5" customHeight="1" x14ac:dyDescent="0.25">
      <c r="A110" s="24" t="s">
        <v>867</v>
      </c>
      <c r="B110" s="38" t="s">
        <v>660</v>
      </c>
      <c r="C110" s="100" t="s">
        <v>868</v>
      </c>
      <c r="D110" s="25" t="s">
        <v>3248</v>
      </c>
      <c r="E110" s="25" t="s">
        <v>3242</v>
      </c>
      <c r="F110" s="40" t="s">
        <v>477</v>
      </c>
      <c r="G110" s="102">
        <v>1</v>
      </c>
      <c r="H110" s="105" t="s">
        <v>3243</v>
      </c>
    </row>
    <row r="111" spans="1:8" ht="13.5" customHeight="1" x14ac:dyDescent="0.25">
      <c r="A111" s="13" t="s">
        <v>869</v>
      </c>
      <c r="B111" s="49" t="s">
        <v>660</v>
      </c>
      <c r="C111" s="101" t="s">
        <v>870</v>
      </c>
      <c r="D111" s="14" t="s">
        <v>3248</v>
      </c>
      <c r="E111" s="14" t="s">
        <v>3242</v>
      </c>
      <c r="F111" s="40" t="s">
        <v>477</v>
      </c>
      <c r="G111" s="102">
        <v>1</v>
      </c>
      <c r="H111" s="105" t="s">
        <v>3243</v>
      </c>
    </row>
    <row r="112" spans="1:8" ht="13.5" customHeight="1" x14ac:dyDescent="0.25">
      <c r="A112" s="24" t="s">
        <v>871</v>
      </c>
      <c r="B112" s="38" t="s">
        <v>660</v>
      </c>
      <c r="C112" s="100" t="s">
        <v>872</v>
      </c>
      <c r="D112" s="25" t="s">
        <v>3248</v>
      </c>
      <c r="E112" s="25" t="s">
        <v>3242</v>
      </c>
      <c r="F112" s="40" t="s">
        <v>477</v>
      </c>
      <c r="G112" s="102">
        <v>1</v>
      </c>
      <c r="H112" s="105" t="s">
        <v>3243</v>
      </c>
    </row>
    <row r="113" spans="1:8" ht="13.5" customHeight="1" x14ac:dyDescent="0.25">
      <c r="A113" s="13" t="s">
        <v>873</v>
      </c>
      <c r="B113" s="49" t="s">
        <v>660</v>
      </c>
      <c r="C113" s="101" t="s">
        <v>874</v>
      </c>
      <c r="D113" s="14" t="s">
        <v>3248</v>
      </c>
      <c r="E113" s="14" t="s">
        <v>3242</v>
      </c>
      <c r="F113" s="40" t="s">
        <v>477</v>
      </c>
      <c r="G113" s="102">
        <v>1</v>
      </c>
      <c r="H113" s="105" t="s">
        <v>3243</v>
      </c>
    </row>
    <row r="114" spans="1:8" ht="13.5" customHeight="1" x14ac:dyDescent="0.25">
      <c r="A114" s="24" t="s">
        <v>875</v>
      </c>
      <c r="B114" s="38" t="s">
        <v>660</v>
      </c>
      <c r="C114" s="100" t="s">
        <v>876</v>
      </c>
      <c r="D114" s="25" t="s">
        <v>3248</v>
      </c>
      <c r="E114" s="25" t="s">
        <v>3242</v>
      </c>
      <c r="F114" s="40" t="s">
        <v>477</v>
      </c>
      <c r="G114" s="102">
        <v>1</v>
      </c>
      <c r="H114" s="105" t="s">
        <v>3243</v>
      </c>
    </row>
    <row r="115" spans="1:8" ht="13.5" customHeight="1" x14ac:dyDescent="0.25">
      <c r="A115" s="13" t="s">
        <v>877</v>
      </c>
      <c r="B115" s="49" t="s">
        <v>660</v>
      </c>
      <c r="C115" s="101" t="s">
        <v>878</v>
      </c>
      <c r="D115" s="14" t="s">
        <v>3248</v>
      </c>
      <c r="E115" s="14" t="s">
        <v>3242</v>
      </c>
      <c r="F115" s="40" t="s">
        <v>477</v>
      </c>
      <c r="G115" s="102">
        <v>1</v>
      </c>
      <c r="H115" s="105" t="s">
        <v>3243</v>
      </c>
    </row>
    <row r="116" spans="1:8" ht="13.5" customHeight="1" x14ac:dyDescent="0.25">
      <c r="A116" s="24" t="s">
        <v>879</v>
      </c>
      <c r="B116" s="38" t="s">
        <v>660</v>
      </c>
      <c r="C116" s="100" t="s">
        <v>880</v>
      </c>
      <c r="D116" s="25" t="s">
        <v>3248</v>
      </c>
      <c r="E116" s="25" t="s">
        <v>3242</v>
      </c>
      <c r="F116" s="40" t="s">
        <v>477</v>
      </c>
      <c r="G116" s="102">
        <v>1</v>
      </c>
      <c r="H116" s="105" t="s">
        <v>3243</v>
      </c>
    </row>
    <row r="117" spans="1:8" ht="13.5" customHeight="1" x14ac:dyDescent="0.25">
      <c r="A117" s="13" t="s">
        <v>881</v>
      </c>
      <c r="B117" s="49" t="s">
        <v>660</v>
      </c>
      <c r="C117" s="101" t="s">
        <v>882</v>
      </c>
      <c r="D117" s="14" t="s">
        <v>3249</v>
      </c>
      <c r="E117" s="14" t="s">
        <v>3242</v>
      </c>
      <c r="F117" s="64" t="s">
        <v>566</v>
      </c>
      <c r="G117" s="104">
        <v>1.1499999999999999</v>
      </c>
      <c r="H117" s="105" t="s">
        <v>3243</v>
      </c>
    </row>
    <row r="118" spans="1:8" ht="13.5" customHeight="1" x14ac:dyDescent="0.25">
      <c r="A118" s="24" t="s">
        <v>883</v>
      </c>
      <c r="B118" s="38" t="s">
        <v>660</v>
      </c>
      <c r="C118" s="100" t="s">
        <v>884</v>
      </c>
      <c r="D118" s="25" t="s">
        <v>3249</v>
      </c>
      <c r="E118" s="25" t="s">
        <v>3242</v>
      </c>
      <c r="F118" s="64" t="s">
        <v>566</v>
      </c>
      <c r="G118" s="104">
        <v>1.1499999999999999</v>
      </c>
      <c r="H118" s="105" t="s">
        <v>3243</v>
      </c>
    </row>
    <row r="119" spans="1:8" ht="13.5" customHeight="1" x14ac:dyDescent="0.25">
      <c r="A119" s="13" t="s">
        <v>885</v>
      </c>
      <c r="B119" s="49" t="s">
        <v>660</v>
      </c>
      <c r="C119" s="101" t="s">
        <v>886</v>
      </c>
      <c r="D119" s="14" t="s">
        <v>3249</v>
      </c>
      <c r="E119" s="14" t="s">
        <v>3242</v>
      </c>
      <c r="F119" s="64" t="s">
        <v>566</v>
      </c>
      <c r="G119" s="104">
        <v>1.1499999999999999</v>
      </c>
      <c r="H119" s="105" t="s">
        <v>3243</v>
      </c>
    </row>
    <row r="120" spans="1:8" ht="13.5" customHeight="1" x14ac:dyDescent="0.25">
      <c r="A120" s="24" t="s">
        <v>887</v>
      </c>
      <c r="B120" s="38" t="s">
        <v>660</v>
      </c>
      <c r="C120" s="100" t="s">
        <v>888</v>
      </c>
      <c r="D120" s="25" t="s">
        <v>3249</v>
      </c>
      <c r="E120" s="25" t="s">
        <v>3242</v>
      </c>
      <c r="F120" s="64" t="s">
        <v>566</v>
      </c>
      <c r="G120" s="104">
        <v>1.1499999999999999</v>
      </c>
      <c r="H120" s="105" t="s">
        <v>3243</v>
      </c>
    </row>
    <row r="121" spans="1:8" ht="13.5" customHeight="1" x14ac:dyDescent="0.25">
      <c r="A121" s="13" t="s">
        <v>889</v>
      </c>
      <c r="B121" s="49" t="s">
        <v>660</v>
      </c>
      <c r="C121" s="101" t="s">
        <v>890</v>
      </c>
      <c r="D121" s="14" t="s">
        <v>3249</v>
      </c>
      <c r="E121" s="14" t="s">
        <v>3242</v>
      </c>
      <c r="F121" s="64" t="s">
        <v>566</v>
      </c>
      <c r="G121" s="104">
        <v>1.1499999999999999</v>
      </c>
      <c r="H121" s="105" t="s">
        <v>3243</v>
      </c>
    </row>
    <row r="122" spans="1:8" ht="13.5" customHeight="1" x14ac:dyDescent="0.25">
      <c r="A122" s="24" t="s">
        <v>891</v>
      </c>
      <c r="B122" s="38" t="s">
        <v>660</v>
      </c>
      <c r="C122" s="100" t="s">
        <v>892</v>
      </c>
      <c r="D122" s="25" t="s">
        <v>3249</v>
      </c>
      <c r="E122" s="25" t="s">
        <v>3242</v>
      </c>
      <c r="F122" s="64" t="s">
        <v>566</v>
      </c>
      <c r="G122" s="104">
        <v>1.1499999999999999</v>
      </c>
      <c r="H122" s="105" t="s">
        <v>3243</v>
      </c>
    </row>
    <row r="123" spans="1:8" ht="13.5" customHeight="1" x14ac:dyDescent="0.25">
      <c r="A123" s="13" t="s">
        <v>893</v>
      </c>
      <c r="B123" s="49" t="s">
        <v>660</v>
      </c>
      <c r="C123" s="101" t="s">
        <v>894</v>
      </c>
      <c r="D123" s="14" t="s">
        <v>3249</v>
      </c>
      <c r="E123" s="14" t="s">
        <v>3242</v>
      </c>
      <c r="F123" s="64" t="s">
        <v>566</v>
      </c>
      <c r="G123" s="104">
        <v>1.1499999999999999</v>
      </c>
      <c r="H123" s="105" t="s">
        <v>3243</v>
      </c>
    </row>
    <row r="124" spans="1:8" ht="13.5" customHeight="1" x14ac:dyDescent="0.25">
      <c r="A124" s="24" t="s">
        <v>895</v>
      </c>
      <c r="B124" s="38" t="s">
        <v>660</v>
      </c>
      <c r="C124" s="100" t="s">
        <v>896</v>
      </c>
      <c r="D124" s="25" t="s">
        <v>3249</v>
      </c>
      <c r="E124" s="25" t="s">
        <v>3242</v>
      </c>
      <c r="F124" s="64" t="s">
        <v>566</v>
      </c>
      <c r="G124" s="104">
        <v>1.1499999999999999</v>
      </c>
      <c r="H124" s="105" t="s">
        <v>3243</v>
      </c>
    </row>
    <row r="125" spans="1:8" ht="13.5" customHeight="1" x14ac:dyDescent="0.25">
      <c r="A125" s="13" t="s">
        <v>897</v>
      </c>
      <c r="B125" s="49" t="s">
        <v>660</v>
      </c>
      <c r="C125" s="101" t="s">
        <v>898</v>
      </c>
      <c r="D125" s="14" t="s">
        <v>3249</v>
      </c>
      <c r="E125" s="14" t="s">
        <v>3242</v>
      </c>
      <c r="F125" s="64" t="s">
        <v>566</v>
      </c>
      <c r="G125" s="104">
        <v>1.1499999999999999</v>
      </c>
      <c r="H125" s="105" t="s">
        <v>3243</v>
      </c>
    </row>
    <row r="126" spans="1:8" ht="13.5" customHeight="1" x14ac:dyDescent="0.25">
      <c r="A126" s="24" t="s">
        <v>899</v>
      </c>
      <c r="B126" s="38" t="s">
        <v>660</v>
      </c>
      <c r="C126" s="100" t="s">
        <v>900</v>
      </c>
      <c r="D126" s="25" t="s">
        <v>3249</v>
      </c>
      <c r="E126" s="25" t="s">
        <v>3242</v>
      </c>
      <c r="F126" s="64" t="s">
        <v>566</v>
      </c>
      <c r="G126" s="104">
        <v>1.1499999999999999</v>
      </c>
      <c r="H126" s="105" t="s">
        <v>3243</v>
      </c>
    </row>
    <row r="127" spans="1:8" ht="13.5" customHeight="1" x14ac:dyDescent="0.25">
      <c r="A127" s="13" t="s">
        <v>901</v>
      </c>
      <c r="B127" s="49" t="s">
        <v>660</v>
      </c>
      <c r="C127" s="101" t="s">
        <v>902</v>
      </c>
      <c r="D127" s="14" t="s">
        <v>3250</v>
      </c>
      <c r="E127" s="14" t="s">
        <v>3242</v>
      </c>
      <c r="F127" s="64" t="s">
        <v>566</v>
      </c>
      <c r="G127" s="104">
        <v>1.1499999999999999</v>
      </c>
      <c r="H127" s="105" t="s">
        <v>3243</v>
      </c>
    </row>
    <row r="128" spans="1:8" ht="13.5" customHeight="1" x14ac:dyDescent="0.25">
      <c r="A128" s="24" t="s">
        <v>904</v>
      </c>
      <c r="B128" s="38" t="s">
        <v>660</v>
      </c>
      <c r="C128" s="100" t="s">
        <v>905</v>
      </c>
      <c r="D128" s="25" t="s">
        <v>3250</v>
      </c>
      <c r="E128" s="25" t="s">
        <v>3242</v>
      </c>
      <c r="F128" s="40" t="s">
        <v>477</v>
      </c>
      <c r="G128" s="102">
        <v>1</v>
      </c>
      <c r="H128" s="105" t="s">
        <v>3243</v>
      </c>
    </row>
    <row r="129" spans="1:8" ht="13.5" customHeight="1" x14ac:dyDescent="0.25">
      <c r="A129" s="13" t="s">
        <v>906</v>
      </c>
      <c r="B129" s="49" t="s">
        <v>660</v>
      </c>
      <c r="C129" s="101" t="s">
        <v>907</v>
      </c>
      <c r="D129" s="14" t="s">
        <v>3250</v>
      </c>
      <c r="E129" s="14" t="s">
        <v>3242</v>
      </c>
      <c r="F129" s="40" t="s">
        <v>477</v>
      </c>
      <c r="G129" s="102">
        <v>1</v>
      </c>
      <c r="H129" s="105" t="s">
        <v>3243</v>
      </c>
    </row>
    <row r="130" spans="1:8" ht="13.5" customHeight="1" x14ac:dyDescent="0.25">
      <c r="A130" s="24" t="s">
        <v>908</v>
      </c>
      <c r="B130" s="38" t="s">
        <v>660</v>
      </c>
      <c r="C130" s="100" t="s">
        <v>909</v>
      </c>
      <c r="D130" s="25" t="s">
        <v>3250</v>
      </c>
      <c r="E130" s="25" t="s">
        <v>3242</v>
      </c>
      <c r="F130" s="40" t="s">
        <v>477</v>
      </c>
      <c r="G130" s="102">
        <v>1</v>
      </c>
      <c r="H130" s="105" t="s">
        <v>3243</v>
      </c>
    </row>
    <row r="131" spans="1:8" ht="13.5" customHeight="1" x14ac:dyDescent="0.25">
      <c r="A131" s="13" t="s">
        <v>910</v>
      </c>
      <c r="B131" s="49" t="s">
        <v>660</v>
      </c>
      <c r="C131" s="101" t="s">
        <v>911</v>
      </c>
      <c r="D131" s="14" t="s">
        <v>3250</v>
      </c>
      <c r="E131" s="14" t="s">
        <v>3242</v>
      </c>
      <c r="F131" s="40" t="s">
        <v>477</v>
      </c>
      <c r="G131" s="102">
        <v>1</v>
      </c>
      <c r="H131" s="105" t="s">
        <v>3243</v>
      </c>
    </row>
    <row r="132" spans="1:8" ht="13.5" customHeight="1" x14ac:dyDescent="0.25">
      <c r="A132" s="24" t="s">
        <v>912</v>
      </c>
      <c r="B132" s="38" t="s">
        <v>660</v>
      </c>
      <c r="C132" s="100" t="s">
        <v>913</v>
      </c>
      <c r="D132" s="25" t="s">
        <v>3250</v>
      </c>
      <c r="E132" s="25" t="s">
        <v>3242</v>
      </c>
      <c r="F132" s="40" t="s">
        <v>477</v>
      </c>
      <c r="G132" s="102">
        <v>1</v>
      </c>
      <c r="H132" s="105" t="s">
        <v>3243</v>
      </c>
    </row>
    <row r="133" spans="1:8" ht="13.5" customHeight="1" x14ac:dyDescent="0.25">
      <c r="A133" s="13" t="s">
        <v>914</v>
      </c>
      <c r="B133" s="49" t="s">
        <v>660</v>
      </c>
      <c r="C133" s="101" t="s">
        <v>915</v>
      </c>
      <c r="D133" s="14" t="s">
        <v>3250</v>
      </c>
      <c r="E133" s="14" t="s">
        <v>3242</v>
      </c>
      <c r="F133" s="40" t="s">
        <v>477</v>
      </c>
      <c r="G133" s="102">
        <v>1</v>
      </c>
      <c r="H133" s="105" t="s">
        <v>3243</v>
      </c>
    </row>
    <row r="134" spans="1:8" ht="13.5" customHeight="1" x14ac:dyDescent="0.25">
      <c r="A134" s="24" t="s">
        <v>916</v>
      </c>
      <c r="B134" s="38" t="s">
        <v>660</v>
      </c>
      <c r="C134" s="100" t="s">
        <v>917</v>
      </c>
      <c r="D134" s="25" t="s">
        <v>3250</v>
      </c>
      <c r="E134" s="25" t="s">
        <v>3242</v>
      </c>
      <c r="F134" s="40" t="s">
        <v>477</v>
      </c>
      <c r="G134" s="102">
        <v>1</v>
      </c>
      <c r="H134" s="105" t="s">
        <v>3243</v>
      </c>
    </row>
    <row r="135" spans="1:8" ht="13.5" customHeight="1" x14ac:dyDescent="0.25">
      <c r="A135" s="13" t="s">
        <v>918</v>
      </c>
      <c r="B135" s="49" t="s">
        <v>660</v>
      </c>
      <c r="C135" s="101" t="s">
        <v>919</v>
      </c>
      <c r="D135" s="14" t="s">
        <v>3250</v>
      </c>
      <c r="E135" s="14" t="s">
        <v>3242</v>
      </c>
      <c r="F135" s="40" t="s">
        <v>477</v>
      </c>
      <c r="G135" s="102">
        <v>1</v>
      </c>
      <c r="H135" s="105" t="s">
        <v>3243</v>
      </c>
    </row>
    <row r="136" spans="1:8" ht="13.5" customHeight="1" x14ac:dyDescent="0.25">
      <c r="A136" s="24" t="s">
        <v>920</v>
      </c>
      <c r="B136" s="38" t="s">
        <v>660</v>
      </c>
      <c r="C136" s="100" t="s">
        <v>921</v>
      </c>
      <c r="D136" s="25" t="s">
        <v>3250</v>
      </c>
      <c r="E136" s="25" t="s">
        <v>3242</v>
      </c>
      <c r="F136" s="40" t="s">
        <v>477</v>
      </c>
      <c r="G136" s="102">
        <v>1</v>
      </c>
      <c r="H136" s="105" t="s">
        <v>3243</v>
      </c>
    </row>
    <row r="137" spans="1:8" ht="13.5" customHeight="1" x14ac:dyDescent="0.25">
      <c r="A137" s="13" t="s">
        <v>922</v>
      </c>
      <c r="B137" s="49" t="s">
        <v>660</v>
      </c>
      <c r="C137" s="101" t="s">
        <v>923</v>
      </c>
      <c r="D137" s="14" t="s">
        <v>3250</v>
      </c>
      <c r="E137" s="14" t="s">
        <v>3242</v>
      </c>
      <c r="F137" s="40" t="s">
        <v>477</v>
      </c>
      <c r="G137" s="102">
        <v>1</v>
      </c>
      <c r="H137" s="105" t="s">
        <v>3243</v>
      </c>
    </row>
    <row r="138" spans="1:8" ht="13.5" customHeight="1" x14ac:dyDescent="0.25">
      <c r="A138" s="24" t="s">
        <v>924</v>
      </c>
      <c r="B138" s="38" t="s">
        <v>660</v>
      </c>
      <c r="C138" s="100" t="s">
        <v>925</v>
      </c>
      <c r="D138" s="25" t="s">
        <v>3250</v>
      </c>
      <c r="E138" s="25" t="s">
        <v>3242</v>
      </c>
      <c r="F138" s="40" t="s">
        <v>477</v>
      </c>
      <c r="G138" s="102">
        <v>1</v>
      </c>
      <c r="H138" s="105" t="s">
        <v>3243</v>
      </c>
    </row>
    <row r="139" spans="1:8" ht="13.5" customHeight="1" x14ac:dyDescent="0.25">
      <c r="A139" s="13" t="s">
        <v>926</v>
      </c>
      <c r="B139" s="49" t="s">
        <v>660</v>
      </c>
      <c r="C139" s="101" t="s">
        <v>927</v>
      </c>
      <c r="D139" s="14" t="s">
        <v>3251</v>
      </c>
      <c r="E139" s="14" t="s">
        <v>3242</v>
      </c>
      <c r="F139" s="65" t="s">
        <v>841</v>
      </c>
      <c r="G139" s="106">
        <v>0.9</v>
      </c>
      <c r="H139" s="105" t="s">
        <v>3243</v>
      </c>
    </row>
    <row r="140" spans="1:8" ht="13.5" customHeight="1" x14ac:dyDescent="0.25">
      <c r="A140" s="24" t="s">
        <v>929</v>
      </c>
      <c r="B140" s="38" t="s">
        <v>660</v>
      </c>
      <c r="C140" s="100" t="s">
        <v>930</v>
      </c>
      <c r="D140" s="25" t="s">
        <v>3251</v>
      </c>
      <c r="E140" s="25" t="s">
        <v>3242</v>
      </c>
      <c r="F140" s="65" t="s">
        <v>841</v>
      </c>
      <c r="G140" s="106">
        <v>0.9</v>
      </c>
      <c r="H140" s="105" t="s">
        <v>3243</v>
      </c>
    </row>
    <row r="141" spans="1:8" ht="13.5" customHeight="1" x14ac:dyDescent="0.25">
      <c r="A141" s="13" t="s">
        <v>931</v>
      </c>
      <c r="B141" s="49" t="s">
        <v>660</v>
      </c>
      <c r="C141" s="101" t="s">
        <v>932</v>
      </c>
      <c r="D141" s="14" t="s">
        <v>3251</v>
      </c>
      <c r="E141" s="14" t="s">
        <v>3242</v>
      </c>
      <c r="F141" s="65" t="s">
        <v>841</v>
      </c>
      <c r="G141" s="106">
        <v>0.9</v>
      </c>
      <c r="H141" s="105" t="s">
        <v>3243</v>
      </c>
    </row>
    <row r="142" spans="1:8" ht="13.5" customHeight="1" x14ac:dyDescent="0.25">
      <c r="A142" s="24" t="s">
        <v>933</v>
      </c>
      <c r="B142" s="38" t="s">
        <v>660</v>
      </c>
      <c r="C142" s="100" t="s">
        <v>934</v>
      </c>
      <c r="D142" s="25" t="s">
        <v>3251</v>
      </c>
      <c r="E142" s="25" t="s">
        <v>3242</v>
      </c>
      <c r="F142" s="65" t="s">
        <v>841</v>
      </c>
      <c r="G142" s="106">
        <v>0.9</v>
      </c>
      <c r="H142" s="105" t="s">
        <v>3243</v>
      </c>
    </row>
    <row r="143" spans="1:8" ht="13.5" customHeight="1" x14ac:dyDescent="0.25">
      <c r="A143" s="13" t="s">
        <v>935</v>
      </c>
      <c r="B143" s="49" t="s">
        <v>660</v>
      </c>
      <c r="C143" s="101" t="s">
        <v>936</v>
      </c>
      <c r="D143" s="14" t="s">
        <v>3251</v>
      </c>
      <c r="E143" s="14" t="s">
        <v>3242</v>
      </c>
      <c r="F143" s="65" t="s">
        <v>841</v>
      </c>
      <c r="G143" s="106">
        <v>0.9</v>
      </c>
      <c r="H143" s="105" t="s">
        <v>3243</v>
      </c>
    </row>
    <row r="144" spans="1:8" ht="13.5" customHeight="1" x14ac:dyDescent="0.25">
      <c r="A144" s="24" t="s">
        <v>937</v>
      </c>
      <c r="B144" s="38" t="s">
        <v>660</v>
      </c>
      <c r="C144" s="100" t="s">
        <v>938</v>
      </c>
      <c r="D144" s="25" t="s">
        <v>3251</v>
      </c>
      <c r="E144" s="25" t="s">
        <v>3242</v>
      </c>
      <c r="F144" s="65" t="s">
        <v>841</v>
      </c>
      <c r="G144" s="106">
        <v>0.9</v>
      </c>
      <c r="H144" s="105" t="s">
        <v>3243</v>
      </c>
    </row>
    <row r="145" spans="1:8" ht="13.5" customHeight="1" x14ac:dyDescent="0.25">
      <c r="A145" s="13" t="s">
        <v>939</v>
      </c>
      <c r="B145" s="49" t="s">
        <v>660</v>
      </c>
      <c r="C145" s="101" t="s">
        <v>940</v>
      </c>
      <c r="D145" s="14" t="s">
        <v>3251</v>
      </c>
      <c r="E145" s="14" t="s">
        <v>3242</v>
      </c>
      <c r="F145" s="65" t="s">
        <v>841</v>
      </c>
      <c r="G145" s="106">
        <v>0.9</v>
      </c>
      <c r="H145" s="105" t="s">
        <v>3243</v>
      </c>
    </row>
    <row r="146" spans="1:8" ht="13.5" customHeight="1" x14ac:dyDescent="0.25">
      <c r="A146" s="24" t="s">
        <v>941</v>
      </c>
      <c r="B146" s="38" t="s">
        <v>660</v>
      </c>
      <c r="C146" s="100" t="s">
        <v>942</v>
      </c>
      <c r="D146" s="25" t="s">
        <v>3251</v>
      </c>
      <c r="E146" s="25" t="s">
        <v>3242</v>
      </c>
      <c r="F146" s="65" t="s">
        <v>841</v>
      </c>
      <c r="G146" s="106">
        <v>0.9</v>
      </c>
      <c r="H146" s="105" t="s">
        <v>3243</v>
      </c>
    </row>
    <row r="147" spans="1:8" ht="13.5" customHeight="1" x14ac:dyDescent="0.25">
      <c r="A147" s="13" t="s">
        <v>943</v>
      </c>
      <c r="B147" s="49" t="s">
        <v>660</v>
      </c>
      <c r="C147" s="101" t="s">
        <v>944</v>
      </c>
      <c r="D147" s="14" t="s">
        <v>3251</v>
      </c>
      <c r="E147" s="14" t="s">
        <v>3242</v>
      </c>
      <c r="F147" s="65" t="s">
        <v>841</v>
      </c>
      <c r="G147" s="106">
        <v>0.9</v>
      </c>
      <c r="H147" s="105" t="s">
        <v>3243</v>
      </c>
    </row>
    <row r="148" spans="1:8" ht="13.5" customHeight="1" x14ac:dyDescent="0.25">
      <c r="A148" s="24" t="s">
        <v>945</v>
      </c>
      <c r="B148" s="38" t="s">
        <v>660</v>
      </c>
      <c r="C148" s="100" t="s">
        <v>946</v>
      </c>
      <c r="D148" s="25" t="s">
        <v>3251</v>
      </c>
      <c r="E148" s="25" t="s">
        <v>3242</v>
      </c>
      <c r="F148" s="65" t="s">
        <v>841</v>
      </c>
      <c r="G148" s="106">
        <v>0.9</v>
      </c>
      <c r="H148" s="105" t="s">
        <v>3243</v>
      </c>
    </row>
    <row r="149" spans="1:8" ht="13.5" customHeight="1" x14ac:dyDescent="0.25">
      <c r="A149" s="13" t="s">
        <v>947</v>
      </c>
      <c r="B149" s="49" t="s">
        <v>660</v>
      </c>
      <c r="C149" s="101" t="s">
        <v>948</v>
      </c>
      <c r="D149" s="14" t="s">
        <v>3251</v>
      </c>
      <c r="E149" s="14" t="s">
        <v>3242</v>
      </c>
      <c r="F149" s="65" t="s">
        <v>841</v>
      </c>
      <c r="G149" s="106">
        <v>0.9</v>
      </c>
      <c r="H149" s="105" t="s">
        <v>3243</v>
      </c>
    </row>
    <row r="150" spans="1:8" ht="13.5" customHeight="1" x14ac:dyDescent="0.25">
      <c r="A150" s="24" t="s">
        <v>949</v>
      </c>
      <c r="B150" s="38" t="s">
        <v>660</v>
      </c>
      <c r="C150" s="100" t="s">
        <v>950</v>
      </c>
      <c r="D150" s="25" t="s">
        <v>3252</v>
      </c>
      <c r="E150" s="25" t="s">
        <v>3242</v>
      </c>
      <c r="F150" s="64" t="s">
        <v>566</v>
      </c>
      <c r="G150" s="104">
        <v>1.1499999999999999</v>
      </c>
      <c r="H150" s="105" t="s">
        <v>3243</v>
      </c>
    </row>
    <row r="151" spans="1:8" ht="13.5" customHeight="1" x14ac:dyDescent="0.25">
      <c r="A151" s="13" t="s">
        <v>952</v>
      </c>
      <c r="B151" s="49" t="s">
        <v>660</v>
      </c>
      <c r="C151" s="101" t="s">
        <v>953</v>
      </c>
      <c r="D151" s="14" t="s">
        <v>3252</v>
      </c>
      <c r="E151" s="14" t="s">
        <v>3242</v>
      </c>
      <c r="F151" s="64" t="s">
        <v>566</v>
      </c>
      <c r="G151" s="104">
        <v>1.1499999999999999</v>
      </c>
      <c r="H151" s="105" t="s">
        <v>3243</v>
      </c>
    </row>
    <row r="152" spans="1:8" ht="13.5" customHeight="1" x14ac:dyDescent="0.25">
      <c r="A152" s="24" t="s">
        <v>954</v>
      </c>
      <c r="B152" s="38" t="s">
        <v>660</v>
      </c>
      <c r="C152" s="100" t="s">
        <v>955</v>
      </c>
      <c r="D152" s="25" t="s">
        <v>3252</v>
      </c>
      <c r="E152" s="25" t="s">
        <v>3242</v>
      </c>
      <c r="F152" s="64" t="s">
        <v>566</v>
      </c>
      <c r="G152" s="104">
        <v>1.1499999999999999</v>
      </c>
      <c r="H152" s="105" t="s">
        <v>3243</v>
      </c>
    </row>
    <row r="153" spans="1:8" ht="13.5" customHeight="1" x14ac:dyDescent="0.25">
      <c r="A153" s="13" t="s">
        <v>956</v>
      </c>
      <c r="B153" s="49" t="s">
        <v>660</v>
      </c>
      <c r="C153" s="101" t="s">
        <v>957</v>
      </c>
      <c r="D153" s="14" t="s">
        <v>3252</v>
      </c>
      <c r="E153" s="14" t="s">
        <v>3242</v>
      </c>
      <c r="F153" s="64" t="s">
        <v>566</v>
      </c>
      <c r="G153" s="104">
        <v>1.1499999999999999</v>
      </c>
      <c r="H153" s="105" t="s">
        <v>3243</v>
      </c>
    </row>
    <row r="154" spans="1:8" ht="13.5" customHeight="1" x14ac:dyDescent="0.25">
      <c r="A154" s="24" t="s">
        <v>958</v>
      </c>
      <c r="B154" s="38" t="s">
        <v>660</v>
      </c>
      <c r="C154" s="100" t="s">
        <v>959</v>
      </c>
      <c r="D154" s="25" t="s">
        <v>3252</v>
      </c>
      <c r="E154" s="25" t="s">
        <v>3242</v>
      </c>
      <c r="F154" s="64" t="s">
        <v>566</v>
      </c>
      <c r="G154" s="104">
        <v>1.1499999999999999</v>
      </c>
      <c r="H154" s="105" t="s">
        <v>3243</v>
      </c>
    </row>
    <row r="155" spans="1:8" ht="13.5" customHeight="1" x14ac:dyDescent="0.25">
      <c r="A155" s="13" t="s">
        <v>960</v>
      </c>
      <c r="B155" s="49" t="s">
        <v>660</v>
      </c>
      <c r="C155" s="101" t="s">
        <v>961</v>
      </c>
      <c r="D155" s="14" t="s">
        <v>3252</v>
      </c>
      <c r="E155" s="14" t="s">
        <v>3242</v>
      </c>
      <c r="F155" s="64" t="s">
        <v>566</v>
      </c>
      <c r="G155" s="104">
        <v>1.1499999999999999</v>
      </c>
      <c r="H155" s="105" t="s">
        <v>3243</v>
      </c>
    </row>
    <row r="156" spans="1:8" ht="13.5" customHeight="1" x14ac:dyDescent="0.25">
      <c r="A156" s="24" t="s">
        <v>962</v>
      </c>
      <c r="B156" s="38" t="s">
        <v>660</v>
      </c>
      <c r="C156" s="100" t="s">
        <v>963</v>
      </c>
      <c r="D156" s="25" t="s">
        <v>3252</v>
      </c>
      <c r="E156" s="25" t="s">
        <v>3242</v>
      </c>
      <c r="F156" s="64" t="s">
        <v>566</v>
      </c>
      <c r="G156" s="104">
        <v>1.1499999999999999</v>
      </c>
      <c r="H156" s="105" t="s">
        <v>3243</v>
      </c>
    </row>
    <row r="157" spans="1:8" ht="13.5" customHeight="1" x14ac:dyDescent="0.25">
      <c r="A157" s="13" t="s">
        <v>964</v>
      </c>
      <c r="B157" s="49" t="s">
        <v>660</v>
      </c>
      <c r="C157" s="101" t="s">
        <v>965</v>
      </c>
      <c r="D157" s="14" t="s">
        <v>3253</v>
      </c>
      <c r="E157" s="14" t="s">
        <v>3242</v>
      </c>
      <c r="F157" s="64" t="s">
        <v>566</v>
      </c>
      <c r="G157" s="104">
        <v>1.1499999999999999</v>
      </c>
      <c r="H157" s="105" t="s">
        <v>3243</v>
      </c>
    </row>
    <row r="158" spans="1:8" ht="13.5" customHeight="1" x14ac:dyDescent="0.25">
      <c r="A158" s="24" t="s">
        <v>966</v>
      </c>
      <c r="B158" s="38" t="s">
        <v>660</v>
      </c>
      <c r="C158" s="100" t="s">
        <v>967</v>
      </c>
      <c r="D158" s="25" t="s">
        <v>3253</v>
      </c>
      <c r="E158" s="25" t="s">
        <v>3242</v>
      </c>
      <c r="F158" s="64" t="s">
        <v>566</v>
      </c>
      <c r="G158" s="104">
        <v>1.1499999999999999</v>
      </c>
      <c r="H158" s="105" t="s">
        <v>3243</v>
      </c>
    </row>
    <row r="159" spans="1:8" ht="13.5" customHeight="1" x14ac:dyDescent="0.25">
      <c r="A159" s="13" t="s">
        <v>968</v>
      </c>
      <c r="B159" s="49" t="s">
        <v>660</v>
      </c>
      <c r="C159" s="101" t="s">
        <v>969</v>
      </c>
      <c r="D159" s="14" t="s">
        <v>3253</v>
      </c>
      <c r="E159" s="14" t="s">
        <v>3242</v>
      </c>
      <c r="F159" s="64" t="s">
        <v>566</v>
      </c>
      <c r="G159" s="104">
        <v>1.1499999999999999</v>
      </c>
      <c r="H159" s="105" t="s">
        <v>3243</v>
      </c>
    </row>
    <row r="160" spans="1:8" ht="13.5" customHeight="1" x14ac:dyDescent="0.25">
      <c r="A160" s="24" t="s">
        <v>970</v>
      </c>
      <c r="B160" s="38" t="s">
        <v>660</v>
      </c>
      <c r="C160" s="100" t="s">
        <v>971</v>
      </c>
      <c r="D160" s="25" t="s">
        <v>3253</v>
      </c>
      <c r="E160" s="25" t="s">
        <v>3242</v>
      </c>
      <c r="F160" s="64" t="s">
        <v>566</v>
      </c>
      <c r="G160" s="104">
        <v>1.1499999999999999</v>
      </c>
      <c r="H160" s="105" t="s">
        <v>3243</v>
      </c>
    </row>
    <row r="161" spans="1:8" ht="13.5" customHeight="1" x14ac:dyDescent="0.25">
      <c r="A161" s="13" t="s">
        <v>972</v>
      </c>
      <c r="B161" s="49" t="s">
        <v>660</v>
      </c>
      <c r="C161" s="101" t="s">
        <v>973</v>
      </c>
      <c r="D161" s="14" t="s">
        <v>3253</v>
      </c>
      <c r="E161" s="14" t="s">
        <v>3242</v>
      </c>
      <c r="F161" s="64" t="s">
        <v>566</v>
      </c>
      <c r="G161" s="104">
        <v>1.1499999999999999</v>
      </c>
      <c r="H161" s="105" t="s">
        <v>3243</v>
      </c>
    </row>
    <row r="162" spans="1:8" ht="13.5" customHeight="1" x14ac:dyDescent="0.25">
      <c r="A162" s="24" t="s">
        <v>974</v>
      </c>
      <c r="B162" s="38" t="s">
        <v>660</v>
      </c>
      <c r="C162" s="100" t="s">
        <v>975</v>
      </c>
      <c r="D162" s="25" t="s">
        <v>3253</v>
      </c>
      <c r="E162" s="25" t="s">
        <v>3242</v>
      </c>
      <c r="F162" s="64" t="s">
        <v>566</v>
      </c>
      <c r="G162" s="104">
        <v>1.1499999999999999</v>
      </c>
      <c r="H162" s="105" t="s">
        <v>3243</v>
      </c>
    </row>
    <row r="163" spans="1:8" ht="13.5" customHeight="1" x14ac:dyDescent="0.25">
      <c r="A163" s="13" t="s">
        <v>976</v>
      </c>
      <c r="B163" s="49" t="s">
        <v>660</v>
      </c>
      <c r="C163" s="101" t="s">
        <v>977</v>
      </c>
      <c r="D163" s="14" t="s">
        <v>3253</v>
      </c>
      <c r="E163" s="14" t="s">
        <v>3242</v>
      </c>
      <c r="F163" s="64" t="s">
        <v>566</v>
      </c>
      <c r="G163" s="104">
        <v>1.1499999999999999</v>
      </c>
      <c r="H163" s="105" t="s">
        <v>3243</v>
      </c>
    </row>
    <row r="164" spans="1:8" ht="13.5" customHeight="1" x14ac:dyDescent="0.25">
      <c r="A164" s="24" t="s">
        <v>978</v>
      </c>
      <c r="B164" s="38" t="s">
        <v>660</v>
      </c>
      <c r="C164" s="100" t="s">
        <v>979</v>
      </c>
      <c r="D164" s="25" t="s">
        <v>3253</v>
      </c>
      <c r="E164" s="25" t="s">
        <v>3242</v>
      </c>
      <c r="F164" s="64" t="s">
        <v>566</v>
      </c>
      <c r="G164" s="104">
        <v>1.1499999999999999</v>
      </c>
      <c r="H164" s="105" t="s">
        <v>3243</v>
      </c>
    </row>
    <row r="165" spans="1:8" ht="13.5" customHeight="1" x14ac:dyDescent="0.25">
      <c r="A165" s="13" t="s">
        <v>980</v>
      </c>
      <c r="B165" s="49" t="s">
        <v>660</v>
      </c>
      <c r="C165" s="101" t="s">
        <v>981</v>
      </c>
      <c r="D165" s="14" t="s">
        <v>3253</v>
      </c>
      <c r="E165" s="14" t="s">
        <v>3242</v>
      </c>
      <c r="F165" s="64" t="s">
        <v>566</v>
      </c>
      <c r="G165" s="104">
        <v>1.1499999999999999</v>
      </c>
      <c r="H165" s="105" t="s">
        <v>3243</v>
      </c>
    </row>
    <row r="166" spans="1:8" ht="13.5" customHeight="1" x14ac:dyDescent="0.25">
      <c r="A166" s="24" t="s">
        <v>982</v>
      </c>
      <c r="B166" s="38" t="s">
        <v>660</v>
      </c>
      <c r="C166" s="100" t="s">
        <v>983</v>
      </c>
      <c r="D166" s="25" t="s">
        <v>3253</v>
      </c>
      <c r="E166" s="25" t="s">
        <v>3242</v>
      </c>
      <c r="F166" s="64" t="s">
        <v>566</v>
      </c>
      <c r="G166" s="104">
        <v>1.1499999999999999</v>
      </c>
      <c r="H166" s="105" t="s">
        <v>3243</v>
      </c>
    </row>
    <row r="167" spans="1:8" ht="13.5" customHeight="1" x14ac:dyDescent="0.25">
      <c r="A167" s="13" t="s">
        <v>984</v>
      </c>
      <c r="B167" s="49" t="s">
        <v>660</v>
      </c>
      <c r="C167" s="101" t="s">
        <v>985</v>
      </c>
      <c r="D167" s="14" t="s">
        <v>3253</v>
      </c>
      <c r="E167" s="14" t="s">
        <v>3242</v>
      </c>
      <c r="F167" s="64" t="s">
        <v>566</v>
      </c>
      <c r="G167" s="104">
        <v>1.1499999999999999</v>
      </c>
      <c r="H167" s="105" t="s">
        <v>3243</v>
      </c>
    </row>
    <row r="168" spans="1:8" ht="13.5" customHeight="1" x14ac:dyDescent="0.25">
      <c r="A168" s="24" t="s">
        <v>986</v>
      </c>
      <c r="B168" s="38" t="s">
        <v>660</v>
      </c>
      <c r="C168" s="100" t="s">
        <v>987</v>
      </c>
      <c r="D168" s="25" t="s">
        <v>3253</v>
      </c>
      <c r="E168" s="25" t="s">
        <v>3242</v>
      </c>
      <c r="F168" s="64" t="s">
        <v>566</v>
      </c>
      <c r="G168" s="104">
        <v>1.1499999999999999</v>
      </c>
      <c r="H168" s="105" t="s">
        <v>3243</v>
      </c>
    </row>
    <row r="169" spans="1:8" ht="13.5" customHeight="1" x14ac:dyDescent="0.25">
      <c r="A169" s="13" t="s">
        <v>988</v>
      </c>
      <c r="B169" s="49" t="s">
        <v>660</v>
      </c>
      <c r="C169" s="101" t="s">
        <v>989</v>
      </c>
      <c r="D169" s="14" t="s">
        <v>3253</v>
      </c>
      <c r="E169" s="14" t="s">
        <v>3242</v>
      </c>
      <c r="F169" s="64" t="s">
        <v>566</v>
      </c>
      <c r="G169" s="104">
        <v>1.1499999999999999</v>
      </c>
      <c r="H169" s="105" t="s">
        <v>3243</v>
      </c>
    </row>
    <row r="170" spans="1:8" ht="13.5" customHeight="1" x14ac:dyDescent="0.25">
      <c r="A170" s="24" t="s">
        <v>990</v>
      </c>
      <c r="B170" s="38" t="s">
        <v>660</v>
      </c>
      <c r="C170" s="100" t="s">
        <v>991</v>
      </c>
      <c r="D170" s="25" t="s">
        <v>3253</v>
      </c>
      <c r="E170" s="25" t="s">
        <v>3242</v>
      </c>
      <c r="F170" s="64" t="s">
        <v>566</v>
      </c>
      <c r="G170" s="104">
        <v>1.1499999999999999</v>
      </c>
      <c r="H170" s="105" t="s">
        <v>3243</v>
      </c>
    </row>
    <row r="171" spans="1:8" ht="13.5" customHeight="1" x14ac:dyDescent="0.25">
      <c r="A171" s="13" t="s">
        <v>992</v>
      </c>
      <c r="B171" s="49" t="s">
        <v>660</v>
      </c>
      <c r="C171" s="101" t="s">
        <v>993</v>
      </c>
      <c r="D171" s="14" t="s">
        <v>3253</v>
      </c>
      <c r="E171" s="14" t="s">
        <v>3242</v>
      </c>
      <c r="F171" s="64" t="s">
        <v>566</v>
      </c>
      <c r="G171" s="104">
        <v>1.1499999999999999</v>
      </c>
      <c r="H171" s="105" t="s">
        <v>3243</v>
      </c>
    </row>
    <row r="172" spans="1:8" ht="13.5" customHeight="1" x14ac:dyDescent="0.25">
      <c r="A172" s="24" t="s">
        <v>994</v>
      </c>
      <c r="B172" s="38" t="s">
        <v>660</v>
      </c>
      <c r="C172" s="100" t="s">
        <v>995</v>
      </c>
      <c r="D172" s="25" t="s">
        <v>3253</v>
      </c>
      <c r="E172" s="25" t="s">
        <v>3242</v>
      </c>
      <c r="F172" s="64" t="s">
        <v>566</v>
      </c>
      <c r="G172" s="104">
        <v>1.1499999999999999</v>
      </c>
      <c r="H172" s="105" t="s">
        <v>3243</v>
      </c>
    </row>
    <row r="173" spans="1:8" ht="13.5" customHeight="1" x14ac:dyDescent="0.25">
      <c r="A173" s="13" t="s">
        <v>996</v>
      </c>
      <c r="B173" s="49" t="s">
        <v>660</v>
      </c>
      <c r="C173" s="101" t="s">
        <v>997</v>
      </c>
      <c r="D173" s="14" t="s">
        <v>3253</v>
      </c>
      <c r="E173" s="14" t="s">
        <v>3242</v>
      </c>
      <c r="F173" s="64" t="s">
        <v>566</v>
      </c>
      <c r="G173" s="104">
        <v>1.1499999999999999</v>
      </c>
      <c r="H173" s="105" t="s">
        <v>3243</v>
      </c>
    </row>
    <row r="174" spans="1:8" ht="13.5" customHeight="1" x14ac:dyDescent="0.25">
      <c r="A174" s="24" t="s">
        <v>998</v>
      </c>
      <c r="B174" s="38" t="s">
        <v>660</v>
      </c>
      <c r="C174" s="100" t="s">
        <v>999</v>
      </c>
      <c r="D174" s="25" t="s">
        <v>3253</v>
      </c>
      <c r="E174" s="25" t="s">
        <v>3242</v>
      </c>
      <c r="F174" s="64" t="s">
        <v>566</v>
      </c>
      <c r="G174" s="104">
        <v>1.1499999999999999</v>
      </c>
      <c r="H174" s="105" t="s">
        <v>3243</v>
      </c>
    </row>
    <row r="175" spans="1:8" ht="13.5" customHeight="1" x14ac:dyDescent="0.25">
      <c r="A175" s="13" t="s">
        <v>1000</v>
      </c>
      <c r="B175" s="49" t="s">
        <v>660</v>
      </c>
      <c r="C175" s="101" t="s">
        <v>1001</v>
      </c>
      <c r="D175" s="14" t="s">
        <v>3253</v>
      </c>
      <c r="E175" s="14" t="s">
        <v>3242</v>
      </c>
      <c r="F175" s="64" t="s">
        <v>566</v>
      </c>
      <c r="G175" s="104">
        <v>1.1499999999999999</v>
      </c>
      <c r="H175" s="105" t="s">
        <v>3243</v>
      </c>
    </row>
    <row r="176" spans="1:8" ht="13.5" customHeight="1" x14ac:dyDescent="0.25">
      <c r="A176" s="24" t="s">
        <v>1002</v>
      </c>
      <c r="B176" s="38" t="s">
        <v>660</v>
      </c>
      <c r="C176" s="100" t="s">
        <v>1003</v>
      </c>
      <c r="D176" s="25" t="s">
        <v>3253</v>
      </c>
      <c r="E176" s="25" t="s">
        <v>3242</v>
      </c>
      <c r="F176" s="64" t="s">
        <v>566</v>
      </c>
      <c r="G176" s="104">
        <v>1.1499999999999999</v>
      </c>
      <c r="H176" s="105" t="s">
        <v>3243</v>
      </c>
    </row>
    <row r="177" spans="1:8" ht="13.5" customHeight="1" x14ac:dyDescent="0.25">
      <c r="A177" s="13" t="s">
        <v>1004</v>
      </c>
      <c r="B177" s="49" t="s">
        <v>660</v>
      </c>
      <c r="C177" s="101" t="s">
        <v>1005</v>
      </c>
      <c r="D177" s="14" t="s">
        <v>3253</v>
      </c>
      <c r="E177" s="14" t="s">
        <v>3242</v>
      </c>
      <c r="F177" s="64" t="s">
        <v>566</v>
      </c>
      <c r="G177" s="104">
        <v>1.1499999999999999</v>
      </c>
      <c r="H177" s="105" t="s">
        <v>3243</v>
      </c>
    </row>
    <row r="178" spans="1:8" ht="13.5" customHeight="1" x14ac:dyDescent="0.25">
      <c r="A178" s="24" t="s">
        <v>1006</v>
      </c>
      <c r="B178" s="38" t="s">
        <v>660</v>
      </c>
      <c r="C178" s="100" t="s">
        <v>1007</v>
      </c>
      <c r="D178" s="25" t="s">
        <v>3253</v>
      </c>
      <c r="E178" s="25" t="s">
        <v>3242</v>
      </c>
      <c r="F178" s="64" t="s">
        <v>566</v>
      </c>
      <c r="G178" s="104">
        <v>1.1499999999999999</v>
      </c>
      <c r="H178" s="105" t="s">
        <v>3243</v>
      </c>
    </row>
    <row r="179" spans="1:8" ht="13.5" customHeight="1" x14ac:dyDescent="0.25">
      <c r="A179" s="13" t="s">
        <v>1008</v>
      </c>
      <c r="B179" s="49" t="s">
        <v>660</v>
      </c>
      <c r="C179" s="101" t="s">
        <v>1009</v>
      </c>
      <c r="D179" s="14" t="s">
        <v>3253</v>
      </c>
      <c r="E179" s="14" t="s">
        <v>3242</v>
      </c>
      <c r="F179" s="64" t="s">
        <v>566</v>
      </c>
      <c r="G179" s="104">
        <v>1.1499999999999999</v>
      </c>
      <c r="H179" s="105" t="s">
        <v>3243</v>
      </c>
    </row>
    <row r="180" spans="1:8" ht="13.5" customHeight="1" x14ac:dyDescent="0.25">
      <c r="A180" s="24" t="s">
        <v>1010</v>
      </c>
      <c r="B180" s="38" t="s">
        <v>660</v>
      </c>
      <c r="C180" s="100" t="s">
        <v>1011</v>
      </c>
      <c r="D180" s="25" t="s">
        <v>3253</v>
      </c>
      <c r="E180" s="25" t="s">
        <v>3242</v>
      </c>
      <c r="F180" s="64" t="s">
        <v>566</v>
      </c>
      <c r="G180" s="104">
        <v>1.1499999999999999</v>
      </c>
      <c r="H180" s="105" t="s">
        <v>3243</v>
      </c>
    </row>
    <row r="181" spans="1:8" ht="13.5" customHeight="1" x14ac:dyDescent="0.25">
      <c r="A181" s="13" t="s">
        <v>1012</v>
      </c>
      <c r="B181" s="49" t="s">
        <v>660</v>
      </c>
      <c r="C181" s="101" t="s">
        <v>1013</v>
      </c>
      <c r="D181" s="14" t="s">
        <v>3253</v>
      </c>
      <c r="E181" s="14" t="s">
        <v>3242</v>
      </c>
      <c r="F181" s="64" t="s">
        <v>566</v>
      </c>
      <c r="G181" s="104">
        <v>1.1499999999999999</v>
      </c>
      <c r="H181" s="105" t="s">
        <v>3243</v>
      </c>
    </row>
    <row r="182" spans="1:8" ht="13.5" customHeight="1" x14ac:dyDescent="0.25">
      <c r="A182" s="24" t="s">
        <v>1014</v>
      </c>
      <c r="B182" s="38" t="s">
        <v>660</v>
      </c>
      <c r="C182" s="100" t="s">
        <v>1015</v>
      </c>
      <c r="D182" s="25" t="s">
        <v>3253</v>
      </c>
      <c r="E182" s="25" t="s">
        <v>3242</v>
      </c>
      <c r="F182" s="64" t="s">
        <v>566</v>
      </c>
      <c r="G182" s="104">
        <v>1.1499999999999999</v>
      </c>
      <c r="H182" s="105" t="s">
        <v>3243</v>
      </c>
    </row>
    <row r="183" spans="1:8" ht="13.5" customHeight="1" x14ac:dyDescent="0.25">
      <c r="A183" s="13" t="s">
        <v>1016</v>
      </c>
      <c r="B183" s="49" t="s">
        <v>660</v>
      </c>
      <c r="C183" s="101" t="s">
        <v>1017</v>
      </c>
      <c r="D183" s="14" t="s">
        <v>3253</v>
      </c>
      <c r="E183" s="14" t="s">
        <v>3242</v>
      </c>
      <c r="F183" s="64" t="s">
        <v>566</v>
      </c>
      <c r="G183" s="104">
        <v>1.1499999999999999</v>
      </c>
      <c r="H183" s="105" t="s">
        <v>3243</v>
      </c>
    </row>
    <row r="184" spans="1:8" ht="13.5" customHeight="1" x14ac:dyDescent="0.25">
      <c r="A184" s="24" t="s">
        <v>1018</v>
      </c>
      <c r="B184" s="38" t="s">
        <v>660</v>
      </c>
      <c r="C184" s="100" t="s">
        <v>1019</v>
      </c>
      <c r="D184" s="25" t="s">
        <v>3253</v>
      </c>
      <c r="E184" s="25" t="s">
        <v>3242</v>
      </c>
      <c r="F184" s="64" t="s">
        <v>566</v>
      </c>
      <c r="G184" s="104">
        <v>1.1499999999999999</v>
      </c>
      <c r="H184" s="105" t="s">
        <v>3243</v>
      </c>
    </row>
    <row r="185" spans="1:8" ht="13.5" customHeight="1" x14ac:dyDescent="0.25">
      <c r="A185" s="13" t="s">
        <v>1020</v>
      </c>
      <c r="B185" s="49" t="s">
        <v>660</v>
      </c>
      <c r="C185" s="101" t="s">
        <v>1021</v>
      </c>
      <c r="D185" s="14" t="s">
        <v>3253</v>
      </c>
      <c r="E185" s="14" t="s">
        <v>3242</v>
      </c>
      <c r="F185" s="64" t="s">
        <v>566</v>
      </c>
      <c r="G185" s="104">
        <v>1.1499999999999999</v>
      </c>
      <c r="H185" s="105" t="s">
        <v>3243</v>
      </c>
    </row>
    <row r="186" spans="1:8" ht="13.5" customHeight="1" x14ac:dyDescent="0.25">
      <c r="A186" s="24" t="s">
        <v>1022</v>
      </c>
      <c r="B186" s="38" t="s">
        <v>660</v>
      </c>
      <c r="C186" s="100" t="s">
        <v>1023</v>
      </c>
      <c r="D186" s="25" t="s">
        <v>3253</v>
      </c>
      <c r="E186" s="25" t="s">
        <v>3242</v>
      </c>
      <c r="F186" s="64" t="s">
        <v>566</v>
      </c>
      <c r="G186" s="104">
        <v>1.1499999999999999</v>
      </c>
      <c r="H186" s="105" t="s">
        <v>3243</v>
      </c>
    </row>
    <row r="187" spans="1:8" ht="13.5" customHeight="1" x14ac:dyDescent="0.25">
      <c r="A187" s="13" t="s">
        <v>1024</v>
      </c>
      <c r="B187" s="49" t="s">
        <v>660</v>
      </c>
      <c r="C187" s="101" t="s">
        <v>1025</v>
      </c>
      <c r="D187" s="14" t="s">
        <v>3254</v>
      </c>
      <c r="E187" s="14" t="s">
        <v>3242</v>
      </c>
      <c r="F187" s="40" t="s">
        <v>477</v>
      </c>
      <c r="G187" s="102">
        <v>1</v>
      </c>
      <c r="H187" s="105" t="s">
        <v>3243</v>
      </c>
    </row>
    <row r="188" spans="1:8" ht="13.5" customHeight="1" x14ac:dyDescent="0.25">
      <c r="A188" s="24" t="s">
        <v>1026</v>
      </c>
      <c r="B188" s="38" t="s">
        <v>660</v>
      </c>
      <c r="C188" s="100" t="s">
        <v>1027</v>
      </c>
      <c r="D188" s="25" t="s">
        <v>3254</v>
      </c>
      <c r="E188" s="25" t="s">
        <v>3242</v>
      </c>
      <c r="F188" s="40" t="s">
        <v>477</v>
      </c>
      <c r="G188" s="102">
        <v>1</v>
      </c>
      <c r="H188" s="105" t="s">
        <v>3243</v>
      </c>
    </row>
    <row r="189" spans="1:8" ht="13.5" customHeight="1" x14ac:dyDescent="0.25">
      <c r="A189" s="13" t="s">
        <v>1028</v>
      </c>
      <c r="B189" s="49" t="s">
        <v>660</v>
      </c>
      <c r="C189" s="101" t="s">
        <v>1029</v>
      </c>
      <c r="D189" s="14" t="s">
        <v>3254</v>
      </c>
      <c r="E189" s="14" t="s">
        <v>3242</v>
      </c>
      <c r="F189" s="40" t="s">
        <v>477</v>
      </c>
      <c r="G189" s="102">
        <v>1</v>
      </c>
      <c r="H189" s="105" t="s">
        <v>3243</v>
      </c>
    </row>
    <row r="190" spans="1:8" ht="13.5" customHeight="1" x14ac:dyDescent="0.25">
      <c r="A190" s="24" t="s">
        <v>1030</v>
      </c>
      <c r="B190" s="38" t="s">
        <v>660</v>
      </c>
      <c r="C190" s="100" t="s">
        <v>1031</v>
      </c>
      <c r="D190" s="25" t="s">
        <v>3254</v>
      </c>
      <c r="E190" s="25" t="s">
        <v>3242</v>
      </c>
      <c r="F190" s="40" t="s">
        <v>477</v>
      </c>
      <c r="G190" s="102">
        <v>1</v>
      </c>
      <c r="H190" s="105" t="s">
        <v>3243</v>
      </c>
    </row>
    <row r="191" spans="1:8" ht="13.5" customHeight="1" x14ac:dyDescent="0.25">
      <c r="A191" s="13" t="s">
        <v>1032</v>
      </c>
      <c r="B191" s="49" t="s">
        <v>660</v>
      </c>
      <c r="C191" s="101" t="s">
        <v>1033</v>
      </c>
      <c r="D191" s="14" t="s">
        <v>3254</v>
      </c>
      <c r="E191" s="14" t="s">
        <v>3242</v>
      </c>
      <c r="F191" s="40" t="s">
        <v>477</v>
      </c>
      <c r="G191" s="102">
        <v>1</v>
      </c>
      <c r="H191" s="105" t="s">
        <v>3243</v>
      </c>
    </row>
    <row r="192" spans="1:8" ht="13.5" customHeight="1" x14ac:dyDescent="0.25">
      <c r="A192" s="24" t="s">
        <v>1034</v>
      </c>
      <c r="B192" s="38" t="s">
        <v>660</v>
      </c>
      <c r="C192" s="100" t="s">
        <v>1035</v>
      </c>
      <c r="D192" s="25" t="s">
        <v>3254</v>
      </c>
      <c r="E192" s="25" t="s">
        <v>3242</v>
      </c>
      <c r="F192" s="40" t="s">
        <v>477</v>
      </c>
      <c r="G192" s="102">
        <v>1</v>
      </c>
      <c r="H192" s="105" t="s">
        <v>3243</v>
      </c>
    </row>
    <row r="193" spans="1:8" ht="13.5" customHeight="1" x14ac:dyDescent="0.25">
      <c r="A193" s="13" t="s">
        <v>1036</v>
      </c>
      <c r="B193" s="49" t="s">
        <v>660</v>
      </c>
      <c r="C193" s="101" t="s">
        <v>1037</v>
      </c>
      <c r="D193" s="14" t="s">
        <v>3255</v>
      </c>
      <c r="E193" s="14" t="s">
        <v>3242</v>
      </c>
      <c r="F193" s="40" t="s">
        <v>477</v>
      </c>
      <c r="G193" s="102">
        <v>1</v>
      </c>
      <c r="H193" s="105" t="s">
        <v>3243</v>
      </c>
    </row>
    <row r="194" spans="1:8" ht="13.5" customHeight="1" x14ac:dyDescent="0.25">
      <c r="A194" s="24" t="s">
        <v>1038</v>
      </c>
      <c r="B194" s="38" t="s">
        <v>660</v>
      </c>
      <c r="C194" s="100" t="s">
        <v>1039</v>
      </c>
      <c r="D194" s="25" t="s">
        <v>3255</v>
      </c>
      <c r="E194" s="25" t="s">
        <v>3242</v>
      </c>
      <c r="F194" s="40" t="s">
        <v>477</v>
      </c>
      <c r="G194" s="102">
        <v>1</v>
      </c>
      <c r="H194" s="105" t="s">
        <v>3243</v>
      </c>
    </row>
    <row r="195" spans="1:8" ht="13.5" customHeight="1" x14ac:dyDescent="0.25">
      <c r="A195" s="13" t="s">
        <v>1040</v>
      </c>
      <c r="B195" s="49" t="s">
        <v>660</v>
      </c>
      <c r="C195" s="101" t="s">
        <v>1041</v>
      </c>
      <c r="D195" s="14" t="s">
        <v>3255</v>
      </c>
      <c r="E195" s="14" t="s">
        <v>3242</v>
      </c>
      <c r="F195" s="40" t="s">
        <v>477</v>
      </c>
      <c r="G195" s="102">
        <v>1</v>
      </c>
      <c r="H195" s="105" t="s">
        <v>3243</v>
      </c>
    </row>
    <row r="196" spans="1:8" ht="13.5" customHeight="1" x14ac:dyDescent="0.25">
      <c r="A196" s="24" t="s">
        <v>1042</v>
      </c>
      <c r="B196" s="38" t="s">
        <v>660</v>
      </c>
      <c r="C196" s="100" t="s">
        <v>1043</v>
      </c>
      <c r="D196" s="25" t="s">
        <v>3255</v>
      </c>
      <c r="E196" s="25" t="s">
        <v>3242</v>
      </c>
      <c r="F196" s="40" t="s">
        <v>477</v>
      </c>
      <c r="G196" s="102">
        <v>1</v>
      </c>
      <c r="H196" s="105" t="s">
        <v>3243</v>
      </c>
    </row>
    <row r="197" spans="1:8" ht="13.5" customHeight="1" x14ac:dyDescent="0.25">
      <c r="A197" s="13" t="s">
        <v>1044</v>
      </c>
      <c r="B197" s="49" t="s">
        <v>660</v>
      </c>
      <c r="C197" s="101" t="s">
        <v>1045</v>
      </c>
      <c r="D197" s="14" t="s">
        <v>3255</v>
      </c>
      <c r="E197" s="14" t="s">
        <v>3242</v>
      </c>
      <c r="F197" s="40" t="s">
        <v>477</v>
      </c>
      <c r="G197" s="102">
        <v>1</v>
      </c>
      <c r="H197" s="105" t="s">
        <v>3243</v>
      </c>
    </row>
    <row r="198" spans="1:8" ht="13.5" customHeight="1" x14ac:dyDescent="0.25">
      <c r="A198" s="24" t="s">
        <v>1046</v>
      </c>
      <c r="B198" s="38" t="s">
        <v>660</v>
      </c>
      <c r="C198" s="100" t="s">
        <v>1047</v>
      </c>
      <c r="D198" s="25" t="s">
        <v>3255</v>
      </c>
      <c r="E198" s="25" t="s">
        <v>3242</v>
      </c>
      <c r="F198" s="40" t="s">
        <v>477</v>
      </c>
      <c r="G198" s="102">
        <v>1</v>
      </c>
      <c r="H198" s="105" t="s">
        <v>3243</v>
      </c>
    </row>
    <row r="199" spans="1:8" ht="13.5" customHeight="1" x14ac:dyDescent="0.25">
      <c r="A199" s="13" t="s">
        <v>1048</v>
      </c>
      <c r="B199" s="49" t="s">
        <v>660</v>
      </c>
      <c r="C199" s="101" t="s">
        <v>1049</v>
      </c>
      <c r="D199" s="14" t="s">
        <v>3255</v>
      </c>
      <c r="E199" s="14" t="s">
        <v>3242</v>
      </c>
      <c r="F199" s="40" t="s">
        <v>477</v>
      </c>
      <c r="G199" s="102">
        <v>1</v>
      </c>
      <c r="H199" s="105" t="s">
        <v>3243</v>
      </c>
    </row>
    <row r="200" spans="1:8" ht="13.5" customHeight="1" x14ac:dyDescent="0.25">
      <c r="A200" s="24" t="s">
        <v>1050</v>
      </c>
      <c r="B200" s="38" t="s">
        <v>660</v>
      </c>
      <c r="C200" s="100" t="s">
        <v>1051</v>
      </c>
      <c r="D200" s="25" t="s">
        <v>3255</v>
      </c>
      <c r="E200" s="25" t="s">
        <v>3242</v>
      </c>
      <c r="F200" s="40" t="s">
        <v>477</v>
      </c>
      <c r="G200" s="102">
        <v>1</v>
      </c>
      <c r="H200" s="105" t="s">
        <v>3243</v>
      </c>
    </row>
    <row r="201" spans="1:8" ht="13.5" customHeight="1" x14ac:dyDescent="0.25">
      <c r="A201" s="13" t="s">
        <v>1052</v>
      </c>
      <c r="B201" s="49" t="s">
        <v>660</v>
      </c>
      <c r="C201" s="101" t="s">
        <v>1053</v>
      </c>
      <c r="D201" s="14" t="s">
        <v>3255</v>
      </c>
      <c r="E201" s="14" t="s">
        <v>3242</v>
      </c>
      <c r="F201" s="40" t="s">
        <v>477</v>
      </c>
      <c r="G201" s="102">
        <v>1</v>
      </c>
      <c r="H201" s="105" t="s">
        <v>3243</v>
      </c>
    </row>
    <row r="202" spans="1:8" ht="13.5" customHeight="1" x14ac:dyDescent="0.25">
      <c r="A202" s="24" t="s">
        <v>1054</v>
      </c>
      <c r="B202" s="38" t="s">
        <v>660</v>
      </c>
      <c r="C202" s="100" t="s">
        <v>1055</v>
      </c>
      <c r="D202" s="25" t="s">
        <v>3255</v>
      </c>
      <c r="E202" s="25" t="s">
        <v>3242</v>
      </c>
      <c r="F202" s="40" t="s">
        <v>477</v>
      </c>
      <c r="G202" s="102">
        <v>1</v>
      </c>
      <c r="H202" s="105" t="s">
        <v>3243</v>
      </c>
    </row>
    <row r="203" spans="1:8" ht="13.5" customHeight="1" x14ac:dyDescent="0.25">
      <c r="A203" s="13" t="s">
        <v>1056</v>
      </c>
      <c r="B203" s="49" t="s">
        <v>660</v>
      </c>
      <c r="C203" s="101" t="s">
        <v>1057</v>
      </c>
      <c r="D203" s="14" t="s">
        <v>3256</v>
      </c>
      <c r="E203" s="14" t="s">
        <v>3242</v>
      </c>
      <c r="F203" s="64" t="s">
        <v>566</v>
      </c>
      <c r="G203" s="104">
        <v>1.1499999999999999</v>
      </c>
      <c r="H203" s="105" t="s">
        <v>3243</v>
      </c>
    </row>
    <row r="204" spans="1:8" ht="13.5" customHeight="1" x14ac:dyDescent="0.25">
      <c r="A204" s="24" t="s">
        <v>1058</v>
      </c>
      <c r="B204" s="38" t="s">
        <v>660</v>
      </c>
      <c r="C204" s="100" t="s">
        <v>1059</v>
      </c>
      <c r="D204" s="25" t="s">
        <v>3256</v>
      </c>
      <c r="E204" s="25" t="s">
        <v>3242</v>
      </c>
      <c r="F204" s="64" t="s">
        <v>566</v>
      </c>
      <c r="G204" s="104">
        <v>1.1499999999999999</v>
      </c>
      <c r="H204" s="105" t="s">
        <v>3243</v>
      </c>
    </row>
    <row r="205" spans="1:8" ht="13.5" customHeight="1" x14ac:dyDescent="0.25">
      <c r="A205" s="13" t="s">
        <v>1060</v>
      </c>
      <c r="B205" s="49" t="s">
        <v>660</v>
      </c>
      <c r="C205" s="101" t="s">
        <v>1061</v>
      </c>
      <c r="D205" s="14" t="s">
        <v>3256</v>
      </c>
      <c r="E205" s="14" t="s">
        <v>3242</v>
      </c>
      <c r="F205" s="64" t="s">
        <v>566</v>
      </c>
      <c r="G205" s="104">
        <v>1.1499999999999999</v>
      </c>
      <c r="H205" s="105" t="s">
        <v>3243</v>
      </c>
    </row>
    <row r="206" spans="1:8" ht="13.5" customHeight="1" x14ac:dyDescent="0.25">
      <c r="A206" s="24" t="s">
        <v>1062</v>
      </c>
      <c r="B206" s="38" t="s">
        <v>660</v>
      </c>
      <c r="C206" s="100" t="s">
        <v>1063</v>
      </c>
      <c r="D206" s="25" t="s">
        <v>3256</v>
      </c>
      <c r="E206" s="25" t="s">
        <v>3242</v>
      </c>
      <c r="F206" s="64" t="s">
        <v>566</v>
      </c>
      <c r="G206" s="104">
        <v>1.1499999999999999</v>
      </c>
      <c r="H206" s="105" t="s">
        <v>3243</v>
      </c>
    </row>
    <row r="207" spans="1:8" ht="13.5" customHeight="1" x14ac:dyDescent="0.25">
      <c r="A207" s="13" t="s">
        <v>1064</v>
      </c>
      <c r="B207" s="49" t="s">
        <v>660</v>
      </c>
      <c r="C207" s="101" t="s">
        <v>1065</v>
      </c>
      <c r="D207" s="14" t="s">
        <v>3256</v>
      </c>
      <c r="E207" s="14" t="s">
        <v>3242</v>
      </c>
      <c r="F207" s="64" t="s">
        <v>566</v>
      </c>
      <c r="G207" s="104">
        <v>1.1499999999999999</v>
      </c>
      <c r="H207" s="105" t="s">
        <v>3243</v>
      </c>
    </row>
    <row r="208" spans="1:8" ht="13.5" customHeight="1" x14ac:dyDescent="0.25">
      <c r="A208" s="24" t="s">
        <v>1066</v>
      </c>
      <c r="B208" s="38" t="s">
        <v>660</v>
      </c>
      <c r="C208" s="100" t="s">
        <v>1067</v>
      </c>
      <c r="D208" s="25" t="s">
        <v>3256</v>
      </c>
      <c r="E208" s="25" t="s">
        <v>3242</v>
      </c>
      <c r="F208" s="64" t="s">
        <v>566</v>
      </c>
      <c r="G208" s="104">
        <v>1.1499999999999999</v>
      </c>
      <c r="H208" s="105" t="s">
        <v>3243</v>
      </c>
    </row>
    <row r="209" spans="1:8" ht="13.5" customHeight="1" x14ac:dyDescent="0.25">
      <c r="A209" s="13" t="s">
        <v>1068</v>
      </c>
      <c r="B209" s="49" t="s">
        <v>660</v>
      </c>
      <c r="C209" s="101" t="s">
        <v>1069</v>
      </c>
      <c r="D209" s="14" t="s">
        <v>3256</v>
      </c>
      <c r="E209" s="14" t="s">
        <v>3242</v>
      </c>
      <c r="F209" s="64" t="s">
        <v>566</v>
      </c>
      <c r="G209" s="104">
        <v>1.1499999999999999</v>
      </c>
      <c r="H209" s="105" t="s">
        <v>3243</v>
      </c>
    </row>
    <row r="210" spans="1:8" ht="13.5" customHeight="1" x14ac:dyDescent="0.25">
      <c r="A210" s="24" t="s">
        <v>1070</v>
      </c>
      <c r="B210" s="38" t="s">
        <v>660</v>
      </c>
      <c r="C210" s="100" t="s">
        <v>1071</v>
      </c>
      <c r="D210" s="25" t="s">
        <v>3256</v>
      </c>
      <c r="E210" s="25" t="s">
        <v>3242</v>
      </c>
      <c r="F210" s="64" t="s">
        <v>566</v>
      </c>
      <c r="G210" s="104">
        <v>1.1499999999999999</v>
      </c>
      <c r="H210" s="105" t="s">
        <v>3243</v>
      </c>
    </row>
    <row r="211" spans="1:8" ht="13.5" customHeight="1" x14ac:dyDescent="0.25">
      <c r="A211" s="13" t="s">
        <v>1072</v>
      </c>
      <c r="B211" s="49" t="s">
        <v>660</v>
      </c>
      <c r="C211" s="101" t="s">
        <v>1073</v>
      </c>
      <c r="D211" s="14" t="s">
        <v>3256</v>
      </c>
      <c r="E211" s="14" t="s">
        <v>3242</v>
      </c>
      <c r="F211" s="64" t="s">
        <v>566</v>
      </c>
      <c r="G211" s="104">
        <v>1.1499999999999999</v>
      </c>
      <c r="H211" s="105" t="s">
        <v>3243</v>
      </c>
    </row>
    <row r="212" spans="1:8" ht="13.5" customHeight="1" x14ac:dyDescent="0.25">
      <c r="A212" s="24" t="s">
        <v>1074</v>
      </c>
      <c r="B212" s="38" t="s">
        <v>660</v>
      </c>
      <c r="C212" s="100" t="s">
        <v>1075</v>
      </c>
      <c r="D212" s="25" t="s">
        <v>3256</v>
      </c>
      <c r="E212" s="25" t="s">
        <v>3242</v>
      </c>
      <c r="F212" s="64" t="s">
        <v>566</v>
      </c>
      <c r="G212" s="104">
        <v>1.1499999999999999</v>
      </c>
      <c r="H212" s="105" t="s">
        <v>3243</v>
      </c>
    </row>
    <row r="213" spans="1:8" ht="13.5" customHeight="1" x14ac:dyDescent="0.25">
      <c r="A213" s="13" t="s">
        <v>1076</v>
      </c>
      <c r="B213" s="49" t="s">
        <v>660</v>
      </c>
      <c r="C213" s="101" t="s">
        <v>1077</v>
      </c>
      <c r="D213" s="14" t="s">
        <v>3256</v>
      </c>
      <c r="E213" s="14" t="s">
        <v>3242</v>
      </c>
      <c r="F213" s="64" t="s">
        <v>566</v>
      </c>
      <c r="G213" s="104">
        <v>1.1499999999999999</v>
      </c>
      <c r="H213" s="105" t="s">
        <v>3243</v>
      </c>
    </row>
    <row r="214" spans="1:8" ht="13.5" customHeight="1" x14ac:dyDescent="0.25">
      <c r="A214" s="24" t="s">
        <v>1078</v>
      </c>
      <c r="B214" s="38" t="s">
        <v>660</v>
      </c>
      <c r="C214" s="100" t="s">
        <v>1079</v>
      </c>
      <c r="D214" s="25" t="s">
        <v>3256</v>
      </c>
      <c r="E214" s="25" t="s">
        <v>3242</v>
      </c>
      <c r="F214" s="64" t="s">
        <v>566</v>
      </c>
      <c r="G214" s="104">
        <v>1.1499999999999999</v>
      </c>
      <c r="H214" s="105" t="s">
        <v>3243</v>
      </c>
    </row>
    <row r="215" spans="1:8" ht="13.5" customHeight="1" x14ac:dyDescent="0.25">
      <c r="A215" s="13" t="s">
        <v>1080</v>
      </c>
      <c r="B215" s="49" t="s">
        <v>660</v>
      </c>
      <c r="C215" s="101" t="s">
        <v>1081</v>
      </c>
      <c r="D215" s="14" t="s">
        <v>3256</v>
      </c>
      <c r="E215" s="14" t="s">
        <v>3242</v>
      </c>
      <c r="F215" s="64" t="s">
        <v>566</v>
      </c>
      <c r="G215" s="104">
        <v>1.1499999999999999</v>
      </c>
      <c r="H215" s="105" t="s">
        <v>3243</v>
      </c>
    </row>
    <row r="216" spans="1:8" ht="13.5" customHeight="1" x14ac:dyDescent="0.25">
      <c r="A216" s="24" t="s">
        <v>1082</v>
      </c>
      <c r="B216" s="38" t="s">
        <v>660</v>
      </c>
      <c r="C216" s="100" t="s">
        <v>1083</v>
      </c>
      <c r="D216" s="25" t="s">
        <v>3256</v>
      </c>
      <c r="E216" s="25" t="s">
        <v>3242</v>
      </c>
      <c r="F216" s="64" t="s">
        <v>566</v>
      </c>
      <c r="G216" s="104">
        <v>1.1499999999999999</v>
      </c>
      <c r="H216" s="105" t="s">
        <v>3243</v>
      </c>
    </row>
    <row r="217" spans="1:8" ht="13.5" customHeight="1" x14ac:dyDescent="0.25">
      <c r="A217" s="13" t="s">
        <v>1084</v>
      </c>
      <c r="B217" s="49" t="s">
        <v>660</v>
      </c>
      <c r="C217" s="101" t="s">
        <v>1085</v>
      </c>
      <c r="D217" s="14" t="s">
        <v>3256</v>
      </c>
      <c r="E217" s="14" t="s">
        <v>3242</v>
      </c>
      <c r="F217" s="64" t="s">
        <v>566</v>
      </c>
      <c r="G217" s="104">
        <v>1.1499999999999999</v>
      </c>
      <c r="H217" s="105" t="s">
        <v>3243</v>
      </c>
    </row>
    <row r="218" spans="1:8" ht="13.5" customHeight="1" x14ac:dyDescent="0.25">
      <c r="A218" s="24" t="s">
        <v>1086</v>
      </c>
      <c r="B218" s="38" t="s">
        <v>660</v>
      </c>
      <c r="C218" s="100" t="s">
        <v>1087</v>
      </c>
      <c r="D218" s="25" t="s">
        <v>3256</v>
      </c>
      <c r="E218" s="25" t="s">
        <v>3242</v>
      </c>
      <c r="F218" s="64" t="s">
        <v>566</v>
      </c>
      <c r="G218" s="104">
        <v>1.1499999999999999</v>
      </c>
      <c r="H218" s="105" t="s">
        <v>3243</v>
      </c>
    </row>
    <row r="219" spans="1:8" ht="13.5" customHeight="1" x14ac:dyDescent="0.25">
      <c r="A219" s="13" t="s">
        <v>1088</v>
      </c>
      <c r="B219" s="49" t="s">
        <v>660</v>
      </c>
      <c r="C219" s="101" t="s">
        <v>1089</v>
      </c>
      <c r="D219" s="14" t="s">
        <v>3256</v>
      </c>
      <c r="E219" s="14" t="s">
        <v>3242</v>
      </c>
      <c r="F219" s="64" t="s">
        <v>566</v>
      </c>
      <c r="G219" s="104">
        <v>1.1499999999999999</v>
      </c>
      <c r="H219" s="105" t="s">
        <v>3243</v>
      </c>
    </row>
    <row r="220" spans="1:8" ht="13.5" customHeight="1" x14ac:dyDescent="0.25">
      <c r="A220" s="24" t="s">
        <v>1090</v>
      </c>
      <c r="B220" s="38" t="s">
        <v>660</v>
      </c>
      <c r="C220" s="100" t="s">
        <v>1091</v>
      </c>
      <c r="D220" s="25" t="s">
        <v>3256</v>
      </c>
      <c r="E220" s="25" t="s">
        <v>3242</v>
      </c>
      <c r="F220" s="64" t="s">
        <v>566</v>
      </c>
      <c r="G220" s="104">
        <v>1.1499999999999999</v>
      </c>
      <c r="H220" s="105" t="s">
        <v>3243</v>
      </c>
    </row>
    <row r="221" spans="1:8" ht="13.5" customHeight="1" x14ac:dyDescent="0.25">
      <c r="A221" s="13" t="s">
        <v>1092</v>
      </c>
      <c r="B221" s="49" t="s">
        <v>660</v>
      </c>
      <c r="C221" s="101" t="s">
        <v>1093</v>
      </c>
      <c r="D221" s="14" t="s">
        <v>3256</v>
      </c>
      <c r="E221" s="14" t="s">
        <v>3242</v>
      </c>
      <c r="F221" s="64" t="s">
        <v>566</v>
      </c>
      <c r="G221" s="104">
        <v>1.1499999999999999</v>
      </c>
      <c r="H221" s="105" t="s">
        <v>3243</v>
      </c>
    </row>
    <row r="222" spans="1:8" ht="13.5" customHeight="1" x14ac:dyDescent="0.25">
      <c r="A222" s="24" t="s">
        <v>1094</v>
      </c>
      <c r="B222" s="38" t="s">
        <v>660</v>
      </c>
      <c r="C222" s="100" t="s">
        <v>1095</v>
      </c>
      <c r="D222" s="25" t="s">
        <v>3256</v>
      </c>
      <c r="E222" s="25" t="s">
        <v>3242</v>
      </c>
      <c r="F222" s="64" t="s">
        <v>566</v>
      </c>
      <c r="G222" s="104">
        <v>1.1499999999999999</v>
      </c>
      <c r="H222" s="105" t="s">
        <v>3243</v>
      </c>
    </row>
    <row r="223" spans="1:8" ht="13.5" customHeight="1" x14ac:dyDescent="0.25">
      <c r="A223" s="13" t="s">
        <v>1096</v>
      </c>
      <c r="B223" s="49" t="s">
        <v>660</v>
      </c>
      <c r="C223" s="101" t="s">
        <v>1097</v>
      </c>
      <c r="D223" s="14" t="s">
        <v>3256</v>
      </c>
      <c r="E223" s="14" t="s">
        <v>3242</v>
      </c>
      <c r="F223" s="64" t="s">
        <v>566</v>
      </c>
      <c r="G223" s="104">
        <v>1.1499999999999999</v>
      </c>
      <c r="H223" s="105" t="s">
        <v>3243</v>
      </c>
    </row>
    <row r="224" spans="1:8" ht="13.5" customHeight="1" x14ac:dyDescent="0.25">
      <c r="A224" s="24" t="s">
        <v>1098</v>
      </c>
      <c r="B224" s="38" t="s">
        <v>660</v>
      </c>
      <c r="C224" s="100" t="s">
        <v>1099</v>
      </c>
      <c r="D224" s="25" t="s">
        <v>3256</v>
      </c>
      <c r="E224" s="25" t="s">
        <v>3242</v>
      </c>
      <c r="F224" s="64" t="s">
        <v>566</v>
      </c>
      <c r="G224" s="104">
        <v>1.1499999999999999</v>
      </c>
      <c r="H224" s="105" t="s">
        <v>3243</v>
      </c>
    </row>
    <row r="225" spans="1:8" ht="13.5" customHeight="1" x14ac:dyDescent="0.25">
      <c r="A225" s="13" t="s">
        <v>1100</v>
      </c>
      <c r="B225" s="49" t="s">
        <v>660</v>
      </c>
      <c r="C225" s="101" t="s">
        <v>1101</v>
      </c>
      <c r="D225" s="14" t="s">
        <v>1102</v>
      </c>
      <c r="E225" s="14" t="s">
        <v>3242</v>
      </c>
      <c r="F225" s="64" t="s">
        <v>566</v>
      </c>
      <c r="G225" s="104">
        <v>1.1499999999999999</v>
      </c>
      <c r="H225" s="105" t="s">
        <v>3243</v>
      </c>
    </row>
    <row r="226" spans="1:8" ht="13.5" customHeight="1" x14ac:dyDescent="0.25">
      <c r="A226" s="24" t="s">
        <v>1103</v>
      </c>
      <c r="B226" s="38" t="s">
        <v>660</v>
      </c>
      <c r="C226" s="100" t="s">
        <v>1104</v>
      </c>
      <c r="D226" s="25" t="s">
        <v>1102</v>
      </c>
      <c r="E226" s="25" t="s">
        <v>3242</v>
      </c>
      <c r="F226" s="64" t="s">
        <v>566</v>
      </c>
      <c r="G226" s="104">
        <v>1.1499999999999999</v>
      </c>
      <c r="H226" s="105" t="s">
        <v>3243</v>
      </c>
    </row>
    <row r="227" spans="1:8" ht="13.5" customHeight="1" x14ac:dyDescent="0.25">
      <c r="A227" s="13" t="s">
        <v>1105</v>
      </c>
      <c r="B227" s="49" t="s">
        <v>660</v>
      </c>
      <c r="C227" s="101" t="s">
        <v>1106</v>
      </c>
      <c r="D227" s="14" t="s">
        <v>1102</v>
      </c>
      <c r="E227" s="14" t="s">
        <v>3242</v>
      </c>
      <c r="F227" s="64" t="s">
        <v>566</v>
      </c>
      <c r="G227" s="104">
        <v>1.1499999999999999</v>
      </c>
      <c r="H227" s="105" t="s">
        <v>3243</v>
      </c>
    </row>
    <row r="228" spans="1:8" ht="13.5" customHeight="1" x14ac:dyDescent="0.25">
      <c r="A228" s="24" t="s">
        <v>1107</v>
      </c>
      <c r="B228" s="38" t="s">
        <v>660</v>
      </c>
      <c r="C228" s="100" t="s">
        <v>1108</v>
      </c>
      <c r="D228" s="25" t="s">
        <v>1102</v>
      </c>
      <c r="E228" s="25" t="s">
        <v>3242</v>
      </c>
      <c r="F228" s="64" t="s">
        <v>566</v>
      </c>
      <c r="G228" s="104">
        <v>1.1499999999999999</v>
      </c>
      <c r="H228" s="105" t="s">
        <v>3243</v>
      </c>
    </row>
    <row r="229" spans="1:8" ht="13.5" customHeight="1" x14ac:dyDescent="0.25">
      <c r="A229" s="13" t="s">
        <v>1109</v>
      </c>
      <c r="B229" s="49" t="s">
        <v>660</v>
      </c>
      <c r="C229" s="101" t="s">
        <v>1110</v>
      </c>
      <c r="D229" s="14" t="s">
        <v>1102</v>
      </c>
      <c r="E229" s="14" t="s">
        <v>3242</v>
      </c>
      <c r="F229" s="64" t="s">
        <v>566</v>
      </c>
      <c r="G229" s="104">
        <v>1.1499999999999999</v>
      </c>
      <c r="H229" s="105" t="s">
        <v>3243</v>
      </c>
    </row>
    <row r="230" spans="1:8" ht="13.5" customHeight="1" x14ac:dyDescent="0.25">
      <c r="A230" s="24" t="s">
        <v>1111</v>
      </c>
      <c r="B230" s="38" t="s">
        <v>660</v>
      </c>
      <c r="C230" s="100" t="s">
        <v>1112</v>
      </c>
      <c r="D230" s="25" t="s">
        <v>1102</v>
      </c>
      <c r="E230" s="25" t="s">
        <v>3242</v>
      </c>
      <c r="F230" s="64" t="s">
        <v>566</v>
      </c>
      <c r="G230" s="104">
        <v>1.1499999999999999</v>
      </c>
      <c r="H230" s="105" t="s">
        <v>3243</v>
      </c>
    </row>
    <row r="231" spans="1:8" ht="13.5" customHeight="1" x14ac:dyDescent="0.25">
      <c r="A231" s="13" t="s">
        <v>1113</v>
      </c>
      <c r="B231" s="49" t="s">
        <v>660</v>
      </c>
      <c r="C231" s="101" t="s">
        <v>1114</v>
      </c>
      <c r="D231" s="14" t="s">
        <v>1102</v>
      </c>
      <c r="E231" s="14" t="s">
        <v>3242</v>
      </c>
      <c r="F231" s="64" t="s">
        <v>566</v>
      </c>
      <c r="G231" s="104">
        <v>1.1499999999999999</v>
      </c>
      <c r="H231" s="105" t="s">
        <v>3243</v>
      </c>
    </row>
    <row r="232" spans="1:8" ht="13.5" customHeight="1" x14ac:dyDescent="0.25">
      <c r="A232" s="24" t="s">
        <v>1115</v>
      </c>
      <c r="B232" s="38" t="s">
        <v>660</v>
      </c>
      <c r="C232" s="100" t="s">
        <v>1116</v>
      </c>
      <c r="D232" s="25" t="s">
        <v>1102</v>
      </c>
      <c r="E232" s="25" t="s">
        <v>3242</v>
      </c>
      <c r="F232" s="64" t="s">
        <v>566</v>
      </c>
      <c r="G232" s="104">
        <v>1.1499999999999999</v>
      </c>
      <c r="H232" s="105" t="s">
        <v>3243</v>
      </c>
    </row>
    <row r="233" spans="1:8" ht="13.5" customHeight="1" x14ac:dyDescent="0.25">
      <c r="A233" s="13" t="s">
        <v>1117</v>
      </c>
      <c r="B233" s="49" t="s">
        <v>660</v>
      </c>
      <c r="C233" s="101" t="s">
        <v>1118</v>
      </c>
      <c r="D233" s="14" t="s">
        <v>1102</v>
      </c>
      <c r="E233" s="14" t="s">
        <v>3242</v>
      </c>
      <c r="F233" s="64" t="s">
        <v>566</v>
      </c>
      <c r="G233" s="104">
        <v>1.1499999999999999</v>
      </c>
      <c r="H233" s="105" t="s">
        <v>3243</v>
      </c>
    </row>
    <row r="234" spans="1:8" ht="13.5" customHeight="1" x14ac:dyDescent="0.25">
      <c r="A234" s="24" t="s">
        <v>1119</v>
      </c>
      <c r="B234" s="38" t="s">
        <v>660</v>
      </c>
      <c r="C234" s="100" t="s">
        <v>1120</v>
      </c>
      <c r="D234" s="25" t="s">
        <v>1102</v>
      </c>
      <c r="E234" s="25" t="s">
        <v>3242</v>
      </c>
      <c r="F234" s="64" t="s">
        <v>566</v>
      </c>
      <c r="G234" s="104">
        <v>1.1499999999999999</v>
      </c>
      <c r="H234" s="105" t="s">
        <v>3243</v>
      </c>
    </row>
    <row r="235" spans="1:8" ht="13.5" customHeight="1" x14ac:dyDescent="0.25">
      <c r="A235" s="13" t="s">
        <v>1121</v>
      </c>
      <c r="B235" s="49" t="s">
        <v>660</v>
      </c>
      <c r="C235" s="101" t="s">
        <v>1122</v>
      </c>
      <c r="D235" s="14" t="s">
        <v>1102</v>
      </c>
      <c r="E235" s="14" t="s">
        <v>3242</v>
      </c>
      <c r="F235" s="64" t="s">
        <v>566</v>
      </c>
      <c r="G235" s="104">
        <v>1.1499999999999999</v>
      </c>
      <c r="H235" s="105" t="s">
        <v>3243</v>
      </c>
    </row>
    <row r="236" spans="1:8" ht="13.5" customHeight="1" x14ac:dyDescent="0.25">
      <c r="A236" s="24" t="s">
        <v>1123</v>
      </c>
      <c r="B236" s="38" t="s">
        <v>660</v>
      </c>
      <c r="C236" s="100" t="s">
        <v>1124</v>
      </c>
      <c r="D236" s="25" t="s">
        <v>1102</v>
      </c>
      <c r="E236" s="25" t="s">
        <v>3242</v>
      </c>
      <c r="F236" s="64" t="s">
        <v>566</v>
      </c>
      <c r="G236" s="104">
        <v>1.1499999999999999</v>
      </c>
      <c r="H236" s="105" t="s">
        <v>3243</v>
      </c>
    </row>
    <row r="237" spans="1:8" ht="13.5" customHeight="1" x14ac:dyDescent="0.25">
      <c r="A237" s="13" t="s">
        <v>1125</v>
      </c>
      <c r="B237" s="49" t="s">
        <v>660</v>
      </c>
      <c r="C237" s="101" t="s">
        <v>1126</v>
      </c>
      <c r="D237" s="14" t="s">
        <v>1102</v>
      </c>
      <c r="E237" s="14" t="s">
        <v>3242</v>
      </c>
      <c r="F237" s="64" t="s">
        <v>566</v>
      </c>
      <c r="G237" s="104">
        <v>1.1499999999999999</v>
      </c>
      <c r="H237" s="105" t="s">
        <v>3243</v>
      </c>
    </row>
    <row r="238" spans="1:8" ht="13.5" customHeight="1" x14ac:dyDescent="0.25">
      <c r="A238" s="24" t="s">
        <v>1127</v>
      </c>
      <c r="B238" s="38" t="s">
        <v>660</v>
      </c>
      <c r="C238" s="100" t="s">
        <v>1128</v>
      </c>
      <c r="D238" s="25" t="s">
        <v>1102</v>
      </c>
      <c r="E238" s="25" t="s">
        <v>3242</v>
      </c>
      <c r="F238" s="64" t="s">
        <v>566</v>
      </c>
      <c r="G238" s="104">
        <v>1.1499999999999999</v>
      </c>
      <c r="H238" s="105" t="s">
        <v>3243</v>
      </c>
    </row>
    <row r="239" spans="1:8" ht="13.5" customHeight="1" x14ac:dyDescent="0.25">
      <c r="A239" s="13" t="s">
        <v>1129</v>
      </c>
      <c r="B239" s="49" t="s">
        <v>660</v>
      </c>
      <c r="C239" s="101" t="s">
        <v>1130</v>
      </c>
      <c r="D239" s="14" t="s">
        <v>1102</v>
      </c>
      <c r="E239" s="14" t="s">
        <v>3242</v>
      </c>
      <c r="F239" s="64" t="s">
        <v>566</v>
      </c>
      <c r="G239" s="104">
        <v>1.1499999999999999</v>
      </c>
      <c r="H239" s="105" t="s">
        <v>3243</v>
      </c>
    </row>
    <row r="240" spans="1:8" ht="13.5" customHeight="1" x14ac:dyDescent="0.25">
      <c r="A240" s="24" t="s">
        <v>1131</v>
      </c>
      <c r="B240" s="38" t="s">
        <v>660</v>
      </c>
      <c r="C240" s="100" t="s">
        <v>1132</v>
      </c>
      <c r="D240" s="25" t="s">
        <v>1102</v>
      </c>
      <c r="E240" s="25" t="s">
        <v>3242</v>
      </c>
      <c r="F240" s="64" t="s">
        <v>566</v>
      </c>
      <c r="G240" s="104">
        <v>1.1499999999999999</v>
      </c>
      <c r="H240" s="105" t="s">
        <v>3243</v>
      </c>
    </row>
    <row r="241" spans="1:8" ht="13.5" customHeight="1" x14ac:dyDescent="0.25">
      <c r="A241" s="13" t="s">
        <v>1133</v>
      </c>
      <c r="B241" s="49" t="s">
        <v>660</v>
      </c>
      <c r="C241" s="101" t="s">
        <v>1134</v>
      </c>
      <c r="D241" s="14" t="s">
        <v>1102</v>
      </c>
      <c r="E241" s="14" t="s">
        <v>3242</v>
      </c>
      <c r="F241" s="64" t="s">
        <v>566</v>
      </c>
      <c r="G241" s="104">
        <v>1.1499999999999999</v>
      </c>
      <c r="H241" s="105" t="s">
        <v>3243</v>
      </c>
    </row>
    <row r="242" spans="1:8" ht="13.5" customHeight="1" x14ac:dyDescent="0.25">
      <c r="A242" s="24" t="s">
        <v>1135</v>
      </c>
      <c r="B242" s="38" t="s">
        <v>660</v>
      </c>
      <c r="C242" s="100" t="s">
        <v>1136</v>
      </c>
      <c r="D242" s="25" t="s">
        <v>1102</v>
      </c>
      <c r="E242" s="25" t="s">
        <v>3242</v>
      </c>
      <c r="F242" s="64" t="s">
        <v>566</v>
      </c>
      <c r="G242" s="104">
        <v>1.1499999999999999</v>
      </c>
      <c r="H242" s="105" t="s">
        <v>3243</v>
      </c>
    </row>
    <row r="243" spans="1:8" ht="13.5" customHeight="1" x14ac:dyDescent="0.25">
      <c r="A243" s="13" t="s">
        <v>1137</v>
      </c>
      <c r="B243" s="49" t="s">
        <v>660</v>
      </c>
      <c r="C243" s="101" t="s">
        <v>1138</v>
      </c>
      <c r="D243" s="14" t="s">
        <v>1102</v>
      </c>
      <c r="E243" s="14" t="s">
        <v>3242</v>
      </c>
      <c r="F243" s="64" t="s">
        <v>566</v>
      </c>
      <c r="G243" s="104">
        <v>1.1499999999999999</v>
      </c>
      <c r="H243" s="105" t="s">
        <v>3243</v>
      </c>
    </row>
    <row r="244" spans="1:8" ht="13.5" customHeight="1" x14ac:dyDescent="0.25">
      <c r="A244" s="24" t="s">
        <v>1139</v>
      </c>
      <c r="B244" s="38" t="s">
        <v>660</v>
      </c>
      <c r="C244" s="100" t="s">
        <v>1140</v>
      </c>
      <c r="D244" s="25" t="s">
        <v>1102</v>
      </c>
      <c r="E244" s="25" t="s">
        <v>3242</v>
      </c>
      <c r="F244" s="64" t="s">
        <v>566</v>
      </c>
      <c r="G244" s="104">
        <v>1.1499999999999999</v>
      </c>
      <c r="H244" s="105" t="s">
        <v>3243</v>
      </c>
    </row>
    <row r="245" spans="1:8" ht="13.5" customHeight="1" x14ac:dyDescent="0.25">
      <c r="A245" s="13" t="s">
        <v>1141</v>
      </c>
      <c r="B245" s="49" t="s">
        <v>660</v>
      </c>
      <c r="C245" s="101" t="s">
        <v>1142</v>
      </c>
      <c r="D245" s="14" t="s">
        <v>1102</v>
      </c>
      <c r="E245" s="14" t="s">
        <v>3242</v>
      </c>
      <c r="F245" s="64" t="s">
        <v>566</v>
      </c>
      <c r="G245" s="104">
        <v>1.1499999999999999</v>
      </c>
      <c r="H245" s="105" t="s">
        <v>3243</v>
      </c>
    </row>
    <row r="246" spans="1:8" ht="13.5" customHeight="1" x14ac:dyDescent="0.25">
      <c r="A246" s="24" t="s">
        <v>1143</v>
      </c>
      <c r="B246" s="38" t="s">
        <v>660</v>
      </c>
      <c r="C246" s="100" t="s">
        <v>1144</v>
      </c>
      <c r="D246" s="25" t="s">
        <v>3257</v>
      </c>
      <c r="E246" s="25" t="s">
        <v>3242</v>
      </c>
      <c r="F246" s="64" t="s">
        <v>566</v>
      </c>
      <c r="G246" s="104">
        <v>1.1499999999999999</v>
      </c>
      <c r="H246" s="105" t="s">
        <v>3243</v>
      </c>
    </row>
    <row r="247" spans="1:8" ht="13.5" customHeight="1" x14ac:dyDescent="0.25">
      <c r="A247" s="13" t="s">
        <v>1145</v>
      </c>
      <c r="B247" s="49" t="s">
        <v>660</v>
      </c>
      <c r="C247" s="101" t="s">
        <v>1146</v>
      </c>
      <c r="D247" s="14" t="s">
        <v>3257</v>
      </c>
      <c r="E247" s="14" t="s">
        <v>3242</v>
      </c>
      <c r="F247" s="64" t="s">
        <v>566</v>
      </c>
      <c r="G247" s="104">
        <v>1.1499999999999999</v>
      </c>
      <c r="H247" s="105" t="s">
        <v>3243</v>
      </c>
    </row>
    <row r="248" spans="1:8" ht="13.5" customHeight="1" x14ac:dyDescent="0.25">
      <c r="A248" s="24" t="s">
        <v>1147</v>
      </c>
      <c r="B248" s="38" t="s">
        <v>660</v>
      </c>
      <c r="C248" s="100" t="s">
        <v>1148</v>
      </c>
      <c r="D248" s="25" t="s">
        <v>3257</v>
      </c>
      <c r="E248" s="25" t="s">
        <v>3242</v>
      </c>
      <c r="F248" s="64" t="s">
        <v>566</v>
      </c>
      <c r="G248" s="104">
        <v>1.1499999999999999</v>
      </c>
      <c r="H248" s="105" t="s">
        <v>3243</v>
      </c>
    </row>
    <row r="249" spans="1:8" ht="13.5" customHeight="1" x14ac:dyDescent="0.25">
      <c r="A249" s="13" t="s">
        <v>1149</v>
      </c>
      <c r="B249" s="49" t="s">
        <v>660</v>
      </c>
      <c r="C249" s="101" t="s">
        <v>1150</v>
      </c>
      <c r="D249" s="14" t="s">
        <v>3257</v>
      </c>
      <c r="E249" s="14" t="s">
        <v>3242</v>
      </c>
      <c r="F249" s="64" t="s">
        <v>566</v>
      </c>
      <c r="G249" s="104">
        <v>1.1499999999999999</v>
      </c>
      <c r="H249" s="105" t="s">
        <v>3243</v>
      </c>
    </row>
    <row r="250" spans="1:8" ht="13.5" customHeight="1" x14ac:dyDescent="0.25">
      <c r="A250" s="24" t="s">
        <v>1151</v>
      </c>
      <c r="B250" s="38" t="s">
        <v>660</v>
      </c>
      <c r="C250" s="100" t="s">
        <v>1152</v>
      </c>
      <c r="D250" s="25" t="s">
        <v>3257</v>
      </c>
      <c r="E250" s="25" t="s">
        <v>3242</v>
      </c>
      <c r="F250" s="64" t="s">
        <v>566</v>
      </c>
      <c r="G250" s="104">
        <v>1.1499999999999999</v>
      </c>
      <c r="H250" s="105" t="s">
        <v>3243</v>
      </c>
    </row>
    <row r="251" spans="1:8" ht="13.5" customHeight="1" x14ac:dyDescent="0.25">
      <c r="A251" s="13" t="s">
        <v>1153</v>
      </c>
      <c r="B251" s="49" t="s">
        <v>660</v>
      </c>
      <c r="C251" s="101" t="s">
        <v>1154</v>
      </c>
      <c r="D251" s="14" t="s">
        <v>3257</v>
      </c>
      <c r="E251" s="14" t="s">
        <v>3242</v>
      </c>
      <c r="F251" s="64" t="s">
        <v>566</v>
      </c>
      <c r="G251" s="104">
        <v>1.1499999999999999</v>
      </c>
      <c r="H251" s="105" t="s">
        <v>3243</v>
      </c>
    </row>
    <row r="252" spans="1:8" ht="13.5" customHeight="1" x14ac:dyDescent="0.25">
      <c r="A252" s="24" t="s">
        <v>1155</v>
      </c>
      <c r="B252" s="38" t="s">
        <v>660</v>
      </c>
      <c r="C252" s="100" t="s">
        <v>1156</v>
      </c>
      <c r="D252" s="25" t="s">
        <v>3257</v>
      </c>
      <c r="E252" s="25" t="s">
        <v>3242</v>
      </c>
      <c r="F252" s="64" t="s">
        <v>566</v>
      </c>
      <c r="G252" s="104">
        <v>1.1499999999999999</v>
      </c>
      <c r="H252" s="105" t="s">
        <v>3243</v>
      </c>
    </row>
    <row r="253" spans="1:8" ht="13.5" customHeight="1" x14ac:dyDescent="0.25">
      <c r="A253" s="13" t="s">
        <v>1157</v>
      </c>
      <c r="B253" s="49" t="s">
        <v>660</v>
      </c>
      <c r="C253" s="101" t="s">
        <v>1158</v>
      </c>
      <c r="D253" s="14" t="s">
        <v>3257</v>
      </c>
      <c r="E253" s="14" t="s">
        <v>3242</v>
      </c>
      <c r="F253" s="64" t="s">
        <v>566</v>
      </c>
      <c r="G253" s="104">
        <v>1.1499999999999999</v>
      </c>
      <c r="H253" s="105" t="s">
        <v>3243</v>
      </c>
    </row>
    <row r="254" spans="1:8" ht="13.5" customHeight="1" x14ac:dyDescent="0.25">
      <c r="A254" s="24" t="s">
        <v>1159</v>
      </c>
      <c r="B254" s="38" t="s">
        <v>660</v>
      </c>
      <c r="C254" s="100" t="s">
        <v>1160</v>
      </c>
      <c r="D254" s="25" t="s">
        <v>3257</v>
      </c>
      <c r="E254" s="25" t="s">
        <v>3242</v>
      </c>
      <c r="F254" s="64" t="s">
        <v>566</v>
      </c>
      <c r="G254" s="104">
        <v>1.1499999999999999</v>
      </c>
      <c r="H254" s="105" t="s">
        <v>3243</v>
      </c>
    </row>
    <row r="255" spans="1:8" ht="13.5" customHeight="1" x14ac:dyDescent="0.25">
      <c r="A255" s="13" t="s">
        <v>1161</v>
      </c>
      <c r="B255" s="49" t="s">
        <v>660</v>
      </c>
      <c r="C255" s="101" t="s">
        <v>1162</v>
      </c>
      <c r="D255" s="14" t="s">
        <v>3257</v>
      </c>
      <c r="E255" s="14" t="s">
        <v>3242</v>
      </c>
      <c r="F255" s="64" t="s">
        <v>566</v>
      </c>
      <c r="G255" s="104">
        <v>1.1499999999999999</v>
      </c>
      <c r="H255" s="105" t="s">
        <v>3243</v>
      </c>
    </row>
    <row r="256" spans="1:8" ht="13.5" customHeight="1" x14ac:dyDescent="0.25">
      <c r="A256" s="24" t="s">
        <v>1163</v>
      </c>
      <c r="B256" s="38" t="s">
        <v>660</v>
      </c>
      <c r="C256" s="100" t="s">
        <v>1164</v>
      </c>
      <c r="D256" s="25" t="s">
        <v>3257</v>
      </c>
      <c r="E256" s="25" t="s">
        <v>3242</v>
      </c>
      <c r="F256" s="64" t="s">
        <v>566</v>
      </c>
      <c r="G256" s="104">
        <v>1.1499999999999999</v>
      </c>
      <c r="H256" s="105" t="s">
        <v>3243</v>
      </c>
    </row>
    <row r="257" spans="1:8" ht="13.5" customHeight="1" x14ac:dyDescent="0.25">
      <c r="A257" s="13" t="s">
        <v>1165</v>
      </c>
      <c r="B257" s="49" t="s">
        <v>660</v>
      </c>
      <c r="C257" s="101" t="s">
        <v>1166</v>
      </c>
      <c r="D257" s="14" t="s">
        <v>3257</v>
      </c>
      <c r="E257" s="14" t="s">
        <v>3242</v>
      </c>
      <c r="F257" s="64" t="s">
        <v>566</v>
      </c>
      <c r="G257" s="104">
        <v>1.1499999999999999</v>
      </c>
      <c r="H257" s="105" t="s">
        <v>3243</v>
      </c>
    </row>
    <row r="258" spans="1:8" ht="13.5" customHeight="1" x14ac:dyDescent="0.25">
      <c r="A258" s="24" t="s">
        <v>1167</v>
      </c>
      <c r="B258" s="38" t="s">
        <v>660</v>
      </c>
      <c r="C258" s="100" t="s">
        <v>1168</v>
      </c>
      <c r="D258" s="25" t="s">
        <v>3257</v>
      </c>
      <c r="E258" s="25" t="s">
        <v>3242</v>
      </c>
      <c r="F258" s="64" t="s">
        <v>566</v>
      </c>
      <c r="G258" s="104">
        <v>1.1499999999999999</v>
      </c>
      <c r="H258" s="105" t="s">
        <v>3243</v>
      </c>
    </row>
    <row r="259" spans="1:8" ht="13.5" customHeight="1" x14ac:dyDescent="0.25">
      <c r="A259" s="13" t="s">
        <v>1169</v>
      </c>
      <c r="B259" s="49" t="s">
        <v>660</v>
      </c>
      <c r="C259" s="101" t="s">
        <v>1170</v>
      </c>
      <c r="D259" s="14" t="s">
        <v>3257</v>
      </c>
      <c r="E259" s="14" t="s">
        <v>3242</v>
      </c>
      <c r="F259" s="64" t="s">
        <v>566</v>
      </c>
      <c r="G259" s="104">
        <v>1.1499999999999999</v>
      </c>
      <c r="H259" s="105" t="s">
        <v>3243</v>
      </c>
    </row>
    <row r="260" spans="1:8" ht="13.5" customHeight="1" x14ac:dyDescent="0.25">
      <c r="A260" s="24" t="s">
        <v>1171</v>
      </c>
      <c r="B260" s="38" t="s">
        <v>660</v>
      </c>
      <c r="C260" s="100" t="s">
        <v>1172</v>
      </c>
      <c r="D260" s="25" t="s">
        <v>3257</v>
      </c>
      <c r="E260" s="25" t="s">
        <v>3242</v>
      </c>
      <c r="F260" s="64" t="s">
        <v>566</v>
      </c>
      <c r="G260" s="104">
        <v>1.1499999999999999</v>
      </c>
      <c r="H260" s="105" t="s">
        <v>3243</v>
      </c>
    </row>
    <row r="261" spans="1:8" ht="13.5" customHeight="1" x14ac:dyDescent="0.25">
      <c r="A261" s="13" t="s">
        <v>1173</v>
      </c>
      <c r="B261" s="49" t="s">
        <v>660</v>
      </c>
      <c r="C261" s="101" t="s">
        <v>1174</v>
      </c>
      <c r="D261" s="14" t="s">
        <v>3257</v>
      </c>
      <c r="E261" s="14" t="s">
        <v>3242</v>
      </c>
      <c r="F261" s="64" t="s">
        <v>566</v>
      </c>
      <c r="G261" s="104">
        <v>1.1499999999999999</v>
      </c>
      <c r="H261" s="105" t="s">
        <v>3243</v>
      </c>
    </row>
    <row r="262" spans="1:8" ht="13.5" customHeight="1" x14ac:dyDescent="0.25">
      <c r="A262" s="24" t="s">
        <v>1175</v>
      </c>
      <c r="B262" s="38" t="s">
        <v>660</v>
      </c>
      <c r="C262" s="100" t="s">
        <v>1176</v>
      </c>
      <c r="D262" s="25" t="s">
        <v>3257</v>
      </c>
      <c r="E262" s="25" t="s">
        <v>3242</v>
      </c>
      <c r="F262" s="64" t="s">
        <v>566</v>
      </c>
      <c r="G262" s="104">
        <v>1.1499999999999999</v>
      </c>
      <c r="H262" s="105" t="s">
        <v>3243</v>
      </c>
    </row>
    <row r="263" spans="1:8" ht="13.5" customHeight="1" x14ac:dyDescent="0.25">
      <c r="A263" s="13" t="s">
        <v>1177</v>
      </c>
      <c r="B263" s="49" t="s">
        <v>660</v>
      </c>
      <c r="C263" s="101" t="s">
        <v>1178</v>
      </c>
      <c r="D263" s="14" t="s">
        <v>3257</v>
      </c>
      <c r="E263" s="14" t="s">
        <v>3242</v>
      </c>
      <c r="F263" s="64" t="s">
        <v>566</v>
      </c>
      <c r="G263" s="104">
        <v>1.1499999999999999</v>
      </c>
      <c r="H263" s="105" t="s">
        <v>3243</v>
      </c>
    </row>
    <row r="264" spans="1:8" ht="13.5" customHeight="1" x14ac:dyDescent="0.25">
      <c r="A264" s="24" t="s">
        <v>1179</v>
      </c>
      <c r="B264" s="38" t="s">
        <v>660</v>
      </c>
      <c r="C264" s="100" t="s">
        <v>1180</v>
      </c>
      <c r="D264" s="25" t="s">
        <v>3257</v>
      </c>
      <c r="E264" s="25" t="s">
        <v>3242</v>
      </c>
      <c r="F264" s="64" t="s">
        <v>566</v>
      </c>
      <c r="G264" s="104">
        <v>1.1499999999999999</v>
      </c>
      <c r="H264" s="105" t="s">
        <v>3243</v>
      </c>
    </row>
    <row r="265" spans="1:8" ht="13.5" customHeight="1" x14ac:dyDescent="0.25">
      <c r="A265" s="13" t="s">
        <v>1181</v>
      </c>
      <c r="B265" s="49" t="s">
        <v>660</v>
      </c>
      <c r="C265" s="101" t="s">
        <v>1182</v>
      </c>
      <c r="D265" s="14" t="s">
        <v>3257</v>
      </c>
      <c r="E265" s="14" t="s">
        <v>3242</v>
      </c>
      <c r="F265" s="64" t="s">
        <v>566</v>
      </c>
      <c r="G265" s="104">
        <v>1.1499999999999999</v>
      </c>
      <c r="H265" s="105" t="s">
        <v>3243</v>
      </c>
    </row>
    <row r="266" spans="1:8" ht="13.5" customHeight="1" x14ac:dyDescent="0.25">
      <c r="A266" s="24" t="s">
        <v>1183</v>
      </c>
      <c r="B266" s="38" t="s">
        <v>660</v>
      </c>
      <c r="C266" s="100" t="s">
        <v>1184</v>
      </c>
      <c r="D266" s="25" t="s">
        <v>3257</v>
      </c>
      <c r="E266" s="25" t="s">
        <v>3242</v>
      </c>
      <c r="F266" s="64" t="s">
        <v>566</v>
      </c>
      <c r="G266" s="104">
        <v>1.1499999999999999</v>
      </c>
      <c r="H266" s="105" t="s">
        <v>3243</v>
      </c>
    </row>
    <row r="267" spans="1:8" ht="13.5" customHeight="1" x14ac:dyDescent="0.25">
      <c r="A267" s="13" t="s">
        <v>1185</v>
      </c>
      <c r="B267" s="49" t="s">
        <v>660</v>
      </c>
      <c r="C267" s="101" t="s">
        <v>1186</v>
      </c>
      <c r="D267" s="14" t="s">
        <v>3257</v>
      </c>
      <c r="E267" s="14" t="s">
        <v>3242</v>
      </c>
      <c r="F267" s="64" t="s">
        <v>566</v>
      </c>
      <c r="G267" s="104">
        <v>1.1499999999999999</v>
      </c>
      <c r="H267" s="105" t="s">
        <v>3243</v>
      </c>
    </row>
    <row r="268" spans="1:8" ht="13.5" customHeight="1" x14ac:dyDescent="0.25">
      <c r="A268" s="24" t="s">
        <v>1187</v>
      </c>
      <c r="B268" s="38" t="s">
        <v>660</v>
      </c>
      <c r="C268" s="100" t="s">
        <v>1188</v>
      </c>
      <c r="D268" s="25" t="s">
        <v>3257</v>
      </c>
      <c r="E268" s="25" t="s">
        <v>3242</v>
      </c>
      <c r="F268" s="64" t="s">
        <v>566</v>
      </c>
      <c r="G268" s="104">
        <v>1.1499999999999999</v>
      </c>
      <c r="H268" s="105" t="s">
        <v>3243</v>
      </c>
    </row>
    <row r="269" spans="1:8" ht="13.5" customHeight="1" x14ac:dyDescent="0.25">
      <c r="A269" s="13" t="s">
        <v>1189</v>
      </c>
      <c r="B269" s="49" t="s">
        <v>660</v>
      </c>
      <c r="C269" s="101" t="s">
        <v>1190</v>
      </c>
      <c r="D269" s="14" t="s">
        <v>3258</v>
      </c>
      <c r="E269" s="14" t="s">
        <v>3242</v>
      </c>
      <c r="F269" s="65" t="s">
        <v>841</v>
      </c>
      <c r="G269" s="106">
        <v>0.9</v>
      </c>
      <c r="H269" s="105" t="s">
        <v>3243</v>
      </c>
    </row>
    <row r="270" spans="1:8" ht="13.5" customHeight="1" x14ac:dyDescent="0.25">
      <c r="A270" s="24" t="s">
        <v>1192</v>
      </c>
      <c r="B270" s="38" t="s">
        <v>660</v>
      </c>
      <c r="C270" s="100" t="s">
        <v>1193</v>
      </c>
      <c r="D270" s="25" t="s">
        <v>3258</v>
      </c>
      <c r="E270" s="25" t="s">
        <v>3242</v>
      </c>
      <c r="F270" s="65" t="s">
        <v>841</v>
      </c>
      <c r="G270" s="106">
        <v>0.9</v>
      </c>
      <c r="H270" s="105" t="s">
        <v>3243</v>
      </c>
    </row>
    <row r="271" spans="1:8" ht="13.5" customHeight="1" x14ac:dyDescent="0.25">
      <c r="A271" s="13" t="s">
        <v>1194</v>
      </c>
      <c r="B271" s="49" t="s">
        <v>660</v>
      </c>
      <c r="C271" s="101" t="s">
        <v>1195</v>
      </c>
      <c r="D271" s="14" t="s">
        <v>3258</v>
      </c>
      <c r="E271" s="14" t="s">
        <v>3242</v>
      </c>
      <c r="F271" s="65" t="s">
        <v>841</v>
      </c>
      <c r="G271" s="106">
        <v>0.9</v>
      </c>
      <c r="H271" s="105" t="s">
        <v>3243</v>
      </c>
    </row>
    <row r="272" spans="1:8" ht="13.5" customHeight="1" x14ac:dyDescent="0.25">
      <c r="A272" s="24" t="s">
        <v>1196</v>
      </c>
      <c r="B272" s="38" t="s">
        <v>660</v>
      </c>
      <c r="C272" s="100" t="s">
        <v>1197</v>
      </c>
      <c r="D272" s="25" t="s">
        <v>3258</v>
      </c>
      <c r="E272" s="25" t="s">
        <v>3242</v>
      </c>
      <c r="F272" s="65" t="s">
        <v>841</v>
      </c>
      <c r="G272" s="106">
        <v>0.9</v>
      </c>
      <c r="H272" s="105" t="s">
        <v>3243</v>
      </c>
    </row>
    <row r="273" spans="1:8" ht="13.5" customHeight="1" x14ac:dyDescent="0.25">
      <c r="A273" s="13" t="s">
        <v>1198</v>
      </c>
      <c r="B273" s="49" t="s">
        <v>660</v>
      </c>
      <c r="C273" s="101" t="s">
        <v>1199</v>
      </c>
      <c r="D273" s="14" t="s">
        <v>3258</v>
      </c>
      <c r="E273" s="14" t="s">
        <v>3242</v>
      </c>
      <c r="F273" s="65" t="s">
        <v>841</v>
      </c>
      <c r="G273" s="106">
        <v>0.9</v>
      </c>
      <c r="H273" s="105" t="s">
        <v>3243</v>
      </c>
    </row>
    <row r="274" spans="1:8" ht="13.5" customHeight="1" x14ac:dyDescent="0.25">
      <c r="A274" s="24" t="s">
        <v>1200</v>
      </c>
      <c r="B274" s="38" t="s">
        <v>660</v>
      </c>
      <c r="C274" s="100" t="s">
        <v>1201</v>
      </c>
      <c r="D274" s="25" t="s">
        <v>3258</v>
      </c>
      <c r="E274" s="25" t="s">
        <v>3242</v>
      </c>
      <c r="F274" s="65" t="s">
        <v>841</v>
      </c>
      <c r="G274" s="106">
        <v>0.9</v>
      </c>
      <c r="H274" s="105" t="s">
        <v>3243</v>
      </c>
    </row>
    <row r="275" spans="1:8" ht="13.5" customHeight="1" x14ac:dyDescent="0.25">
      <c r="A275" s="13" t="s">
        <v>1202</v>
      </c>
      <c r="B275" s="49" t="s">
        <v>660</v>
      </c>
      <c r="C275" s="101" t="s">
        <v>1203</v>
      </c>
      <c r="D275" s="14" t="s">
        <v>3258</v>
      </c>
      <c r="E275" s="14" t="s">
        <v>3242</v>
      </c>
      <c r="F275" s="65" t="s">
        <v>841</v>
      </c>
      <c r="G275" s="106">
        <v>0.9</v>
      </c>
      <c r="H275" s="105" t="s">
        <v>3243</v>
      </c>
    </row>
    <row r="276" spans="1:8" ht="13.5" customHeight="1" x14ac:dyDescent="0.25">
      <c r="A276" s="24" t="s">
        <v>1204</v>
      </c>
      <c r="B276" s="38" t="s">
        <v>660</v>
      </c>
      <c r="C276" s="100" t="s">
        <v>1205</v>
      </c>
      <c r="D276" s="25" t="s">
        <v>3258</v>
      </c>
      <c r="E276" s="25" t="s">
        <v>3242</v>
      </c>
      <c r="F276" s="65" t="s">
        <v>841</v>
      </c>
      <c r="G276" s="106">
        <v>0.9</v>
      </c>
      <c r="H276" s="105" t="s">
        <v>3243</v>
      </c>
    </row>
    <row r="277" spans="1:8" ht="13.5" customHeight="1" x14ac:dyDescent="0.25">
      <c r="A277" s="13" t="s">
        <v>1206</v>
      </c>
      <c r="B277" s="49" t="s">
        <v>660</v>
      </c>
      <c r="C277" s="101" t="s">
        <v>1207</v>
      </c>
      <c r="D277" s="14" t="s">
        <v>3258</v>
      </c>
      <c r="E277" s="14" t="s">
        <v>3242</v>
      </c>
      <c r="F277" s="65" t="s">
        <v>841</v>
      </c>
      <c r="G277" s="106">
        <v>0.9</v>
      </c>
      <c r="H277" s="105" t="s">
        <v>3243</v>
      </c>
    </row>
    <row r="278" spans="1:8" ht="13.5" customHeight="1" x14ac:dyDescent="0.25">
      <c r="A278" s="24" t="s">
        <v>1208</v>
      </c>
      <c r="B278" s="38" t="s">
        <v>660</v>
      </c>
      <c r="C278" s="100" t="s">
        <v>1209</v>
      </c>
      <c r="D278" s="25" t="s">
        <v>3258</v>
      </c>
      <c r="E278" s="25" t="s">
        <v>3242</v>
      </c>
      <c r="F278" s="65" t="s">
        <v>841</v>
      </c>
      <c r="G278" s="106">
        <v>0.9</v>
      </c>
      <c r="H278" s="105" t="s">
        <v>3243</v>
      </c>
    </row>
    <row r="279" spans="1:8" ht="13.5" customHeight="1" x14ac:dyDescent="0.25">
      <c r="A279" s="13" t="s">
        <v>1210</v>
      </c>
      <c r="B279" s="49" t="s">
        <v>660</v>
      </c>
      <c r="C279" s="101" t="s">
        <v>1211</v>
      </c>
      <c r="D279" s="14" t="s">
        <v>3258</v>
      </c>
      <c r="E279" s="14" t="s">
        <v>3242</v>
      </c>
      <c r="F279" s="65" t="s">
        <v>841</v>
      </c>
      <c r="G279" s="106">
        <v>0.9</v>
      </c>
      <c r="H279" s="105" t="s">
        <v>3243</v>
      </c>
    </row>
    <row r="280" spans="1:8" ht="13.5" customHeight="1" x14ac:dyDescent="0.25">
      <c r="A280" s="24" t="s">
        <v>1212</v>
      </c>
      <c r="B280" s="38" t="s">
        <v>660</v>
      </c>
      <c r="C280" s="100" t="s">
        <v>1213</v>
      </c>
      <c r="D280" s="25" t="s">
        <v>3258</v>
      </c>
      <c r="E280" s="25" t="s">
        <v>3242</v>
      </c>
      <c r="F280" s="65" t="s">
        <v>841</v>
      </c>
      <c r="G280" s="106">
        <v>0.9</v>
      </c>
      <c r="H280" s="105" t="s">
        <v>3243</v>
      </c>
    </row>
    <row r="281" spans="1:8" ht="13.5" customHeight="1" x14ac:dyDescent="0.25">
      <c r="A281" s="13" t="s">
        <v>1214</v>
      </c>
      <c r="B281" s="49" t="s">
        <v>660</v>
      </c>
      <c r="C281" s="101" t="s">
        <v>1215</v>
      </c>
      <c r="D281" s="14" t="s">
        <v>3259</v>
      </c>
      <c r="E281" s="14" t="s">
        <v>3242</v>
      </c>
      <c r="F281" s="40" t="s">
        <v>477</v>
      </c>
      <c r="G281" s="102">
        <v>1</v>
      </c>
      <c r="H281" s="105" t="s">
        <v>3243</v>
      </c>
    </row>
    <row r="282" spans="1:8" ht="13.5" customHeight="1" x14ac:dyDescent="0.25">
      <c r="A282" s="24" t="s">
        <v>1217</v>
      </c>
      <c r="B282" s="38" t="s">
        <v>660</v>
      </c>
      <c r="C282" s="100" t="s">
        <v>1218</v>
      </c>
      <c r="D282" s="25" t="s">
        <v>3259</v>
      </c>
      <c r="E282" s="25" t="s">
        <v>3242</v>
      </c>
      <c r="F282" s="40" t="s">
        <v>477</v>
      </c>
      <c r="G282" s="102">
        <v>1</v>
      </c>
      <c r="H282" s="105" t="s">
        <v>3243</v>
      </c>
    </row>
    <row r="283" spans="1:8" ht="13.5" customHeight="1" x14ac:dyDescent="0.25">
      <c r="A283" s="13" t="s">
        <v>1219</v>
      </c>
      <c r="B283" s="49" t="s">
        <v>660</v>
      </c>
      <c r="C283" s="101" t="s">
        <v>1220</v>
      </c>
      <c r="D283" s="14" t="s">
        <v>3259</v>
      </c>
      <c r="E283" s="14" t="s">
        <v>3242</v>
      </c>
      <c r="F283" s="40" t="s">
        <v>477</v>
      </c>
      <c r="G283" s="102">
        <v>1</v>
      </c>
      <c r="H283" s="105" t="s">
        <v>3243</v>
      </c>
    </row>
    <row r="284" spans="1:8" ht="13.5" customHeight="1" x14ac:dyDescent="0.25">
      <c r="A284" s="24" t="s">
        <v>1221</v>
      </c>
      <c r="B284" s="38" t="s">
        <v>660</v>
      </c>
      <c r="C284" s="100" t="s">
        <v>1222</v>
      </c>
      <c r="D284" s="25" t="s">
        <v>3259</v>
      </c>
      <c r="E284" s="25" t="s">
        <v>3242</v>
      </c>
      <c r="F284" s="40" t="s">
        <v>477</v>
      </c>
      <c r="G284" s="102">
        <v>1</v>
      </c>
      <c r="H284" s="105" t="s">
        <v>3243</v>
      </c>
    </row>
    <row r="285" spans="1:8" ht="13.5" customHeight="1" x14ac:dyDescent="0.25">
      <c r="A285" s="13" t="s">
        <v>1223</v>
      </c>
      <c r="B285" s="49" t="s">
        <v>660</v>
      </c>
      <c r="C285" s="101" t="s">
        <v>1224</v>
      </c>
      <c r="D285" s="14" t="s">
        <v>3259</v>
      </c>
      <c r="E285" s="14" t="s">
        <v>3242</v>
      </c>
      <c r="F285" s="40" t="s">
        <v>477</v>
      </c>
      <c r="G285" s="102">
        <v>1</v>
      </c>
      <c r="H285" s="105" t="s">
        <v>3243</v>
      </c>
    </row>
    <row r="286" spans="1:8" ht="13.5" customHeight="1" x14ac:dyDescent="0.25">
      <c r="A286" s="24" t="s">
        <v>1225</v>
      </c>
      <c r="B286" s="38" t="s">
        <v>660</v>
      </c>
      <c r="C286" s="100" t="s">
        <v>1226</v>
      </c>
      <c r="D286" s="25" t="s">
        <v>3259</v>
      </c>
      <c r="E286" s="25" t="s">
        <v>3242</v>
      </c>
      <c r="F286" s="40" t="s">
        <v>477</v>
      </c>
      <c r="G286" s="102">
        <v>1</v>
      </c>
      <c r="H286" s="105" t="s">
        <v>3243</v>
      </c>
    </row>
    <row r="287" spans="1:8" ht="13.5" customHeight="1" x14ac:dyDescent="0.25">
      <c r="A287" s="13" t="s">
        <v>1227</v>
      </c>
      <c r="B287" s="49" t="s">
        <v>660</v>
      </c>
      <c r="C287" s="101" t="s">
        <v>1228</v>
      </c>
      <c r="D287" s="14" t="s">
        <v>3259</v>
      </c>
      <c r="E287" s="14" t="s">
        <v>3242</v>
      </c>
      <c r="F287" s="40" t="s">
        <v>477</v>
      </c>
      <c r="G287" s="102">
        <v>1</v>
      </c>
      <c r="H287" s="105" t="s">
        <v>3243</v>
      </c>
    </row>
    <row r="288" spans="1:8" ht="13.5" customHeight="1" x14ac:dyDescent="0.25">
      <c r="A288" s="24" t="s">
        <v>1229</v>
      </c>
      <c r="B288" s="38" t="s">
        <v>660</v>
      </c>
      <c r="C288" s="100" t="s">
        <v>1230</v>
      </c>
      <c r="D288" s="25" t="s">
        <v>3259</v>
      </c>
      <c r="E288" s="25" t="s">
        <v>3242</v>
      </c>
      <c r="F288" s="40" t="s">
        <v>477</v>
      </c>
      <c r="G288" s="102">
        <v>1</v>
      </c>
      <c r="H288" s="105" t="s">
        <v>3243</v>
      </c>
    </row>
    <row r="289" spans="1:8" ht="13.5" customHeight="1" x14ac:dyDescent="0.25">
      <c r="A289" s="13" t="s">
        <v>1231</v>
      </c>
      <c r="B289" s="49" t="s">
        <v>660</v>
      </c>
      <c r="C289" s="101" t="s">
        <v>1232</v>
      </c>
      <c r="D289" s="14" t="s">
        <v>3259</v>
      </c>
      <c r="E289" s="14" t="s">
        <v>3242</v>
      </c>
      <c r="F289" s="40" t="s">
        <v>477</v>
      </c>
      <c r="G289" s="102">
        <v>1</v>
      </c>
      <c r="H289" s="105" t="s">
        <v>3243</v>
      </c>
    </row>
    <row r="290" spans="1:8" ht="13.5" customHeight="1" x14ac:dyDescent="0.25">
      <c r="A290" s="24" t="s">
        <v>1233</v>
      </c>
      <c r="B290" s="38" t="s">
        <v>660</v>
      </c>
      <c r="C290" s="100" t="s">
        <v>1234</v>
      </c>
      <c r="D290" s="25" t="s">
        <v>3259</v>
      </c>
      <c r="E290" s="25" t="s">
        <v>3242</v>
      </c>
      <c r="F290" s="40" t="s">
        <v>477</v>
      </c>
      <c r="G290" s="102">
        <v>1</v>
      </c>
      <c r="H290" s="105" t="s">
        <v>3243</v>
      </c>
    </row>
    <row r="291" spans="1:8" ht="13.5" customHeight="1" x14ac:dyDescent="0.25">
      <c r="A291" s="13" t="s">
        <v>1235</v>
      </c>
      <c r="B291" s="49" t="s">
        <v>660</v>
      </c>
      <c r="C291" s="101" t="s">
        <v>1236</v>
      </c>
      <c r="D291" s="14" t="s">
        <v>3259</v>
      </c>
      <c r="E291" s="14" t="s">
        <v>3242</v>
      </c>
      <c r="F291" s="40" t="s">
        <v>477</v>
      </c>
      <c r="G291" s="102">
        <v>1</v>
      </c>
      <c r="H291" s="105" t="s">
        <v>3243</v>
      </c>
    </row>
    <row r="292" spans="1:8" ht="13.5" customHeight="1" x14ac:dyDescent="0.25">
      <c r="A292" s="24" t="s">
        <v>1237</v>
      </c>
      <c r="B292" s="38" t="s">
        <v>660</v>
      </c>
      <c r="C292" s="100" t="s">
        <v>1238</v>
      </c>
      <c r="D292" s="25" t="s">
        <v>3259</v>
      </c>
      <c r="E292" s="25" t="s">
        <v>3242</v>
      </c>
      <c r="F292" s="40" t="s">
        <v>477</v>
      </c>
      <c r="G292" s="102">
        <v>1</v>
      </c>
      <c r="H292" s="105" t="s">
        <v>3243</v>
      </c>
    </row>
    <row r="293" spans="1:8" ht="13.5" customHeight="1" x14ac:dyDescent="0.25">
      <c r="A293" s="13" t="s">
        <v>1239</v>
      </c>
      <c r="B293" s="49" t="s">
        <v>660</v>
      </c>
      <c r="C293" s="101" t="s">
        <v>1240</v>
      </c>
      <c r="D293" s="14" t="s">
        <v>3259</v>
      </c>
      <c r="E293" s="14" t="s">
        <v>3242</v>
      </c>
      <c r="F293" s="40" t="s">
        <v>477</v>
      </c>
      <c r="G293" s="102">
        <v>1</v>
      </c>
      <c r="H293" s="105" t="s">
        <v>3243</v>
      </c>
    </row>
    <row r="294" spans="1:8" ht="13.5" customHeight="1" x14ac:dyDescent="0.25">
      <c r="A294" s="24" t="s">
        <v>1241</v>
      </c>
      <c r="B294" s="38" t="s">
        <v>660</v>
      </c>
      <c r="C294" s="100" t="s">
        <v>1242</v>
      </c>
      <c r="D294" s="25" t="s">
        <v>3259</v>
      </c>
      <c r="E294" s="25" t="s">
        <v>3242</v>
      </c>
      <c r="F294" s="40" t="s">
        <v>477</v>
      </c>
      <c r="G294" s="102">
        <v>1</v>
      </c>
      <c r="H294" s="105" t="s">
        <v>3243</v>
      </c>
    </row>
    <row r="295" spans="1:8" ht="13.5" customHeight="1" x14ac:dyDescent="0.25">
      <c r="A295" s="13" t="s">
        <v>1243</v>
      </c>
      <c r="B295" s="49" t="s">
        <v>660</v>
      </c>
      <c r="C295" s="101" t="s">
        <v>1244</v>
      </c>
      <c r="D295" s="14" t="s">
        <v>3259</v>
      </c>
      <c r="E295" s="14" t="s">
        <v>3242</v>
      </c>
      <c r="F295" s="40" t="s">
        <v>477</v>
      </c>
      <c r="G295" s="102">
        <v>1</v>
      </c>
      <c r="H295" s="105" t="s">
        <v>3243</v>
      </c>
    </row>
    <row r="296" spans="1:8" ht="13.5" customHeight="1" x14ac:dyDescent="0.25">
      <c r="A296" s="24" t="s">
        <v>1245</v>
      </c>
      <c r="B296" s="38" t="s">
        <v>660</v>
      </c>
      <c r="C296" s="100" t="s">
        <v>1246</v>
      </c>
      <c r="D296" s="25" t="s">
        <v>3259</v>
      </c>
      <c r="E296" s="25" t="s">
        <v>3242</v>
      </c>
      <c r="F296" s="40" t="s">
        <v>477</v>
      </c>
      <c r="G296" s="102">
        <v>1</v>
      </c>
      <c r="H296" s="105" t="s">
        <v>3243</v>
      </c>
    </row>
    <row r="297" spans="1:8" ht="13.5" customHeight="1" x14ac:dyDescent="0.25">
      <c r="A297" s="13" t="s">
        <v>1247</v>
      </c>
      <c r="B297" s="49" t="s">
        <v>660</v>
      </c>
      <c r="C297" s="101" t="s">
        <v>1248</v>
      </c>
      <c r="D297" s="14" t="s">
        <v>3259</v>
      </c>
      <c r="E297" s="14" t="s">
        <v>3242</v>
      </c>
      <c r="F297" s="40" t="s">
        <v>477</v>
      </c>
      <c r="G297" s="102">
        <v>1</v>
      </c>
      <c r="H297" s="105" t="s">
        <v>3243</v>
      </c>
    </row>
    <row r="298" spans="1:8" ht="13.5" customHeight="1" x14ac:dyDescent="0.25">
      <c r="A298" s="24" t="s">
        <v>1249</v>
      </c>
      <c r="B298" s="38" t="s">
        <v>660</v>
      </c>
      <c r="C298" s="100" t="s">
        <v>1250</v>
      </c>
      <c r="D298" s="25" t="s">
        <v>3260</v>
      </c>
      <c r="E298" s="25" t="s">
        <v>3242</v>
      </c>
      <c r="F298" s="40" t="s">
        <v>477</v>
      </c>
      <c r="G298" s="102">
        <v>1</v>
      </c>
      <c r="H298" s="105" t="s">
        <v>3243</v>
      </c>
    </row>
    <row r="299" spans="1:8" ht="13.5" customHeight="1" x14ac:dyDescent="0.25">
      <c r="A299" s="13" t="s">
        <v>1251</v>
      </c>
      <c r="B299" s="49" t="s">
        <v>660</v>
      </c>
      <c r="C299" s="101" t="s">
        <v>1252</v>
      </c>
      <c r="D299" s="14" t="s">
        <v>3260</v>
      </c>
      <c r="E299" s="14" t="s">
        <v>3242</v>
      </c>
      <c r="F299" s="40" t="s">
        <v>477</v>
      </c>
      <c r="G299" s="102">
        <v>1</v>
      </c>
      <c r="H299" s="105" t="s">
        <v>3243</v>
      </c>
    </row>
    <row r="300" spans="1:8" ht="13.5" customHeight="1" x14ac:dyDescent="0.25">
      <c r="A300" s="24" t="s">
        <v>1253</v>
      </c>
      <c r="B300" s="38" t="s">
        <v>660</v>
      </c>
      <c r="C300" s="100" t="s">
        <v>1254</v>
      </c>
      <c r="D300" s="25" t="s">
        <v>3260</v>
      </c>
      <c r="E300" s="25" t="s">
        <v>3242</v>
      </c>
      <c r="F300" s="40" t="s">
        <v>477</v>
      </c>
      <c r="G300" s="102">
        <v>1</v>
      </c>
      <c r="H300" s="105" t="s">
        <v>3243</v>
      </c>
    </row>
    <row r="301" spans="1:8" ht="13.5" customHeight="1" x14ac:dyDescent="0.25">
      <c r="A301" s="13" t="s">
        <v>1255</v>
      </c>
      <c r="B301" s="49" t="s">
        <v>660</v>
      </c>
      <c r="C301" s="101" t="s">
        <v>1256</v>
      </c>
      <c r="D301" s="14" t="s">
        <v>3260</v>
      </c>
      <c r="E301" s="14" t="s">
        <v>3242</v>
      </c>
      <c r="F301" s="40" t="s">
        <v>477</v>
      </c>
      <c r="G301" s="102">
        <v>1</v>
      </c>
      <c r="H301" s="105" t="s">
        <v>3243</v>
      </c>
    </row>
    <row r="302" spans="1:8" ht="13.5" customHeight="1" x14ac:dyDescent="0.25">
      <c r="A302" s="24" t="s">
        <v>1257</v>
      </c>
      <c r="B302" s="38" t="s">
        <v>660</v>
      </c>
      <c r="C302" s="100" t="s">
        <v>1258</v>
      </c>
      <c r="D302" s="25" t="s">
        <v>3260</v>
      </c>
      <c r="E302" s="25" t="s">
        <v>3242</v>
      </c>
      <c r="F302" s="40" t="s">
        <v>477</v>
      </c>
      <c r="G302" s="102">
        <v>1</v>
      </c>
      <c r="H302" s="105" t="s">
        <v>3243</v>
      </c>
    </row>
    <row r="303" spans="1:8" ht="13.5" customHeight="1" x14ac:dyDescent="0.25">
      <c r="A303" s="13" t="s">
        <v>1259</v>
      </c>
      <c r="B303" s="49" t="s">
        <v>660</v>
      </c>
      <c r="C303" s="101" t="s">
        <v>1260</v>
      </c>
      <c r="D303" s="14" t="s">
        <v>3260</v>
      </c>
      <c r="E303" s="14" t="s">
        <v>3242</v>
      </c>
      <c r="F303" s="40" t="s">
        <v>477</v>
      </c>
      <c r="G303" s="102">
        <v>1</v>
      </c>
      <c r="H303" s="105" t="s">
        <v>3243</v>
      </c>
    </row>
    <row r="304" spans="1:8" ht="13.5" customHeight="1" x14ac:dyDescent="0.25">
      <c r="A304" s="24" t="s">
        <v>1261</v>
      </c>
      <c r="B304" s="38" t="s">
        <v>660</v>
      </c>
      <c r="C304" s="100" t="s">
        <v>1262</v>
      </c>
      <c r="D304" s="25" t="s">
        <v>3260</v>
      </c>
      <c r="E304" s="25" t="s">
        <v>3242</v>
      </c>
      <c r="F304" s="40" t="s">
        <v>477</v>
      </c>
      <c r="G304" s="102">
        <v>1</v>
      </c>
      <c r="H304" s="105" t="s">
        <v>3243</v>
      </c>
    </row>
    <row r="305" spans="1:8" ht="13.5" customHeight="1" x14ac:dyDescent="0.25">
      <c r="A305" s="13" t="s">
        <v>1263</v>
      </c>
      <c r="B305" s="49" t="s">
        <v>660</v>
      </c>
      <c r="C305" s="101" t="s">
        <v>1264</v>
      </c>
      <c r="D305" s="14" t="s">
        <v>3260</v>
      </c>
      <c r="E305" s="14" t="s">
        <v>3242</v>
      </c>
      <c r="F305" s="40" t="s">
        <v>477</v>
      </c>
      <c r="G305" s="102">
        <v>1</v>
      </c>
      <c r="H305" s="105" t="s">
        <v>3243</v>
      </c>
    </row>
    <row r="306" spans="1:8" ht="13.5" customHeight="1" x14ac:dyDescent="0.25">
      <c r="A306" s="24" t="s">
        <v>1265</v>
      </c>
      <c r="B306" s="38" t="s">
        <v>660</v>
      </c>
      <c r="C306" s="100" t="s">
        <v>1266</v>
      </c>
      <c r="D306" s="25" t="s">
        <v>3260</v>
      </c>
      <c r="E306" s="25" t="s">
        <v>3242</v>
      </c>
      <c r="F306" s="40" t="s">
        <v>477</v>
      </c>
      <c r="G306" s="102">
        <v>1</v>
      </c>
      <c r="H306" s="105" t="s">
        <v>3243</v>
      </c>
    </row>
    <row r="307" spans="1:8" ht="13.5" customHeight="1" x14ac:dyDescent="0.25">
      <c r="A307" s="13" t="s">
        <v>1267</v>
      </c>
      <c r="B307" s="49" t="s">
        <v>660</v>
      </c>
      <c r="C307" s="101" t="s">
        <v>1268</v>
      </c>
      <c r="D307" s="14" t="s">
        <v>3260</v>
      </c>
      <c r="E307" s="14" t="s">
        <v>3242</v>
      </c>
      <c r="F307" s="40" t="s">
        <v>477</v>
      </c>
      <c r="G307" s="102">
        <v>1</v>
      </c>
      <c r="H307" s="105" t="s">
        <v>3243</v>
      </c>
    </row>
    <row r="308" spans="1:8" ht="13.5" customHeight="1" x14ac:dyDescent="0.25">
      <c r="A308" s="24" t="s">
        <v>1269</v>
      </c>
      <c r="B308" s="38" t="s">
        <v>660</v>
      </c>
      <c r="C308" s="100" t="s">
        <v>1270</v>
      </c>
      <c r="D308" s="25" t="s">
        <v>3260</v>
      </c>
      <c r="E308" s="25" t="s">
        <v>3242</v>
      </c>
      <c r="F308" s="40" t="s">
        <v>477</v>
      </c>
      <c r="G308" s="102">
        <v>1</v>
      </c>
      <c r="H308" s="105" t="s">
        <v>3243</v>
      </c>
    </row>
    <row r="309" spans="1:8" ht="13.5" customHeight="1" x14ac:dyDescent="0.25">
      <c r="A309" s="13" t="s">
        <v>1271</v>
      </c>
      <c r="B309" s="49" t="s">
        <v>660</v>
      </c>
      <c r="C309" s="101" t="s">
        <v>1272</v>
      </c>
      <c r="D309" s="14" t="s">
        <v>3260</v>
      </c>
      <c r="E309" s="14" t="s">
        <v>3242</v>
      </c>
      <c r="F309" s="40" t="s">
        <v>477</v>
      </c>
      <c r="G309" s="102">
        <v>1</v>
      </c>
      <c r="H309" s="105" t="s">
        <v>3243</v>
      </c>
    </row>
    <row r="310" spans="1:8" ht="13.5" customHeight="1" x14ac:dyDescent="0.25">
      <c r="A310" s="24" t="s">
        <v>1273</v>
      </c>
      <c r="B310" s="38" t="s">
        <v>660</v>
      </c>
      <c r="C310" s="100" t="s">
        <v>1274</v>
      </c>
      <c r="D310" s="25" t="s">
        <v>3260</v>
      </c>
      <c r="E310" s="25" t="s">
        <v>3242</v>
      </c>
      <c r="F310" s="40" t="s">
        <v>477</v>
      </c>
      <c r="G310" s="102">
        <v>1</v>
      </c>
      <c r="H310" s="105" t="s">
        <v>3243</v>
      </c>
    </row>
    <row r="311" spans="1:8" ht="13.5" customHeight="1" x14ac:dyDescent="0.25">
      <c r="A311" s="13" t="s">
        <v>1275</v>
      </c>
      <c r="B311" s="49" t="s">
        <v>660</v>
      </c>
      <c r="C311" s="101" t="s">
        <v>1276</v>
      </c>
      <c r="D311" s="14" t="s">
        <v>3260</v>
      </c>
      <c r="E311" s="14" t="s">
        <v>3242</v>
      </c>
      <c r="F311" s="40" t="s">
        <v>477</v>
      </c>
      <c r="G311" s="102">
        <v>1</v>
      </c>
      <c r="H311" s="105" t="s">
        <v>3243</v>
      </c>
    </row>
    <row r="312" spans="1:8" ht="13.5" customHeight="1" x14ac:dyDescent="0.25">
      <c r="A312" s="24" t="s">
        <v>1277</v>
      </c>
      <c r="B312" s="38" t="s">
        <v>660</v>
      </c>
      <c r="C312" s="100" t="s">
        <v>1278</v>
      </c>
      <c r="D312" s="25" t="s">
        <v>3260</v>
      </c>
      <c r="E312" s="25" t="s">
        <v>3242</v>
      </c>
      <c r="F312" s="40" t="s">
        <v>477</v>
      </c>
      <c r="G312" s="102">
        <v>1</v>
      </c>
      <c r="H312" s="105" t="s">
        <v>3243</v>
      </c>
    </row>
    <row r="313" spans="1:8" ht="13.5" customHeight="1" x14ac:dyDescent="0.25">
      <c r="A313" s="13" t="s">
        <v>1279</v>
      </c>
      <c r="B313" s="49" t="s">
        <v>660</v>
      </c>
      <c r="C313" s="101" t="s">
        <v>1280</v>
      </c>
      <c r="D313" s="14" t="s">
        <v>3260</v>
      </c>
      <c r="E313" s="14" t="s">
        <v>3242</v>
      </c>
      <c r="F313" s="40" t="s">
        <v>477</v>
      </c>
      <c r="G313" s="102">
        <v>1</v>
      </c>
      <c r="H313" s="105" t="s">
        <v>3243</v>
      </c>
    </row>
    <row r="314" spans="1:8" ht="13.5" customHeight="1" x14ac:dyDescent="0.25">
      <c r="A314" s="24" t="s">
        <v>1281</v>
      </c>
      <c r="B314" s="38" t="s">
        <v>660</v>
      </c>
      <c r="C314" s="100" t="s">
        <v>1282</v>
      </c>
      <c r="D314" s="25" t="s">
        <v>3260</v>
      </c>
      <c r="E314" s="25" t="s">
        <v>3242</v>
      </c>
      <c r="F314" s="40" t="s">
        <v>477</v>
      </c>
      <c r="G314" s="102">
        <v>1</v>
      </c>
      <c r="H314" s="105" t="s">
        <v>3243</v>
      </c>
    </row>
    <row r="315" spans="1:8" ht="13.5" customHeight="1" x14ac:dyDescent="0.25">
      <c r="A315" s="13" t="s">
        <v>1283</v>
      </c>
      <c r="B315" s="49" t="s">
        <v>660</v>
      </c>
      <c r="C315" s="101" t="s">
        <v>1284</v>
      </c>
      <c r="D315" s="14" t="s">
        <v>3260</v>
      </c>
      <c r="E315" s="14" t="s">
        <v>3242</v>
      </c>
      <c r="F315" s="40" t="s">
        <v>477</v>
      </c>
      <c r="G315" s="102">
        <v>1</v>
      </c>
      <c r="H315" s="105" t="s">
        <v>3243</v>
      </c>
    </row>
    <row r="316" spans="1:8" ht="13.5" customHeight="1" x14ac:dyDescent="0.25">
      <c r="A316" s="24" t="s">
        <v>1285</v>
      </c>
      <c r="B316" s="38" t="s">
        <v>660</v>
      </c>
      <c r="C316" s="100" t="s">
        <v>1286</v>
      </c>
      <c r="D316" s="25" t="s">
        <v>3260</v>
      </c>
      <c r="E316" s="25" t="s">
        <v>3242</v>
      </c>
      <c r="F316" s="40" t="s">
        <v>477</v>
      </c>
      <c r="G316" s="102">
        <v>1</v>
      </c>
      <c r="H316" s="105" t="s">
        <v>3243</v>
      </c>
    </row>
    <row r="317" spans="1:8" ht="13.5" customHeight="1" x14ac:dyDescent="0.25">
      <c r="A317" s="13" t="s">
        <v>1287</v>
      </c>
      <c r="B317" s="49" t="s">
        <v>660</v>
      </c>
      <c r="C317" s="101" t="s">
        <v>1288</v>
      </c>
      <c r="D317" s="14" t="s">
        <v>3260</v>
      </c>
      <c r="E317" s="14" t="s">
        <v>3242</v>
      </c>
      <c r="F317" s="40" t="s">
        <v>477</v>
      </c>
      <c r="G317" s="102">
        <v>1</v>
      </c>
      <c r="H317" s="105" t="s">
        <v>3243</v>
      </c>
    </row>
    <row r="318" spans="1:8" ht="13.5" customHeight="1" x14ac:dyDescent="0.25">
      <c r="A318" s="24" t="s">
        <v>1289</v>
      </c>
      <c r="B318" s="38" t="s">
        <v>660</v>
      </c>
      <c r="C318" s="100" t="s">
        <v>1290</v>
      </c>
      <c r="D318" s="25" t="s">
        <v>3260</v>
      </c>
      <c r="E318" s="25" t="s">
        <v>3242</v>
      </c>
      <c r="F318" s="40" t="s">
        <v>477</v>
      </c>
      <c r="G318" s="102">
        <v>1</v>
      </c>
      <c r="H318" s="105" t="s">
        <v>3243</v>
      </c>
    </row>
    <row r="319" spans="1:8" ht="13.5" customHeight="1" x14ac:dyDescent="0.25">
      <c r="A319" s="13" t="s">
        <v>1291</v>
      </c>
      <c r="B319" s="49" t="s">
        <v>660</v>
      </c>
      <c r="C319" s="101" t="s">
        <v>1292</v>
      </c>
      <c r="D319" s="14" t="s">
        <v>3260</v>
      </c>
      <c r="E319" s="14" t="s">
        <v>3242</v>
      </c>
      <c r="F319" s="64" t="s">
        <v>566</v>
      </c>
      <c r="G319" s="104">
        <v>1.1499999999999999</v>
      </c>
      <c r="H319" s="105" t="s">
        <v>3243</v>
      </c>
    </row>
    <row r="320" spans="1:8" ht="13.5" customHeight="1" x14ac:dyDescent="0.25">
      <c r="A320" s="24" t="s">
        <v>1293</v>
      </c>
      <c r="B320" s="38" t="s">
        <v>660</v>
      </c>
      <c r="C320" s="100" t="s">
        <v>1294</v>
      </c>
      <c r="D320" s="25" t="s">
        <v>3260</v>
      </c>
      <c r="E320" s="25" t="s">
        <v>3242</v>
      </c>
      <c r="F320" s="64" t="s">
        <v>566</v>
      </c>
      <c r="G320" s="104">
        <v>1.1499999999999999</v>
      </c>
      <c r="H320" s="105" t="s">
        <v>3243</v>
      </c>
    </row>
    <row r="321" spans="1:8" ht="13.5" customHeight="1" x14ac:dyDescent="0.25">
      <c r="A321" s="13" t="s">
        <v>1295</v>
      </c>
      <c r="B321" s="49" t="s">
        <v>660</v>
      </c>
      <c r="C321" s="101" t="s">
        <v>1296</v>
      </c>
      <c r="D321" s="14" t="s">
        <v>3260</v>
      </c>
      <c r="E321" s="14" t="s">
        <v>3242</v>
      </c>
      <c r="F321" s="64" t="s">
        <v>566</v>
      </c>
      <c r="G321" s="104">
        <v>1.1499999999999999</v>
      </c>
      <c r="H321" s="105" t="s">
        <v>3243</v>
      </c>
    </row>
    <row r="322" spans="1:8" ht="13.5" customHeight="1" x14ac:dyDescent="0.25">
      <c r="A322" s="24" t="s">
        <v>1297</v>
      </c>
      <c r="B322" s="38" t="s">
        <v>660</v>
      </c>
      <c r="C322" s="100" t="s">
        <v>1298</v>
      </c>
      <c r="D322" s="25" t="s">
        <v>3260</v>
      </c>
      <c r="E322" s="25" t="s">
        <v>3242</v>
      </c>
      <c r="F322" s="64" t="s">
        <v>566</v>
      </c>
      <c r="G322" s="104">
        <v>1.1499999999999999</v>
      </c>
      <c r="H322" s="105" t="s">
        <v>3243</v>
      </c>
    </row>
    <row r="323" spans="1:8" ht="13.5" customHeight="1" x14ac:dyDescent="0.25">
      <c r="A323" s="13" t="s">
        <v>1299</v>
      </c>
      <c r="B323" s="49" t="s">
        <v>660</v>
      </c>
      <c r="C323" s="101" t="s">
        <v>1300</v>
      </c>
      <c r="D323" s="14" t="s">
        <v>3260</v>
      </c>
      <c r="E323" s="14" t="s">
        <v>3242</v>
      </c>
      <c r="F323" s="40" t="s">
        <v>477</v>
      </c>
      <c r="G323" s="102">
        <v>1</v>
      </c>
      <c r="H323" s="105" t="s">
        <v>3243</v>
      </c>
    </row>
    <row r="324" spans="1:8" ht="13.5" customHeight="1" x14ac:dyDescent="0.25">
      <c r="A324" s="24" t="s">
        <v>1301</v>
      </c>
      <c r="B324" s="38" t="s">
        <v>660</v>
      </c>
      <c r="C324" s="100" t="s">
        <v>1302</v>
      </c>
      <c r="D324" s="25" t="s">
        <v>3260</v>
      </c>
      <c r="E324" s="25" t="s">
        <v>3242</v>
      </c>
      <c r="F324" s="40" t="s">
        <v>477</v>
      </c>
      <c r="G324" s="102">
        <v>1</v>
      </c>
      <c r="H324" s="105" t="s">
        <v>3243</v>
      </c>
    </row>
    <row r="325" spans="1:8" ht="13.5" customHeight="1" x14ac:dyDescent="0.25">
      <c r="A325" s="13" t="s">
        <v>1303</v>
      </c>
      <c r="B325" s="49" t="s">
        <v>660</v>
      </c>
      <c r="C325" s="101" t="s">
        <v>1304</v>
      </c>
      <c r="D325" s="14" t="s">
        <v>3260</v>
      </c>
      <c r="E325" s="14" t="s">
        <v>3242</v>
      </c>
      <c r="F325" s="40" t="s">
        <v>477</v>
      </c>
      <c r="G325" s="102">
        <v>1</v>
      </c>
      <c r="H325" s="105" t="s">
        <v>3243</v>
      </c>
    </row>
    <row r="326" spans="1:8" ht="13.5" customHeight="1" x14ac:dyDescent="0.25">
      <c r="A326" s="24" t="s">
        <v>1305</v>
      </c>
      <c r="B326" s="38" t="s">
        <v>660</v>
      </c>
      <c r="C326" s="100" t="s">
        <v>1306</v>
      </c>
      <c r="D326" s="25" t="s">
        <v>3260</v>
      </c>
      <c r="E326" s="25" t="s">
        <v>3242</v>
      </c>
      <c r="F326" s="40" t="s">
        <v>477</v>
      </c>
      <c r="G326" s="102">
        <v>1</v>
      </c>
      <c r="H326" s="105" t="s">
        <v>3243</v>
      </c>
    </row>
    <row r="327" spans="1:8" ht="13.5" customHeight="1" x14ac:dyDescent="0.25">
      <c r="A327" s="13" t="s">
        <v>1307</v>
      </c>
      <c r="B327" s="49" t="s">
        <v>660</v>
      </c>
      <c r="C327" s="101" t="s">
        <v>1308</v>
      </c>
      <c r="D327" s="14" t="s">
        <v>3260</v>
      </c>
      <c r="E327" s="14" t="s">
        <v>3242</v>
      </c>
      <c r="F327" s="40" t="s">
        <v>477</v>
      </c>
      <c r="G327" s="102">
        <v>1</v>
      </c>
      <c r="H327" s="105" t="s">
        <v>3243</v>
      </c>
    </row>
    <row r="328" spans="1:8" ht="13.5" customHeight="1" x14ac:dyDescent="0.25">
      <c r="A328" s="24" t="s">
        <v>1309</v>
      </c>
      <c r="B328" s="38" t="s">
        <v>660</v>
      </c>
      <c r="C328" s="100" t="s">
        <v>1310</v>
      </c>
      <c r="D328" s="25" t="s">
        <v>3260</v>
      </c>
      <c r="E328" s="25" t="s">
        <v>3242</v>
      </c>
      <c r="F328" s="40" t="s">
        <v>477</v>
      </c>
      <c r="G328" s="102">
        <v>1</v>
      </c>
      <c r="H328" s="105" t="s">
        <v>3243</v>
      </c>
    </row>
    <row r="329" spans="1:8" ht="13.5" customHeight="1" x14ac:dyDescent="0.25">
      <c r="A329" s="13" t="s">
        <v>1311</v>
      </c>
      <c r="B329" s="49" t="s">
        <v>660</v>
      </c>
      <c r="C329" s="101" t="s">
        <v>1312</v>
      </c>
      <c r="D329" s="14" t="s">
        <v>3260</v>
      </c>
      <c r="E329" s="14" t="s">
        <v>3242</v>
      </c>
      <c r="F329" s="40" t="s">
        <v>477</v>
      </c>
      <c r="G329" s="102">
        <v>1</v>
      </c>
      <c r="H329" s="105" t="s">
        <v>3243</v>
      </c>
    </row>
    <row r="330" spans="1:8" ht="13.5" customHeight="1" x14ac:dyDescent="0.25">
      <c r="A330" s="24" t="s">
        <v>1313</v>
      </c>
      <c r="B330" s="38" t="s">
        <v>660</v>
      </c>
      <c r="C330" s="100" t="s">
        <v>1314</v>
      </c>
      <c r="D330" s="25" t="s">
        <v>3261</v>
      </c>
      <c r="E330" s="25" t="s">
        <v>3242</v>
      </c>
      <c r="F330" s="40" t="s">
        <v>477</v>
      </c>
      <c r="G330" s="102">
        <v>1</v>
      </c>
      <c r="H330" s="105" t="s">
        <v>3243</v>
      </c>
    </row>
    <row r="331" spans="1:8" ht="13.5" customHeight="1" x14ac:dyDescent="0.25">
      <c r="A331" s="13" t="s">
        <v>1316</v>
      </c>
      <c r="B331" s="49" t="s">
        <v>660</v>
      </c>
      <c r="C331" s="101" t="s">
        <v>1317</v>
      </c>
      <c r="D331" s="14" t="s">
        <v>3261</v>
      </c>
      <c r="E331" s="14" t="s">
        <v>3242</v>
      </c>
      <c r="F331" s="40" t="s">
        <v>477</v>
      </c>
      <c r="G331" s="102">
        <v>1</v>
      </c>
      <c r="H331" s="105" t="s">
        <v>3243</v>
      </c>
    </row>
    <row r="332" spans="1:8" ht="13.5" customHeight="1" x14ac:dyDescent="0.25">
      <c r="A332" s="24" t="s">
        <v>1318</v>
      </c>
      <c r="B332" s="38" t="s">
        <v>660</v>
      </c>
      <c r="C332" s="100" t="s">
        <v>1319</v>
      </c>
      <c r="D332" s="25" t="s">
        <v>3261</v>
      </c>
      <c r="E332" s="25" t="s">
        <v>3242</v>
      </c>
      <c r="F332" s="40" t="s">
        <v>477</v>
      </c>
      <c r="G332" s="102">
        <v>1</v>
      </c>
      <c r="H332" s="105" t="s">
        <v>3243</v>
      </c>
    </row>
    <row r="333" spans="1:8" ht="13.5" customHeight="1" x14ac:dyDescent="0.25">
      <c r="A333" s="13" t="s">
        <v>1320</v>
      </c>
      <c r="B333" s="49" t="s">
        <v>660</v>
      </c>
      <c r="C333" s="101" t="s">
        <v>1321</v>
      </c>
      <c r="D333" s="14" t="s">
        <v>3261</v>
      </c>
      <c r="E333" s="14" t="s">
        <v>3242</v>
      </c>
      <c r="F333" s="40" t="s">
        <v>477</v>
      </c>
      <c r="G333" s="102">
        <v>1</v>
      </c>
      <c r="H333" s="105" t="s">
        <v>3243</v>
      </c>
    </row>
    <row r="334" spans="1:8" ht="13.5" customHeight="1" x14ac:dyDescent="0.25">
      <c r="A334" s="24" t="s">
        <v>1322</v>
      </c>
      <c r="B334" s="38" t="s">
        <v>660</v>
      </c>
      <c r="C334" s="100" t="s">
        <v>1323</v>
      </c>
      <c r="D334" s="25" t="s">
        <v>3261</v>
      </c>
      <c r="E334" s="25" t="s">
        <v>3242</v>
      </c>
      <c r="F334" s="40" t="s">
        <v>477</v>
      </c>
      <c r="G334" s="102">
        <v>1</v>
      </c>
      <c r="H334" s="105" t="s">
        <v>3243</v>
      </c>
    </row>
    <row r="335" spans="1:8" ht="13.5" customHeight="1" x14ac:dyDescent="0.25">
      <c r="A335" s="13" t="s">
        <v>1324</v>
      </c>
      <c r="B335" s="49" t="s">
        <v>660</v>
      </c>
      <c r="C335" s="101" t="s">
        <v>1325</v>
      </c>
      <c r="D335" s="14" t="s">
        <v>3261</v>
      </c>
      <c r="E335" s="14" t="s">
        <v>3242</v>
      </c>
      <c r="F335" s="40" t="s">
        <v>477</v>
      </c>
      <c r="G335" s="102">
        <v>1</v>
      </c>
      <c r="H335" s="105" t="s">
        <v>3243</v>
      </c>
    </row>
    <row r="336" spans="1:8" ht="13.5" customHeight="1" x14ac:dyDescent="0.25">
      <c r="A336" s="24" t="s">
        <v>1326</v>
      </c>
      <c r="B336" s="38" t="s">
        <v>660</v>
      </c>
      <c r="C336" s="100" t="s">
        <v>1327</v>
      </c>
      <c r="D336" s="25" t="s">
        <v>3261</v>
      </c>
      <c r="E336" s="25" t="s">
        <v>3242</v>
      </c>
      <c r="F336" s="40" t="s">
        <v>477</v>
      </c>
      <c r="G336" s="102">
        <v>1</v>
      </c>
      <c r="H336" s="105" t="s">
        <v>3243</v>
      </c>
    </row>
    <row r="337" spans="1:8" ht="13.5" customHeight="1" x14ac:dyDescent="0.25">
      <c r="A337" s="13" t="s">
        <v>1328</v>
      </c>
      <c r="B337" s="49" t="s">
        <v>660</v>
      </c>
      <c r="C337" s="101" t="s">
        <v>1329</v>
      </c>
      <c r="D337" s="14" t="s">
        <v>3261</v>
      </c>
      <c r="E337" s="14" t="s">
        <v>3242</v>
      </c>
      <c r="F337" s="40" t="s">
        <v>477</v>
      </c>
      <c r="G337" s="102">
        <v>1</v>
      </c>
      <c r="H337" s="105" t="s">
        <v>3243</v>
      </c>
    </row>
    <row r="338" spans="1:8" ht="13.5" customHeight="1" x14ac:dyDescent="0.25">
      <c r="A338" s="24" t="s">
        <v>1330</v>
      </c>
      <c r="B338" s="38" t="s">
        <v>660</v>
      </c>
      <c r="C338" s="100" t="s">
        <v>1331</v>
      </c>
      <c r="D338" s="25" t="s">
        <v>3261</v>
      </c>
      <c r="E338" s="25" t="s">
        <v>3242</v>
      </c>
      <c r="F338" s="40" t="s">
        <v>477</v>
      </c>
      <c r="G338" s="102">
        <v>1</v>
      </c>
      <c r="H338" s="105" t="s">
        <v>3243</v>
      </c>
    </row>
    <row r="339" spans="1:8" ht="13.5" customHeight="1" x14ac:dyDescent="0.25">
      <c r="A339" s="13" t="s">
        <v>1332</v>
      </c>
      <c r="B339" s="49" t="s">
        <v>660</v>
      </c>
      <c r="C339" s="101" t="s">
        <v>1333</v>
      </c>
      <c r="D339" s="14" t="s">
        <v>3261</v>
      </c>
      <c r="E339" s="14" t="s">
        <v>3242</v>
      </c>
      <c r="F339" s="40" t="s">
        <v>477</v>
      </c>
      <c r="G339" s="102">
        <v>1</v>
      </c>
      <c r="H339" s="105" t="s">
        <v>3243</v>
      </c>
    </row>
    <row r="340" spans="1:8" ht="13.5" customHeight="1" x14ac:dyDescent="0.25">
      <c r="A340" s="24" t="s">
        <v>1334</v>
      </c>
      <c r="B340" s="38" t="s">
        <v>660</v>
      </c>
      <c r="C340" s="100" t="s">
        <v>1335</v>
      </c>
      <c r="D340" s="25" t="s">
        <v>3261</v>
      </c>
      <c r="E340" s="25" t="s">
        <v>3242</v>
      </c>
      <c r="F340" s="40" t="s">
        <v>477</v>
      </c>
      <c r="G340" s="102">
        <v>1</v>
      </c>
      <c r="H340" s="105" t="s">
        <v>3243</v>
      </c>
    </row>
    <row r="341" spans="1:8" ht="13.5" customHeight="1" x14ac:dyDescent="0.25">
      <c r="A341" s="13" t="s">
        <v>1336</v>
      </c>
      <c r="B341" s="49" t="s">
        <v>660</v>
      </c>
      <c r="C341" s="101" t="s">
        <v>1337</v>
      </c>
      <c r="D341" s="14" t="s">
        <v>3261</v>
      </c>
      <c r="E341" s="14" t="s">
        <v>3242</v>
      </c>
      <c r="F341" s="40" t="s">
        <v>477</v>
      </c>
      <c r="G341" s="102">
        <v>1</v>
      </c>
      <c r="H341" s="105" t="s">
        <v>3243</v>
      </c>
    </row>
    <row r="342" spans="1:8" ht="13.5" customHeight="1" x14ac:dyDescent="0.25">
      <c r="A342" s="24" t="s">
        <v>1338</v>
      </c>
      <c r="B342" s="38" t="s">
        <v>660</v>
      </c>
      <c r="C342" s="100" t="s">
        <v>1339</v>
      </c>
      <c r="D342" s="25" t="s">
        <v>3261</v>
      </c>
      <c r="E342" s="25" t="s">
        <v>3242</v>
      </c>
      <c r="F342" s="40" t="s">
        <v>477</v>
      </c>
      <c r="G342" s="102">
        <v>1</v>
      </c>
      <c r="H342" s="105" t="s">
        <v>3243</v>
      </c>
    </row>
    <row r="343" spans="1:8" ht="13.5" customHeight="1" x14ac:dyDescent="0.25">
      <c r="A343" s="13" t="s">
        <v>1340</v>
      </c>
      <c r="B343" s="49" t="s">
        <v>660</v>
      </c>
      <c r="C343" s="101" t="s">
        <v>1341</v>
      </c>
      <c r="D343" s="14" t="s">
        <v>3261</v>
      </c>
      <c r="E343" s="14" t="s">
        <v>3242</v>
      </c>
      <c r="F343" s="40" t="s">
        <v>477</v>
      </c>
      <c r="G343" s="102">
        <v>1</v>
      </c>
      <c r="H343" s="105" t="s">
        <v>3243</v>
      </c>
    </row>
    <row r="344" spans="1:8" ht="13.5" customHeight="1" x14ac:dyDescent="0.25">
      <c r="A344" s="24" t="s">
        <v>1342</v>
      </c>
      <c r="B344" s="38" t="s">
        <v>660</v>
      </c>
      <c r="C344" s="100" t="s">
        <v>1343</v>
      </c>
      <c r="D344" s="25" t="s">
        <v>3261</v>
      </c>
      <c r="E344" s="25" t="s">
        <v>3242</v>
      </c>
      <c r="F344" s="40" t="s">
        <v>477</v>
      </c>
      <c r="G344" s="102">
        <v>1</v>
      </c>
      <c r="H344" s="105" t="s">
        <v>3243</v>
      </c>
    </row>
    <row r="345" spans="1:8" ht="13.5" customHeight="1" x14ac:dyDescent="0.25">
      <c r="A345" s="13" t="s">
        <v>1344</v>
      </c>
      <c r="B345" s="49" t="s">
        <v>660</v>
      </c>
      <c r="C345" s="101" t="s">
        <v>1345</v>
      </c>
      <c r="D345" s="14" t="s">
        <v>3261</v>
      </c>
      <c r="E345" s="14" t="s">
        <v>3242</v>
      </c>
      <c r="F345" s="40" t="s">
        <v>477</v>
      </c>
      <c r="G345" s="102">
        <v>1</v>
      </c>
      <c r="H345" s="105" t="s">
        <v>3243</v>
      </c>
    </row>
    <row r="346" spans="1:8" ht="13.5" customHeight="1" x14ac:dyDescent="0.25">
      <c r="A346" s="24" t="s">
        <v>1346</v>
      </c>
      <c r="B346" s="38" t="s">
        <v>660</v>
      </c>
      <c r="C346" s="100" t="s">
        <v>1347</v>
      </c>
      <c r="D346" s="25" t="s">
        <v>3262</v>
      </c>
      <c r="E346" s="25" t="s">
        <v>3242</v>
      </c>
      <c r="F346" s="64" t="s">
        <v>566</v>
      </c>
      <c r="G346" s="104">
        <v>1.1499999999999999</v>
      </c>
      <c r="H346" s="105" t="s">
        <v>3243</v>
      </c>
    </row>
    <row r="347" spans="1:8" ht="13.5" customHeight="1" x14ac:dyDescent="0.25">
      <c r="A347" s="13" t="s">
        <v>1349</v>
      </c>
      <c r="B347" s="49" t="s">
        <v>660</v>
      </c>
      <c r="C347" s="101" t="s">
        <v>1350</v>
      </c>
      <c r="D347" s="14" t="s">
        <v>3262</v>
      </c>
      <c r="E347" s="14" t="s">
        <v>3242</v>
      </c>
      <c r="F347" s="64" t="s">
        <v>566</v>
      </c>
      <c r="G347" s="104">
        <v>1.1499999999999999</v>
      </c>
      <c r="H347" s="105" t="s">
        <v>3243</v>
      </c>
    </row>
    <row r="348" spans="1:8" ht="13.5" customHeight="1" x14ac:dyDescent="0.25">
      <c r="A348" s="24" t="s">
        <v>1351</v>
      </c>
      <c r="B348" s="38" t="s">
        <v>660</v>
      </c>
      <c r="C348" s="100" t="s">
        <v>1352</v>
      </c>
      <c r="D348" s="25" t="s">
        <v>3262</v>
      </c>
      <c r="E348" s="25" t="s">
        <v>3242</v>
      </c>
      <c r="F348" s="64" t="s">
        <v>566</v>
      </c>
      <c r="G348" s="104">
        <v>1.1499999999999999</v>
      </c>
      <c r="H348" s="105" t="s">
        <v>3243</v>
      </c>
    </row>
    <row r="349" spans="1:8" ht="13.5" customHeight="1" x14ac:dyDescent="0.25">
      <c r="A349" s="13" t="s">
        <v>1353</v>
      </c>
      <c r="B349" s="49" t="s">
        <v>660</v>
      </c>
      <c r="C349" s="101" t="s">
        <v>1354</v>
      </c>
      <c r="D349" s="14" t="s">
        <v>3262</v>
      </c>
      <c r="E349" s="14" t="s">
        <v>3242</v>
      </c>
      <c r="F349" s="64" t="s">
        <v>566</v>
      </c>
      <c r="G349" s="104">
        <v>1.1499999999999999</v>
      </c>
      <c r="H349" s="105" t="s">
        <v>3243</v>
      </c>
    </row>
    <row r="350" spans="1:8" ht="13.5" customHeight="1" x14ac:dyDescent="0.25">
      <c r="A350" s="24" t="s">
        <v>1355</v>
      </c>
      <c r="B350" s="38" t="s">
        <v>660</v>
      </c>
      <c r="C350" s="100" t="s">
        <v>1356</v>
      </c>
      <c r="D350" s="25" t="s">
        <v>3262</v>
      </c>
      <c r="E350" s="25" t="s">
        <v>3242</v>
      </c>
      <c r="F350" s="64" t="s">
        <v>566</v>
      </c>
      <c r="G350" s="104">
        <v>1.1499999999999999</v>
      </c>
      <c r="H350" s="105" t="s">
        <v>3243</v>
      </c>
    </row>
    <row r="351" spans="1:8" ht="13.5" customHeight="1" x14ac:dyDescent="0.25">
      <c r="A351" s="13" t="s">
        <v>1357</v>
      </c>
      <c r="B351" s="49" t="s">
        <v>660</v>
      </c>
      <c r="C351" s="101" t="s">
        <v>1358</v>
      </c>
      <c r="D351" s="14" t="s">
        <v>3262</v>
      </c>
      <c r="E351" s="14" t="s">
        <v>3242</v>
      </c>
      <c r="F351" s="64" t="s">
        <v>566</v>
      </c>
      <c r="G351" s="104">
        <v>1.1499999999999999</v>
      </c>
      <c r="H351" s="105" t="s">
        <v>3243</v>
      </c>
    </row>
    <row r="352" spans="1:8" ht="13.5" customHeight="1" x14ac:dyDescent="0.25">
      <c r="A352" s="24" t="s">
        <v>1359</v>
      </c>
      <c r="B352" s="38" t="s">
        <v>660</v>
      </c>
      <c r="C352" s="100" t="s">
        <v>1360</v>
      </c>
      <c r="D352" s="25" t="s">
        <v>3262</v>
      </c>
      <c r="E352" s="25" t="s">
        <v>3242</v>
      </c>
      <c r="F352" s="64" t="s">
        <v>566</v>
      </c>
      <c r="G352" s="104">
        <v>1.1499999999999999</v>
      </c>
      <c r="H352" s="105" t="s">
        <v>3243</v>
      </c>
    </row>
    <row r="353" spans="1:8" ht="13.5" customHeight="1" x14ac:dyDescent="0.25">
      <c r="A353" s="13" t="s">
        <v>1361</v>
      </c>
      <c r="B353" s="49" t="s">
        <v>660</v>
      </c>
      <c r="C353" s="101" t="s">
        <v>1362</v>
      </c>
      <c r="D353" s="14" t="s">
        <v>3262</v>
      </c>
      <c r="E353" s="14" t="s">
        <v>3242</v>
      </c>
      <c r="F353" s="64" t="s">
        <v>566</v>
      </c>
      <c r="G353" s="104">
        <v>1.1499999999999999</v>
      </c>
      <c r="H353" s="105" t="s">
        <v>3243</v>
      </c>
    </row>
    <row r="354" spans="1:8" ht="13.5" customHeight="1" x14ac:dyDescent="0.25">
      <c r="A354" s="24" t="s">
        <v>1363</v>
      </c>
      <c r="B354" s="38" t="s">
        <v>660</v>
      </c>
      <c r="C354" s="100" t="s">
        <v>1364</v>
      </c>
      <c r="D354" s="25" t="s">
        <v>3262</v>
      </c>
      <c r="E354" s="25" t="s">
        <v>3242</v>
      </c>
      <c r="F354" s="64" t="s">
        <v>566</v>
      </c>
      <c r="G354" s="104">
        <v>1.1499999999999999</v>
      </c>
      <c r="H354" s="105" t="s">
        <v>3243</v>
      </c>
    </row>
    <row r="355" spans="1:8" ht="13.5" customHeight="1" x14ac:dyDescent="0.25">
      <c r="A355" s="13" t="s">
        <v>1365</v>
      </c>
      <c r="B355" s="49" t="s">
        <v>660</v>
      </c>
      <c r="C355" s="101" t="s">
        <v>1366</v>
      </c>
      <c r="D355" s="14" t="s">
        <v>3262</v>
      </c>
      <c r="E355" s="14" t="s">
        <v>3242</v>
      </c>
      <c r="F355" s="64" t="s">
        <v>566</v>
      </c>
      <c r="G355" s="104">
        <v>1.1499999999999999</v>
      </c>
      <c r="H355" s="105" t="s">
        <v>3243</v>
      </c>
    </row>
    <row r="356" spans="1:8" ht="13.5" customHeight="1" x14ac:dyDescent="0.25">
      <c r="A356" s="24" t="s">
        <v>1367</v>
      </c>
      <c r="B356" s="38" t="s">
        <v>660</v>
      </c>
      <c r="C356" s="100" t="s">
        <v>1368</v>
      </c>
      <c r="D356" s="25" t="s">
        <v>3262</v>
      </c>
      <c r="E356" s="25" t="s">
        <v>3242</v>
      </c>
      <c r="F356" s="64" t="s">
        <v>566</v>
      </c>
      <c r="G356" s="104">
        <v>1.1499999999999999</v>
      </c>
      <c r="H356" s="105" t="s">
        <v>3243</v>
      </c>
    </row>
    <row r="357" spans="1:8" ht="13.5" customHeight="1" x14ac:dyDescent="0.25">
      <c r="A357" s="13" t="s">
        <v>1369</v>
      </c>
      <c r="B357" s="49" t="s">
        <v>660</v>
      </c>
      <c r="C357" s="101" t="s">
        <v>1370</v>
      </c>
      <c r="D357" s="14" t="s">
        <v>3262</v>
      </c>
      <c r="E357" s="14" t="s">
        <v>3242</v>
      </c>
      <c r="F357" s="64" t="s">
        <v>566</v>
      </c>
      <c r="G357" s="104">
        <v>1.1499999999999999</v>
      </c>
      <c r="H357" s="105" t="s">
        <v>3243</v>
      </c>
    </row>
    <row r="358" spans="1:8" ht="13.5" customHeight="1" x14ac:dyDescent="0.25">
      <c r="A358" s="24" t="s">
        <v>1371</v>
      </c>
      <c r="B358" s="38" t="s">
        <v>660</v>
      </c>
      <c r="C358" s="100" t="s">
        <v>1372</v>
      </c>
      <c r="D358" s="25" t="s">
        <v>3263</v>
      </c>
      <c r="E358" s="25" t="s">
        <v>3242</v>
      </c>
      <c r="F358" s="40" t="s">
        <v>477</v>
      </c>
      <c r="G358" s="102">
        <v>1</v>
      </c>
      <c r="H358" s="105" t="s">
        <v>3243</v>
      </c>
    </row>
    <row r="359" spans="1:8" ht="13.5" customHeight="1" x14ac:dyDescent="0.25">
      <c r="A359" s="13" t="s">
        <v>1374</v>
      </c>
      <c r="B359" s="49" t="s">
        <v>660</v>
      </c>
      <c r="C359" s="101" t="s">
        <v>1375</v>
      </c>
      <c r="D359" s="14" t="s">
        <v>3263</v>
      </c>
      <c r="E359" s="14" t="s">
        <v>3242</v>
      </c>
      <c r="F359" s="40" t="s">
        <v>477</v>
      </c>
      <c r="G359" s="102">
        <v>1</v>
      </c>
      <c r="H359" s="105" t="s">
        <v>3243</v>
      </c>
    </row>
    <row r="360" spans="1:8" ht="13.5" customHeight="1" x14ac:dyDescent="0.25">
      <c r="A360" s="24" t="s">
        <v>1376</v>
      </c>
      <c r="B360" s="38" t="s">
        <v>660</v>
      </c>
      <c r="C360" s="100" t="s">
        <v>1377</v>
      </c>
      <c r="D360" s="25" t="s">
        <v>3263</v>
      </c>
      <c r="E360" s="25" t="s">
        <v>3242</v>
      </c>
      <c r="F360" s="40" t="s">
        <v>477</v>
      </c>
      <c r="G360" s="102">
        <v>1</v>
      </c>
      <c r="H360" s="105" t="s">
        <v>3243</v>
      </c>
    </row>
    <row r="361" spans="1:8" ht="13.5" customHeight="1" x14ac:dyDescent="0.25">
      <c r="A361" s="13" t="s">
        <v>1378</v>
      </c>
      <c r="B361" s="49" t="s">
        <v>660</v>
      </c>
      <c r="C361" s="101" t="s">
        <v>1379</v>
      </c>
      <c r="D361" s="14" t="s">
        <v>3263</v>
      </c>
      <c r="E361" s="14" t="s">
        <v>3242</v>
      </c>
      <c r="F361" s="40" t="s">
        <v>477</v>
      </c>
      <c r="G361" s="102">
        <v>1</v>
      </c>
      <c r="H361" s="105" t="s">
        <v>3243</v>
      </c>
    </row>
    <row r="362" spans="1:8" ht="13.5" customHeight="1" x14ac:dyDescent="0.25">
      <c r="A362" s="24" t="s">
        <v>1380</v>
      </c>
      <c r="B362" s="38" t="s">
        <v>660</v>
      </c>
      <c r="C362" s="100" t="s">
        <v>1381</v>
      </c>
      <c r="D362" s="25" t="s">
        <v>3264</v>
      </c>
      <c r="E362" s="25" t="s">
        <v>3242</v>
      </c>
      <c r="F362" s="65" t="s">
        <v>841</v>
      </c>
      <c r="G362" s="106">
        <v>0.9</v>
      </c>
      <c r="H362" s="105" t="s">
        <v>3243</v>
      </c>
    </row>
    <row r="363" spans="1:8" ht="13.5" customHeight="1" x14ac:dyDescent="0.25">
      <c r="A363" s="13" t="s">
        <v>1382</v>
      </c>
      <c r="B363" s="49" t="s">
        <v>660</v>
      </c>
      <c r="C363" s="101" t="s">
        <v>1383</v>
      </c>
      <c r="D363" s="14" t="s">
        <v>3264</v>
      </c>
      <c r="E363" s="14" t="s">
        <v>3242</v>
      </c>
      <c r="F363" s="65" t="s">
        <v>841</v>
      </c>
      <c r="G363" s="106">
        <v>0.9</v>
      </c>
      <c r="H363" s="105" t="s">
        <v>3243</v>
      </c>
    </row>
    <row r="364" spans="1:8" ht="13.5" customHeight="1" x14ac:dyDescent="0.25">
      <c r="A364" s="24" t="s">
        <v>1384</v>
      </c>
      <c r="B364" s="38" t="s">
        <v>660</v>
      </c>
      <c r="C364" s="100" t="s">
        <v>1385</v>
      </c>
      <c r="D364" s="25" t="s">
        <v>3264</v>
      </c>
      <c r="E364" s="25" t="s">
        <v>3242</v>
      </c>
      <c r="F364" s="65" t="s">
        <v>841</v>
      </c>
      <c r="G364" s="106">
        <v>0.9</v>
      </c>
      <c r="H364" s="105" t="s">
        <v>3243</v>
      </c>
    </row>
    <row r="365" spans="1:8" ht="13.5" customHeight="1" x14ac:dyDescent="0.25">
      <c r="A365" s="13" t="s">
        <v>1386</v>
      </c>
      <c r="B365" s="49" t="s">
        <v>660</v>
      </c>
      <c r="C365" s="101" t="s">
        <v>1387</v>
      </c>
      <c r="D365" s="14" t="s">
        <v>3264</v>
      </c>
      <c r="E365" s="14" t="s">
        <v>3242</v>
      </c>
      <c r="F365" s="65" t="s">
        <v>841</v>
      </c>
      <c r="G365" s="106">
        <v>0.9</v>
      </c>
      <c r="H365" s="105" t="s">
        <v>3243</v>
      </c>
    </row>
    <row r="366" spans="1:8" ht="13.5" customHeight="1" x14ac:dyDescent="0.25">
      <c r="A366" s="24" t="s">
        <v>1388</v>
      </c>
      <c r="B366" s="38" t="s">
        <v>660</v>
      </c>
      <c r="C366" s="100" t="s">
        <v>1389</v>
      </c>
      <c r="D366" s="25" t="s">
        <v>3264</v>
      </c>
      <c r="E366" s="25" t="s">
        <v>3242</v>
      </c>
      <c r="F366" s="65" t="s">
        <v>841</v>
      </c>
      <c r="G366" s="106">
        <v>0.9</v>
      </c>
      <c r="H366" s="105" t="s">
        <v>3243</v>
      </c>
    </row>
    <row r="367" spans="1:8" ht="13.5" customHeight="1" x14ac:dyDescent="0.25">
      <c r="A367" s="13" t="s">
        <v>1390</v>
      </c>
      <c r="B367" s="49" t="s">
        <v>660</v>
      </c>
      <c r="C367" s="101" t="s">
        <v>1391</v>
      </c>
      <c r="D367" s="14" t="s">
        <v>3264</v>
      </c>
      <c r="E367" s="14" t="s">
        <v>3242</v>
      </c>
      <c r="F367" s="65" t="s">
        <v>841</v>
      </c>
      <c r="G367" s="106">
        <v>0.9</v>
      </c>
      <c r="H367" s="105" t="s">
        <v>3243</v>
      </c>
    </row>
    <row r="368" spans="1:8" ht="13.5" customHeight="1" x14ac:dyDescent="0.25">
      <c r="A368" s="24" t="s">
        <v>1392</v>
      </c>
      <c r="B368" s="38" t="s">
        <v>660</v>
      </c>
      <c r="C368" s="100" t="s">
        <v>1393</v>
      </c>
      <c r="D368" s="25" t="s">
        <v>3264</v>
      </c>
      <c r="E368" s="25" t="s">
        <v>3242</v>
      </c>
      <c r="F368" s="65" t="s">
        <v>841</v>
      </c>
      <c r="G368" s="106">
        <v>0.9</v>
      </c>
      <c r="H368" s="105" t="s">
        <v>3243</v>
      </c>
    </row>
    <row r="369" spans="1:8" ht="13.5" customHeight="1" x14ac:dyDescent="0.25">
      <c r="A369" s="13" t="s">
        <v>1394</v>
      </c>
      <c r="B369" s="49" t="s">
        <v>660</v>
      </c>
      <c r="C369" s="101" t="s">
        <v>1395</v>
      </c>
      <c r="D369" s="14" t="s">
        <v>3264</v>
      </c>
      <c r="E369" s="14" t="s">
        <v>3242</v>
      </c>
      <c r="F369" s="65" t="s">
        <v>841</v>
      </c>
      <c r="G369" s="106">
        <v>0.9</v>
      </c>
      <c r="H369" s="105" t="s">
        <v>3243</v>
      </c>
    </row>
    <row r="370" spans="1:8" ht="13.5" customHeight="1" x14ac:dyDescent="0.25">
      <c r="A370" s="24" t="s">
        <v>1396</v>
      </c>
      <c r="B370" s="38" t="s">
        <v>660</v>
      </c>
      <c r="C370" s="100" t="s">
        <v>1397</v>
      </c>
      <c r="D370" s="25" t="s">
        <v>3264</v>
      </c>
      <c r="E370" s="25" t="s">
        <v>3242</v>
      </c>
      <c r="F370" s="65" t="s">
        <v>841</v>
      </c>
      <c r="G370" s="106">
        <v>0.9</v>
      </c>
      <c r="H370" s="105" t="s">
        <v>3243</v>
      </c>
    </row>
    <row r="371" spans="1:8" ht="13.5" customHeight="1" x14ac:dyDescent="0.25">
      <c r="A371" s="13" t="s">
        <v>1398</v>
      </c>
      <c r="B371" s="49" t="s">
        <v>660</v>
      </c>
      <c r="C371" s="101" t="s">
        <v>1399</v>
      </c>
      <c r="D371" s="14" t="s">
        <v>3264</v>
      </c>
      <c r="E371" s="14" t="s">
        <v>3242</v>
      </c>
      <c r="F371" s="65" t="s">
        <v>841</v>
      </c>
      <c r="G371" s="106">
        <v>0.9</v>
      </c>
      <c r="H371" s="105" t="s">
        <v>3243</v>
      </c>
    </row>
    <row r="372" spans="1:8" ht="13.5" customHeight="1" x14ac:dyDescent="0.25">
      <c r="A372" s="24" t="s">
        <v>1400</v>
      </c>
      <c r="B372" s="38" t="s">
        <v>660</v>
      </c>
      <c r="C372" s="100" t="s">
        <v>1401</v>
      </c>
      <c r="D372" s="25" t="s">
        <v>3264</v>
      </c>
      <c r="E372" s="25" t="s">
        <v>3242</v>
      </c>
      <c r="F372" s="65" t="s">
        <v>841</v>
      </c>
      <c r="G372" s="106">
        <v>0.9</v>
      </c>
      <c r="H372" s="105" t="s">
        <v>3243</v>
      </c>
    </row>
    <row r="373" spans="1:8" ht="13.5" customHeight="1" x14ac:dyDescent="0.25">
      <c r="A373" s="13" t="s">
        <v>1402</v>
      </c>
      <c r="B373" s="49" t="s">
        <v>660</v>
      </c>
      <c r="C373" s="101" t="s">
        <v>1403</v>
      </c>
      <c r="D373" s="14" t="s">
        <v>3264</v>
      </c>
      <c r="E373" s="14" t="s">
        <v>3242</v>
      </c>
      <c r="F373" s="65" t="s">
        <v>841</v>
      </c>
      <c r="G373" s="106">
        <v>0.9</v>
      </c>
      <c r="H373" s="105" t="s">
        <v>3243</v>
      </c>
    </row>
    <row r="374" spans="1:8" ht="13.5" customHeight="1" x14ac:dyDescent="0.25">
      <c r="A374" s="24" t="s">
        <v>1404</v>
      </c>
      <c r="B374" s="38" t="s">
        <v>660</v>
      </c>
      <c r="C374" s="100" t="s">
        <v>1405</v>
      </c>
      <c r="D374" s="25" t="s">
        <v>3264</v>
      </c>
      <c r="E374" s="25" t="s">
        <v>3242</v>
      </c>
      <c r="F374" s="65" t="s">
        <v>841</v>
      </c>
      <c r="G374" s="106">
        <v>0.9</v>
      </c>
      <c r="H374" s="105" t="s">
        <v>3243</v>
      </c>
    </row>
    <row r="375" spans="1:8" ht="13.5" customHeight="1" x14ac:dyDescent="0.25">
      <c r="A375" s="13" t="s">
        <v>1406</v>
      </c>
      <c r="B375" s="49" t="s">
        <v>660</v>
      </c>
      <c r="C375" s="101" t="s">
        <v>1407</v>
      </c>
      <c r="D375" s="14" t="s">
        <v>3264</v>
      </c>
      <c r="E375" s="14" t="s">
        <v>3242</v>
      </c>
      <c r="F375" s="65" t="s">
        <v>841</v>
      </c>
      <c r="G375" s="106">
        <v>0.9</v>
      </c>
      <c r="H375" s="105" t="s">
        <v>3243</v>
      </c>
    </row>
    <row r="376" spans="1:8" ht="13.5" customHeight="1" x14ac:dyDescent="0.25">
      <c r="A376" s="24" t="s">
        <v>1408</v>
      </c>
      <c r="B376" s="38" t="s">
        <v>660</v>
      </c>
      <c r="C376" s="100" t="s">
        <v>1409</v>
      </c>
      <c r="D376" s="25" t="s">
        <v>3264</v>
      </c>
      <c r="E376" s="25" t="s">
        <v>3242</v>
      </c>
      <c r="F376" s="65" t="s">
        <v>841</v>
      </c>
      <c r="G376" s="106">
        <v>0.9</v>
      </c>
      <c r="H376" s="105" t="s">
        <v>3243</v>
      </c>
    </row>
    <row r="377" spans="1:8" ht="13.5" customHeight="1" x14ac:dyDescent="0.25">
      <c r="A377" s="13" t="s">
        <v>1410</v>
      </c>
      <c r="B377" s="49" t="s">
        <v>660</v>
      </c>
      <c r="C377" s="101" t="s">
        <v>1411</v>
      </c>
      <c r="D377" s="14" t="s">
        <v>3264</v>
      </c>
      <c r="E377" s="14" t="s">
        <v>3242</v>
      </c>
      <c r="F377" s="65" t="s">
        <v>841</v>
      </c>
      <c r="G377" s="106">
        <v>0.9</v>
      </c>
      <c r="H377" s="105" t="s">
        <v>3243</v>
      </c>
    </row>
    <row r="378" spans="1:8" ht="13.5" customHeight="1" x14ac:dyDescent="0.25">
      <c r="A378" s="24" t="s">
        <v>1412</v>
      </c>
      <c r="B378" s="38" t="s">
        <v>660</v>
      </c>
      <c r="C378" s="100" t="s">
        <v>1413</v>
      </c>
      <c r="D378" s="25" t="s">
        <v>3264</v>
      </c>
      <c r="E378" s="25" t="s">
        <v>3242</v>
      </c>
      <c r="F378" s="65" t="s">
        <v>841</v>
      </c>
      <c r="G378" s="106">
        <v>0.9</v>
      </c>
      <c r="H378" s="105" t="s">
        <v>3243</v>
      </c>
    </row>
    <row r="379" spans="1:8" ht="13.5" customHeight="1" x14ac:dyDescent="0.25">
      <c r="A379" s="13" t="s">
        <v>1414</v>
      </c>
      <c r="B379" s="49" t="s">
        <v>660</v>
      </c>
      <c r="C379" s="101" t="s">
        <v>1415</v>
      </c>
      <c r="D379" s="14" t="s">
        <v>3264</v>
      </c>
      <c r="E379" s="14" t="s">
        <v>3242</v>
      </c>
      <c r="F379" s="65" t="s">
        <v>841</v>
      </c>
      <c r="G379" s="106">
        <v>0.9</v>
      </c>
      <c r="H379" s="105" t="s">
        <v>3243</v>
      </c>
    </row>
    <row r="380" spans="1:8" ht="13.5" customHeight="1" x14ac:dyDescent="0.25">
      <c r="A380" s="24" t="s">
        <v>1416</v>
      </c>
      <c r="B380" s="38" t="s">
        <v>660</v>
      </c>
      <c r="C380" s="100" t="s">
        <v>1417</v>
      </c>
      <c r="D380" s="25" t="s">
        <v>3264</v>
      </c>
      <c r="E380" s="25" t="s">
        <v>3242</v>
      </c>
      <c r="F380" s="65" t="s">
        <v>841</v>
      </c>
      <c r="G380" s="106">
        <v>0.9</v>
      </c>
      <c r="H380" s="105" t="s">
        <v>3243</v>
      </c>
    </row>
    <row r="381" spans="1:8" ht="13.5" customHeight="1" x14ac:dyDescent="0.25">
      <c r="A381" s="13" t="s">
        <v>1418</v>
      </c>
      <c r="B381" s="49" t="s">
        <v>660</v>
      </c>
      <c r="C381" s="101" t="s">
        <v>1419</v>
      </c>
      <c r="D381" s="14" t="s">
        <v>3264</v>
      </c>
      <c r="E381" s="14" t="s">
        <v>3242</v>
      </c>
      <c r="F381" s="65" t="s">
        <v>841</v>
      </c>
      <c r="G381" s="106">
        <v>0.9</v>
      </c>
      <c r="H381" s="105" t="s">
        <v>3243</v>
      </c>
    </row>
    <row r="382" spans="1:8" ht="13.5" customHeight="1" x14ac:dyDescent="0.25">
      <c r="A382" s="24" t="s">
        <v>1420</v>
      </c>
      <c r="B382" s="38" t="s">
        <v>660</v>
      </c>
      <c r="C382" s="100" t="s">
        <v>1421</v>
      </c>
      <c r="D382" s="25" t="s">
        <v>3264</v>
      </c>
      <c r="E382" s="25" t="s">
        <v>3242</v>
      </c>
      <c r="F382" s="65" t="s">
        <v>841</v>
      </c>
      <c r="G382" s="106">
        <v>0.9</v>
      </c>
      <c r="H382" s="105" t="s">
        <v>3243</v>
      </c>
    </row>
    <row r="383" spans="1:8" ht="13.5" customHeight="1" x14ac:dyDescent="0.25">
      <c r="A383" s="13" t="s">
        <v>1422</v>
      </c>
      <c r="B383" s="49" t="s">
        <v>660</v>
      </c>
      <c r="C383" s="101" t="s">
        <v>1423</v>
      </c>
      <c r="D383" s="14" t="s">
        <v>3264</v>
      </c>
      <c r="E383" s="14" t="s">
        <v>3242</v>
      </c>
      <c r="F383" s="65" t="s">
        <v>841</v>
      </c>
      <c r="G383" s="106">
        <v>0.9</v>
      </c>
      <c r="H383" s="105" t="s">
        <v>3243</v>
      </c>
    </row>
    <row r="384" spans="1:8" ht="13.5" customHeight="1" x14ac:dyDescent="0.25">
      <c r="A384" s="24" t="s">
        <v>1424</v>
      </c>
      <c r="B384" s="38" t="s">
        <v>660</v>
      </c>
      <c r="C384" s="100" t="s">
        <v>1425</v>
      </c>
      <c r="D384" s="25" t="s">
        <v>3264</v>
      </c>
      <c r="E384" s="25" t="s">
        <v>3242</v>
      </c>
      <c r="F384" s="65" t="s">
        <v>841</v>
      </c>
      <c r="G384" s="106">
        <v>0.9</v>
      </c>
      <c r="H384" s="105" t="s">
        <v>3243</v>
      </c>
    </row>
    <row r="385" spans="1:8" ht="13.5" customHeight="1" x14ac:dyDescent="0.25">
      <c r="A385" s="13" t="s">
        <v>1426</v>
      </c>
      <c r="B385" s="49" t="s">
        <v>660</v>
      </c>
      <c r="C385" s="101" t="s">
        <v>1427</v>
      </c>
      <c r="D385" s="14" t="s">
        <v>3264</v>
      </c>
      <c r="E385" s="14" t="s">
        <v>3242</v>
      </c>
      <c r="F385" s="65" t="s">
        <v>841</v>
      </c>
      <c r="G385" s="106">
        <v>0.9</v>
      </c>
      <c r="H385" s="105" t="s">
        <v>3243</v>
      </c>
    </row>
    <row r="386" spans="1:8" ht="13.5" customHeight="1" x14ac:dyDescent="0.25">
      <c r="A386" s="24" t="s">
        <v>1428</v>
      </c>
      <c r="B386" s="38" t="s">
        <v>660</v>
      </c>
      <c r="C386" s="100" t="s">
        <v>1429</v>
      </c>
      <c r="D386" s="25" t="s">
        <v>3264</v>
      </c>
      <c r="E386" s="25" t="s">
        <v>3242</v>
      </c>
      <c r="F386" s="65" t="s">
        <v>841</v>
      </c>
      <c r="G386" s="106">
        <v>0.9</v>
      </c>
      <c r="H386" s="105" t="s">
        <v>3243</v>
      </c>
    </row>
    <row r="387" spans="1:8" ht="13.5" customHeight="1" x14ac:dyDescent="0.25">
      <c r="A387" s="13" t="s">
        <v>1430</v>
      </c>
      <c r="B387" s="49" t="s">
        <v>660</v>
      </c>
      <c r="C387" s="101" t="s">
        <v>1431</v>
      </c>
      <c r="D387" s="14" t="s">
        <v>3264</v>
      </c>
      <c r="E387" s="14" t="s">
        <v>3242</v>
      </c>
      <c r="F387" s="65" t="s">
        <v>841</v>
      </c>
      <c r="G387" s="106">
        <v>0.9</v>
      </c>
      <c r="H387" s="105" t="s">
        <v>3243</v>
      </c>
    </row>
    <row r="388" spans="1:8" ht="13.5" customHeight="1" x14ac:dyDescent="0.25">
      <c r="A388" s="24" t="s">
        <v>1432</v>
      </c>
      <c r="B388" s="38" t="s">
        <v>660</v>
      </c>
      <c r="C388" s="100" t="s">
        <v>1433</v>
      </c>
      <c r="D388" s="25" t="s">
        <v>3264</v>
      </c>
      <c r="E388" s="25" t="s">
        <v>3242</v>
      </c>
      <c r="F388" s="65" t="s">
        <v>841</v>
      </c>
      <c r="G388" s="106">
        <v>0.9</v>
      </c>
      <c r="H388" s="105" t="s">
        <v>3243</v>
      </c>
    </row>
    <row r="389" spans="1:8" ht="13.5" customHeight="1" x14ac:dyDescent="0.25">
      <c r="A389" s="13" t="s">
        <v>1434</v>
      </c>
      <c r="B389" s="49" t="s">
        <v>660</v>
      </c>
      <c r="C389" s="101" t="s">
        <v>1435</v>
      </c>
      <c r="D389" s="14" t="s">
        <v>3264</v>
      </c>
      <c r="E389" s="14" t="s">
        <v>3242</v>
      </c>
      <c r="F389" s="65" t="s">
        <v>841</v>
      </c>
      <c r="G389" s="106">
        <v>0.9</v>
      </c>
      <c r="H389" s="105" t="s">
        <v>3243</v>
      </c>
    </row>
    <row r="390" spans="1:8" ht="13.5" customHeight="1" x14ac:dyDescent="0.25">
      <c r="A390" s="24" t="s">
        <v>1436</v>
      </c>
      <c r="B390" s="38" t="s">
        <v>660</v>
      </c>
      <c r="C390" s="100" t="s">
        <v>1437</v>
      </c>
      <c r="D390" s="25" t="s">
        <v>3265</v>
      </c>
      <c r="E390" s="25" t="s">
        <v>3242</v>
      </c>
      <c r="F390" s="40" t="s">
        <v>477</v>
      </c>
      <c r="G390" s="102">
        <v>1</v>
      </c>
      <c r="H390" s="105" t="s">
        <v>3243</v>
      </c>
    </row>
    <row r="391" spans="1:8" ht="13.5" customHeight="1" x14ac:dyDescent="0.25">
      <c r="A391" s="13" t="s">
        <v>1439</v>
      </c>
      <c r="B391" s="49" t="s">
        <v>660</v>
      </c>
      <c r="C391" s="101" t="s">
        <v>1440</v>
      </c>
      <c r="D391" s="14" t="s">
        <v>3265</v>
      </c>
      <c r="E391" s="14" t="s">
        <v>3242</v>
      </c>
      <c r="F391" s="40" t="s">
        <v>477</v>
      </c>
      <c r="G391" s="102">
        <v>1</v>
      </c>
      <c r="H391" s="105" t="s">
        <v>3243</v>
      </c>
    </row>
    <row r="392" spans="1:8" ht="13.5" customHeight="1" x14ac:dyDescent="0.25">
      <c r="A392" s="24" t="s">
        <v>1441</v>
      </c>
      <c r="B392" s="38" t="s">
        <v>660</v>
      </c>
      <c r="C392" s="100" t="s">
        <v>1442</v>
      </c>
      <c r="D392" s="25" t="s">
        <v>3265</v>
      </c>
      <c r="E392" s="25" t="s">
        <v>3242</v>
      </c>
      <c r="F392" s="40" t="s">
        <v>477</v>
      </c>
      <c r="G392" s="102">
        <v>1</v>
      </c>
      <c r="H392" s="105" t="s">
        <v>3243</v>
      </c>
    </row>
    <row r="393" spans="1:8" ht="13.5" customHeight="1" x14ac:dyDescent="0.25">
      <c r="A393" s="13" t="s">
        <v>1443</v>
      </c>
      <c r="B393" s="49" t="s">
        <v>660</v>
      </c>
      <c r="C393" s="101" t="s">
        <v>1444</v>
      </c>
      <c r="D393" s="14" t="s">
        <v>3265</v>
      </c>
      <c r="E393" s="14" t="s">
        <v>3242</v>
      </c>
      <c r="F393" s="40" t="s">
        <v>477</v>
      </c>
      <c r="G393" s="102">
        <v>1</v>
      </c>
      <c r="H393" s="105" t="s">
        <v>3243</v>
      </c>
    </row>
    <row r="394" spans="1:8" ht="13.5" customHeight="1" x14ac:dyDescent="0.25">
      <c r="A394" s="24" t="s">
        <v>1445</v>
      </c>
      <c r="B394" s="38" t="s">
        <v>660</v>
      </c>
      <c r="C394" s="100" t="s">
        <v>1446</v>
      </c>
      <c r="D394" s="25" t="s">
        <v>3265</v>
      </c>
      <c r="E394" s="25" t="s">
        <v>3242</v>
      </c>
      <c r="F394" s="40" t="s">
        <v>477</v>
      </c>
      <c r="G394" s="102">
        <v>1</v>
      </c>
      <c r="H394" s="105" t="s">
        <v>3243</v>
      </c>
    </row>
    <row r="395" spans="1:8" ht="13.5" customHeight="1" x14ac:dyDescent="0.25">
      <c r="A395" s="13" t="s">
        <v>1447</v>
      </c>
      <c r="B395" s="49" t="s">
        <v>660</v>
      </c>
      <c r="C395" s="101" t="s">
        <v>1448</v>
      </c>
      <c r="D395" s="14" t="s">
        <v>3265</v>
      </c>
      <c r="E395" s="14" t="s">
        <v>3242</v>
      </c>
      <c r="F395" s="40" t="s">
        <v>477</v>
      </c>
      <c r="G395" s="102">
        <v>1</v>
      </c>
      <c r="H395" s="105" t="s">
        <v>3243</v>
      </c>
    </row>
    <row r="396" spans="1:8" ht="13.5" customHeight="1" x14ac:dyDescent="0.25">
      <c r="A396" s="24" t="s">
        <v>1449</v>
      </c>
      <c r="B396" s="38" t="s">
        <v>660</v>
      </c>
      <c r="C396" s="100" t="s">
        <v>1450</v>
      </c>
      <c r="D396" s="25" t="s">
        <v>3265</v>
      </c>
      <c r="E396" s="25" t="s">
        <v>3242</v>
      </c>
      <c r="F396" s="40" t="s">
        <v>477</v>
      </c>
      <c r="G396" s="102">
        <v>1</v>
      </c>
      <c r="H396" s="105" t="s">
        <v>3243</v>
      </c>
    </row>
    <row r="397" spans="1:8" ht="13.5" customHeight="1" x14ac:dyDescent="0.25">
      <c r="A397" s="13" t="s">
        <v>1451</v>
      </c>
      <c r="B397" s="49" t="s">
        <v>660</v>
      </c>
      <c r="C397" s="101" t="s">
        <v>1452</v>
      </c>
      <c r="D397" s="14" t="s">
        <v>3265</v>
      </c>
      <c r="E397" s="14" t="s">
        <v>3242</v>
      </c>
      <c r="F397" s="40" t="s">
        <v>477</v>
      </c>
      <c r="G397" s="102">
        <v>1</v>
      </c>
      <c r="H397" s="105" t="s">
        <v>3243</v>
      </c>
    </row>
    <row r="398" spans="1:8" ht="13.5" customHeight="1" x14ac:dyDescent="0.25">
      <c r="A398" s="24" t="s">
        <v>1453</v>
      </c>
      <c r="B398" s="38" t="s">
        <v>660</v>
      </c>
      <c r="C398" s="100" t="s">
        <v>1454</v>
      </c>
      <c r="D398" s="25" t="s">
        <v>3265</v>
      </c>
      <c r="E398" s="25" t="s">
        <v>3242</v>
      </c>
      <c r="F398" s="40" t="s">
        <v>477</v>
      </c>
      <c r="G398" s="102">
        <v>1</v>
      </c>
      <c r="H398" s="105" t="s">
        <v>3243</v>
      </c>
    </row>
    <row r="399" spans="1:8" ht="13.5" customHeight="1" x14ac:dyDescent="0.25">
      <c r="A399" s="13" t="s">
        <v>1455</v>
      </c>
      <c r="B399" s="49" t="s">
        <v>660</v>
      </c>
      <c r="C399" s="101" t="s">
        <v>1456</v>
      </c>
      <c r="D399" s="14" t="s">
        <v>3265</v>
      </c>
      <c r="E399" s="14" t="s">
        <v>3242</v>
      </c>
      <c r="F399" s="40" t="s">
        <v>477</v>
      </c>
      <c r="G399" s="102">
        <v>1</v>
      </c>
      <c r="H399" s="105" t="s">
        <v>3243</v>
      </c>
    </row>
    <row r="400" spans="1:8" ht="13.5" customHeight="1" x14ac:dyDescent="0.25">
      <c r="A400" s="24" t="s">
        <v>1457</v>
      </c>
      <c r="B400" s="38" t="s">
        <v>660</v>
      </c>
      <c r="C400" s="100" t="s">
        <v>1458</v>
      </c>
      <c r="D400" s="25" t="s">
        <v>3265</v>
      </c>
      <c r="E400" s="25" t="s">
        <v>3242</v>
      </c>
      <c r="F400" s="40" t="s">
        <v>477</v>
      </c>
      <c r="G400" s="102">
        <v>1</v>
      </c>
      <c r="H400" s="105" t="s">
        <v>3243</v>
      </c>
    </row>
    <row r="401" spans="1:8" ht="13.5" customHeight="1" x14ac:dyDescent="0.25">
      <c r="A401" s="13" t="s">
        <v>1459</v>
      </c>
      <c r="B401" s="49" t="s">
        <v>660</v>
      </c>
      <c r="C401" s="101" t="s">
        <v>1460</v>
      </c>
      <c r="D401" s="14" t="s">
        <v>3265</v>
      </c>
      <c r="E401" s="14" t="s">
        <v>3242</v>
      </c>
      <c r="F401" s="40" t="s">
        <v>477</v>
      </c>
      <c r="G401" s="102">
        <v>1</v>
      </c>
      <c r="H401" s="105" t="s">
        <v>3243</v>
      </c>
    </row>
    <row r="402" spans="1:8" ht="13.5" customHeight="1" x14ac:dyDescent="0.25">
      <c r="A402" s="24" t="s">
        <v>1461</v>
      </c>
      <c r="B402" s="38" t="s">
        <v>660</v>
      </c>
      <c r="C402" s="100" t="s">
        <v>1462</v>
      </c>
      <c r="D402" s="25" t="s">
        <v>3265</v>
      </c>
      <c r="E402" s="25" t="s">
        <v>3242</v>
      </c>
      <c r="F402" s="40" t="s">
        <v>477</v>
      </c>
      <c r="G402" s="102">
        <v>1</v>
      </c>
      <c r="H402" s="105" t="s">
        <v>3243</v>
      </c>
    </row>
    <row r="403" spans="1:8" ht="13.5" customHeight="1" x14ac:dyDescent="0.25">
      <c r="A403" s="13" t="s">
        <v>1463</v>
      </c>
      <c r="B403" s="49" t="s">
        <v>660</v>
      </c>
      <c r="C403" s="101" t="s">
        <v>1464</v>
      </c>
      <c r="D403" s="14" t="s">
        <v>3265</v>
      </c>
      <c r="E403" s="14" t="s">
        <v>3242</v>
      </c>
      <c r="F403" s="40" t="s">
        <v>477</v>
      </c>
      <c r="G403" s="102">
        <v>1</v>
      </c>
      <c r="H403" s="105" t="s">
        <v>3243</v>
      </c>
    </row>
    <row r="404" spans="1:8" ht="13.5" customHeight="1" x14ac:dyDescent="0.25">
      <c r="A404" s="24" t="s">
        <v>1465</v>
      </c>
      <c r="B404" s="38" t="s">
        <v>660</v>
      </c>
      <c r="C404" s="100" t="s">
        <v>1466</v>
      </c>
      <c r="D404" s="25" t="s">
        <v>3265</v>
      </c>
      <c r="E404" s="25" t="s">
        <v>3242</v>
      </c>
      <c r="F404" s="40" t="s">
        <v>477</v>
      </c>
      <c r="G404" s="102">
        <v>1</v>
      </c>
      <c r="H404" s="105" t="s">
        <v>3243</v>
      </c>
    </row>
    <row r="405" spans="1:8" ht="13.5" customHeight="1" x14ac:dyDescent="0.25">
      <c r="A405" s="13" t="s">
        <v>1467</v>
      </c>
      <c r="B405" s="49" t="s">
        <v>660</v>
      </c>
      <c r="C405" s="101" t="s">
        <v>1468</v>
      </c>
      <c r="D405" s="14" t="s">
        <v>3265</v>
      </c>
      <c r="E405" s="14" t="s">
        <v>3242</v>
      </c>
      <c r="F405" s="40" t="s">
        <v>477</v>
      </c>
      <c r="G405" s="102">
        <v>1</v>
      </c>
      <c r="H405" s="105" t="s">
        <v>3243</v>
      </c>
    </row>
    <row r="406" spans="1:8" ht="13.5" customHeight="1" x14ac:dyDescent="0.25">
      <c r="A406" s="24" t="s">
        <v>1469</v>
      </c>
      <c r="B406" s="38" t="s">
        <v>660</v>
      </c>
      <c r="C406" s="100" t="s">
        <v>1470</v>
      </c>
      <c r="D406" s="25" t="s">
        <v>3265</v>
      </c>
      <c r="E406" s="25" t="s">
        <v>3242</v>
      </c>
      <c r="F406" s="40" t="s">
        <v>477</v>
      </c>
      <c r="G406" s="102">
        <v>1</v>
      </c>
      <c r="H406" s="105" t="s">
        <v>3243</v>
      </c>
    </row>
    <row r="407" spans="1:8" ht="13.5" customHeight="1" x14ac:dyDescent="0.25">
      <c r="A407" s="13" t="s">
        <v>1471</v>
      </c>
      <c r="B407" s="49" t="s">
        <v>660</v>
      </c>
      <c r="C407" s="101" t="s">
        <v>1472</v>
      </c>
      <c r="D407" s="14" t="s">
        <v>3265</v>
      </c>
      <c r="E407" s="14" t="s">
        <v>3242</v>
      </c>
      <c r="F407" s="40" t="s">
        <v>477</v>
      </c>
      <c r="G407" s="102">
        <v>1</v>
      </c>
      <c r="H407" s="105" t="s">
        <v>3243</v>
      </c>
    </row>
    <row r="408" spans="1:8" ht="13.5" customHeight="1" x14ac:dyDescent="0.25">
      <c r="A408" s="24" t="s">
        <v>1473</v>
      </c>
      <c r="B408" s="38" t="s">
        <v>660</v>
      </c>
      <c r="C408" s="100" t="s">
        <v>1474</v>
      </c>
      <c r="D408" s="25" t="s">
        <v>3265</v>
      </c>
      <c r="E408" s="25" t="s">
        <v>3242</v>
      </c>
      <c r="F408" s="40" t="s">
        <v>477</v>
      </c>
      <c r="G408" s="102">
        <v>1</v>
      </c>
      <c r="H408" s="105" t="s">
        <v>3243</v>
      </c>
    </row>
    <row r="409" spans="1:8" ht="13.5" customHeight="1" x14ac:dyDescent="0.25">
      <c r="A409" s="13" t="s">
        <v>1475</v>
      </c>
      <c r="B409" s="49" t="s">
        <v>660</v>
      </c>
      <c r="C409" s="101" t="s">
        <v>1476</v>
      </c>
      <c r="D409" s="14" t="s">
        <v>3265</v>
      </c>
      <c r="E409" s="14" t="s">
        <v>3242</v>
      </c>
      <c r="F409" s="40" t="s">
        <v>477</v>
      </c>
      <c r="G409" s="102">
        <v>1</v>
      </c>
      <c r="H409" s="105" t="s">
        <v>3243</v>
      </c>
    </row>
    <row r="410" spans="1:8" ht="13.5" customHeight="1" x14ac:dyDescent="0.25">
      <c r="A410" s="24" t="s">
        <v>1477</v>
      </c>
      <c r="B410" s="38" t="s">
        <v>660</v>
      </c>
      <c r="C410" s="100" t="s">
        <v>1478</v>
      </c>
      <c r="D410" s="25" t="s">
        <v>3265</v>
      </c>
      <c r="E410" s="25" t="s">
        <v>3242</v>
      </c>
      <c r="F410" s="40" t="s">
        <v>477</v>
      </c>
      <c r="G410" s="102">
        <v>1</v>
      </c>
      <c r="H410" s="105" t="s">
        <v>3243</v>
      </c>
    </row>
    <row r="411" spans="1:8" ht="13.5" customHeight="1" x14ac:dyDescent="0.25">
      <c r="A411" s="13" t="s">
        <v>1479</v>
      </c>
      <c r="B411" s="49" t="s">
        <v>660</v>
      </c>
      <c r="C411" s="101" t="s">
        <v>1480</v>
      </c>
      <c r="D411" s="14" t="s">
        <v>3265</v>
      </c>
      <c r="E411" s="14" t="s">
        <v>3242</v>
      </c>
      <c r="F411" s="40" t="s">
        <v>477</v>
      </c>
      <c r="G411" s="102">
        <v>1</v>
      </c>
      <c r="H411" s="105" t="s">
        <v>3243</v>
      </c>
    </row>
    <row r="412" spans="1:8" ht="13.5" customHeight="1" x14ac:dyDescent="0.25">
      <c r="A412" s="24" t="s">
        <v>1481</v>
      </c>
      <c r="B412" s="38" t="s">
        <v>660</v>
      </c>
      <c r="C412" s="100" t="s">
        <v>1482</v>
      </c>
      <c r="D412" s="25" t="s">
        <v>3265</v>
      </c>
      <c r="E412" s="25" t="s">
        <v>3242</v>
      </c>
      <c r="F412" s="40" t="s">
        <v>477</v>
      </c>
      <c r="G412" s="102">
        <v>1</v>
      </c>
      <c r="H412" s="105" t="s">
        <v>3243</v>
      </c>
    </row>
    <row r="413" spans="1:8" ht="13.5" customHeight="1" x14ac:dyDescent="0.25">
      <c r="A413" s="13" t="s">
        <v>1483</v>
      </c>
      <c r="B413" s="49" t="s">
        <v>660</v>
      </c>
      <c r="C413" s="101" t="s">
        <v>1484</v>
      </c>
      <c r="D413" s="14" t="s">
        <v>3265</v>
      </c>
      <c r="E413" s="14" t="s">
        <v>3242</v>
      </c>
      <c r="F413" s="40" t="s">
        <v>477</v>
      </c>
      <c r="G413" s="102">
        <v>1</v>
      </c>
      <c r="H413" s="105" t="s">
        <v>3243</v>
      </c>
    </row>
    <row r="414" spans="1:8" ht="13.5" customHeight="1" x14ac:dyDescent="0.25">
      <c r="A414" s="24" t="s">
        <v>1485</v>
      </c>
      <c r="B414" s="38" t="s">
        <v>660</v>
      </c>
      <c r="C414" s="100" t="s">
        <v>1486</v>
      </c>
      <c r="D414" s="25" t="s">
        <v>3265</v>
      </c>
      <c r="E414" s="25" t="s">
        <v>3242</v>
      </c>
      <c r="F414" s="40" t="s">
        <v>477</v>
      </c>
      <c r="G414" s="102">
        <v>1</v>
      </c>
      <c r="H414" s="105" t="s">
        <v>3243</v>
      </c>
    </row>
    <row r="415" spans="1:8" ht="13.5" customHeight="1" x14ac:dyDescent="0.25">
      <c r="A415" s="13" t="s">
        <v>1487</v>
      </c>
      <c r="B415" s="49" t="s">
        <v>660</v>
      </c>
      <c r="C415" s="101" t="s">
        <v>1488</v>
      </c>
      <c r="D415" s="14" t="s">
        <v>3265</v>
      </c>
      <c r="E415" s="14" t="s">
        <v>3242</v>
      </c>
      <c r="F415" s="40" t="s">
        <v>477</v>
      </c>
      <c r="G415" s="102">
        <v>1</v>
      </c>
      <c r="H415" s="105" t="s">
        <v>3243</v>
      </c>
    </row>
    <row r="416" spans="1:8" ht="13.5" customHeight="1" x14ac:dyDescent="0.25">
      <c r="A416" s="24" t="s">
        <v>1489</v>
      </c>
      <c r="B416" s="38" t="s">
        <v>660</v>
      </c>
      <c r="C416" s="100" t="s">
        <v>1490</v>
      </c>
      <c r="D416" s="25" t="s">
        <v>3265</v>
      </c>
      <c r="E416" s="25" t="s">
        <v>3242</v>
      </c>
      <c r="F416" s="40" t="s">
        <v>477</v>
      </c>
      <c r="G416" s="102">
        <v>1</v>
      </c>
      <c r="H416" s="105" t="s">
        <v>3243</v>
      </c>
    </row>
    <row r="417" spans="1:8" ht="13.5" customHeight="1" x14ac:dyDescent="0.25">
      <c r="A417" s="13" t="s">
        <v>1491</v>
      </c>
      <c r="B417" s="49" t="s">
        <v>660</v>
      </c>
      <c r="C417" s="101" t="s">
        <v>1492</v>
      </c>
      <c r="D417" s="14" t="s">
        <v>3265</v>
      </c>
      <c r="E417" s="14" t="s">
        <v>3242</v>
      </c>
      <c r="F417" s="40" t="s">
        <v>477</v>
      </c>
      <c r="G417" s="102">
        <v>1</v>
      </c>
      <c r="H417" s="105" t="s">
        <v>3243</v>
      </c>
    </row>
    <row r="418" spans="1:8" ht="13.5" customHeight="1" x14ac:dyDescent="0.25">
      <c r="A418" s="24" t="s">
        <v>1493</v>
      </c>
      <c r="B418" s="38" t="s">
        <v>660</v>
      </c>
      <c r="C418" s="100" t="s">
        <v>1494</v>
      </c>
      <c r="D418" s="25" t="s">
        <v>3265</v>
      </c>
      <c r="E418" s="25" t="s">
        <v>3242</v>
      </c>
      <c r="F418" s="40" t="s">
        <v>477</v>
      </c>
      <c r="G418" s="102">
        <v>1</v>
      </c>
      <c r="H418" s="105" t="s">
        <v>3243</v>
      </c>
    </row>
    <row r="419" spans="1:8" ht="13.5" customHeight="1" x14ac:dyDescent="0.25">
      <c r="A419" s="13" t="s">
        <v>1495</v>
      </c>
      <c r="B419" s="49" t="s">
        <v>660</v>
      </c>
      <c r="C419" s="101" t="s">
        <v>1496</v>
      </c>
      <c r="D419" s="14" t="s">
        <v>3265</v>
      </c>
      <c r="E419" s="14" t="s">
        <v>3242</v>
      </c>
      <c r="F419" s="40" t="s">
        <v>477</v>
      </c>
      <c r="G419" s="102">
        <v>1</v>
      </c>
      <c r="H419" s="105" t="s">
        <v>3243</v>
      </c>
    </row>
    <row r="420" spans="1:8" ht="13.5" customHeight="1" x14ac:dyDescent="0.25">
      <c r="A420" s="24" t="s">
        <v>1497</v>
      </c>
      <c r="B420" s="38" t="s">
        <v>660</v>
      </c>
      <c r="C420" s="100" t="s">
        <v>1498</v>
      </c>
      <c r="D420" s="25" t="s">
        <v>3265</v>
      </c>
      <c r="E420" s="25" t="s">
        <v>3242</v>
      </c>
      <c r="F420" s="40" t="s">
        <v>477</v>
      </c>
      <c r="G420" s="102">
        <v>1</v>
      </c>
      <c r="H420" s="105" t="s">
        <v>3243</v>
      </c>
    </row>
    <row r="421" spans="1:8" ht="13.5" customHeight="1" x14ac:dyDescent="0.25">
      <c r="A421" s="13" t="s">
        <v>1499</v>
      </c>
      <c r="B421" s="49" t="s">
        <v>660</v>
      </c>
      <c r="C421" s="101" t="s">
        <v>1500</v>
      </c>
      <c r="D421" s="14" t="s">
        <v>3265</v>
      </c>
      <c r="E421" s="14" t="s">
        <v>3242</v>
      </c>
      <c r="F421" s="40" t="s">
        <v>477</v>
      </c>
      <c r="G421" s="102">
        <v>1</v>
      </c>
      <c r="H421" s="105" t="s">
        <v>3243</v>
      </c>
    </row>
    <row r="422" spans="1:8" ht="13.5" customHeight="1" x14ac:dyDescent="0.25">
      <c r="A422" s="24" t="s">
        <v>1501</v>
      </c>
      <c r="B422" s="38" t="s">
        <v>660</v>
      </c>
      <c r="C422" s="100" t="s">
        <v>1502</v>
      </c>
      <c r="D422" s="25" t="s">
        <v>3265</v>
      </c>
      <c r="E422" s="25" t="s">
        <v>3242</v>
      </c>
      <c r="F422" s="40" t="s">
        <v>477</v>
      </c>
      <c r="G422" s="102">
        <v>1</v>
      </c>
      <c r="H422" s="105" t="s">
        <v>3243</v>
      </c>
    </row>
    <row r="423" spans="1:8" ht="13.5" customHeight="1" x14ac:dyDescent="0.25">
      <c r="A423" s="13" t="s">
        <v>1503</v>
      </c>
      <c r="B423" s="49" t="s">
        <v>660</v>
      </c>
      <c r="C423" s="101" t="s">
        <v>1504</v>
      </c>
      <c r="D423" s="14" t="s">
        <v>3265</v>
      </c>
      <c r="E423" s="14" t="s">
        <v>3242</v>
      </c>
      <c r="F423" s="40" t="s">
        <v>477</v>
      </c>
      <c r="G423" s="102">
        <v>1</v>
      </c>
      <c r="H423" s="105" t="s">
        <v>3243</v>
      </c>
    </row>
    <row r="424" spans="1:8" ht="13.5" customHeight="1" x14ac:dyDescent="0.25">
      <c r="A424" s="24" t="s">
        <v>1505</v>
      </c>
      <c r="B424" s="38" t="s">
        <v>660</v>
      </c>
      <c r="C424" s="100" t="s">
        <v>1506</v>
      </c>
      <c r="D424" s="25" t="s">
        <v>3265</v>
      </c>
      <c r="E424" s="25" t="s">
        <v>3242</v>
      </c>
      <c r="F424" s="40" t="s">
        <v>477</v>
      </c>
      <c r="G424" s="102">
        <v>1</v>
      </c>
      <c r="H424" s="105" t="s">
        <v>3243</v>
      </c>
    </row>
    <row r="425" spans="1:8" ht="13.5" customHeight="1" x14ac:dyDescent="0.25">
      <c r="A425" s="13" t="s">
        <v>1507</v>
      </c>
      <c r="B425" s="49" t="s">
        <v>660</v>
      </c>
      <c r="C425" s="101" t="s">
        <v>1508</v>
      </c>
      <c r="D425" s="14" t="s">
        <v>3265</v>
      </c>
      <c r="E425" s="14" t="s">
        <v>3242</v>
      </c>
      <c r="F425" s="40" t="s">
        <v>477</v>
      </c>
      <c r="G425" s="102">
        <v>1</v>
      </c>
      <c r="H425" s="105" t="s">
        <v>3243</v>
      </c>
    </row>
    <row r="426" spans="1:8" ht="13.5" customHeight="1" x14ac:dyDescent="0.25">
      <c r="A426" s="24" t="s">
        <v>1509</v>
      </c>
      <c r="B426" s="38" t="s">
        <v>660</v>
      </c>
      <c r="C426" s="100" t="s">
        <v>1510</v>
      </c>
      <c r="D426" s="25" t="s">
        <v>3265</v>
      </c>
      <c r="E426" s="25" t="s">
        <v>3242</v>
      </c>
      <c r="F426" s="40" t="s">
        <v>477</v>
      </c>
      <c r="G426" s="102">
        <v>1</v>
      </c>
      <c r="H426" s="105" t="s">
        <v>3243</v>
      </c>
    </row>
    <row r="427" spans="1:8" ht="13.5" customHeight="1" x14ac:dyDescent="0.25">
      <c r="A427" s="13" t="s">
        <v>1511</v>
      </c>
      <c r="B427" s="49" t="s">
        <v>660</v>
      </c>
      <c r="C427" s="101" t="s">
        <v>1512</v>
      </c>
      <c r="D427" s="14" t="s">
        <v>3265</v>
      </c>
      <c r="E427" s="14" t="s">
        <v>3242</v>
      </c>
      <c r="F427" s="40" t="s">
        <v>477</v>
      </c>
      <c r="G427" s="102">
        <v>1</v>
      </c>
      <c r="H427" s="105" t="s">
        <v>3243</v>
      </c>
    </row>
    <row r="428" spans="1:8" ht="13.5" customHeight="1" x14ac:dyDescent="0.25">
      <c r="A428" s="24" t="s">
        <v>1513</v>
      </c>
      <c r="B428" s="38" t="s">
        <v>660</v>
      </c>
      <c r="C428" s="100" t="s">
        <v>1514</v>
      </c>
      <c r="D428" s="25" t="s">
        <v>3265</v>
      </c>
      <c r="E428" s="25" t="s">
        <v>3242</v>
      </c>
      <c r="F428" s="40" t="s">
        <v>477</v>
      </c>
      <c r="G428" s="102">
        <v>1</v>
      </c>
      <c r="H428" s="105" t="s">
        <v>3243</v>
      </c>
    </row>
    <row r="429" spans="1:8" ht="13.5" customHeight="1" x14ac:dyDescent="0.25">
      <c r="A429" s="13" t="s">
        <v>1515</v>
      </c>
      <c r="B429" s="49" t="s">
        <v>1516</v>
      </c>
      <c r="C429" s="101" t="s">
        <v>1517</v>
      </c>
      <c r="D429" s="14" t="s">
        <v>3266</v>
      </c>
      <c r="E429" s="14" t="s">
        <v>3267</v>
      </c>
      <c r="F429" s="64" t="s">
        <v>566</v>
      </c>
      <c r="G429" s="104">
        <v>1.1499999999999999</v>
      </c>
      <c r="H429" s="103" t="s">
        <v>3239</v>
      </c>
    </row>
    <row r="430" spans="1:8" ht="13.5" customHeight="1" x14ac:dyDescent="0.25">
      <c r="A430" s="24" t="s">
        <v>1519</v>
      </c>
      <c r="B430" s="38" t="s">
        <v>1516</v>
      </c>
      <c r="C430" s="100" t="s">
        <v>1520</v>
      </c>
      <c r="D430" s="25" t="s">
        <v>3266</v>
      </c>
      <c r="E430" s="25" t="s">
        <v>3267</v>
      </c>
      <c r="F430" s="64" t="s">
        <v>566</v>
      </c>
      <c r="G430" s="104">
        <v>1.1499999999999999</v>
      </c>
      <c r="H430" s="103" t="s">
        <v>3239</v>
      </c>
    </row>
    <row r="431" spans="1:8" ht="13.5" customHeight="1" x14ac:dyDescent="0.25">
      <c r="A431" s="13" t="s">
        <v>1521</v>
      </c>
      <c r="B431" s="49" t="s">
        <v>1516</v>
      </c>
      <c r="C431" s="101" t="s">
        <v>1522</v>
      </c>
      <c r="D431" s="14" t="s">
        <v>3266</v>
      </c>
      <c r="E431" s="14" t="s">
        <v>3267</v>
      </c>
      <c r="F431" s="64" t="s">
        <v>566</v>
      </c>
      <c r="G431" s="104">
        <v>1.1499999999999999</v>
      </c>
      <c r="H431" s="103" t="s">
        <v>3239</v>
      </c>
    </row>
    <row r="432" spans="1:8" ht="13.5" customHeight="1" x14ac:dyDescent="0.25">
      <c r="A432" s="24" t="s">
        <v>1523</v>
      </c>
      <c r="B432" s="38" t="s">
        <v>1516</v>
      </c>
      <c r="C432" s="100" t="s">
        <v>1524</v>
      </c>
      <c r="D432" s="25" t="s">
        <v>3266</v>
      </c>
      <c r="E432" s="25" t="s">
        <v>3267</v>
      </c>
      <c r="F432" s="64" t="s">
        <v>566</v>
      </c>
      <c r="G432" s="104">
        <v>1.1499999999999999</v>
      </c>
      <c r="H432" s="103" t="s">
        <v>3239</v>
      </c>
    </row>
    <row r="433" spans="1:8" ht="13.5" customHeight="1" x14ac:dyDescent="0.25">
      <c r="A433" s="13" t="s">
        <v>1525</v>
      </c>
      <c r="B433" s="49" t="s">
        <v>1516</v>
      </c>
      <c r="C433" s="101" t="s">
        <v>1526</v>
      </c>
      <c r="D433" s="14" t="s">
        <v>3266</v>
      </c>
      <c r="E433" s="14" t="s">
        <v>3267</v>
      </c>
      <c r="F433" s="64" t="s">
        <v>566</v>
      </c>
      <c r="G433" s="104">
        <v>1.1499999999999999</v>
      </c>
      <c r="H433" s="103" t="s">
        <v>3239</v>
      </c>
    </row>
    <row r="434" spans="1:8" ht="13.5" customHeight="1" x14ac:dyDescent="0.25">
      <c r="A434" s="24" t="s">
        <v>1527</v>
      </c>
      <c r="B434" s="38" t="s">
        <v>1516</v>
      </c>
      <c r="C434" s="100" t="s">
        <v>1528</v>
      </c>
      <c r="D434" s="25" t="s">
        <v>3266</v>
      </c>
      <c r="E434" s="25" t="s">
        <v>3267</v>
      </c>
      <c r="F434" s="64" t="s">
        <v>566</v>
      </c>
      <c r="G434" s="104">
        <v>1.1499999999999999</v>
      </c>
      <c r="H434" s="103" t="s">
        <v>3239</v>
      </c>
    </row>
    <row r="435" spans="1:8" ht="13.5" customHeight="1" x14ac:dyDescent="0.25">
      <c r="A435" s="13" t="s">
        <v>1529</v>
      </c>
      <c r="B435" s="49" t="s">
        <v>1516</v>
      </c>
      <c r="C435" s="101" t="s">
        <v>1530</v>
      </c>
      <c r="D435" s="14" t="s">
        <v>3266</v>
      </c>
      <c r="E435" s="14" t="s">
        <v>3267</v>
      </c>
      <c r="F435" s="64" t="s">
        <v>566</v>
      </c>
      <c r="G435" s="104">
        <v>1.1499999999999999</v>
      </c>
      <c r="H435" s="103" t="s">
        <v>3239</v>
      </c>
    </row>
    <row r="436" spans="1:8" ht="13.5" customHeight="1" x14ac:dyDescent="0.25">
      <c r="A436" s="24" t="s">
        <v>1531</v>
      </c>
      <c r="B436" s="38" t="s">
        <v>1516</v>
      </c>
      <c r="C436" s="100" t="s">
        <v>1532</v>
      </c>
      <c r="D436" s="25" t="s">
        <v>3266</v>
      </c>
      <c r="E436" s="25" t="s">
        <v>3267</v>
      </c>
      <c r="F436" s="64" t="s">
        <v>566</v>
      </c>
      <c r="G436" s="104">
        <v>1.1499999999999999</v>
      </c>
      <c r="H436" s="103" t="s">
        <v>3239</v>
      </c>
    </row>
    <row r="437" spans="1:8" ht="13.5" customHeight="1" x14ac:dyDescent="0.25">
      <c r="A437" s="13" t="s">
        <v>1533</v>
      </c>
      <c r="B437" s="49" t="s">
        <v>1534</v>
      </c>
      <c r="C437" s="101" t="s">
        <v>1535</v>
      </c>
      <c r="D437" s="14" t="s">
        <v>3268</v>
      </c>
      <c r="E437" s="14" t="s">
        <v>3269</v>
      </c>
      <c r="F437" s="40" t="s">
        <v>477</v>
      </c>
      <c r="G437" s="102">
        <v>1</v>
      </c>
      <c r="H437" s="105" t="s">
        <v>3243</v>
      </c>
    </row>
    <row r="438" spans="1:8" ht="13.5" customHeight="1" x14ac:dyDescent="0.25">
      <c r="A438" s="24" t="s">
        <v>1537</v>
      </c>
      <c r="B438" s="38" t="s">
        <v>1534</v>
      </c>
      <c r="C438" s="100" t="s">
        <v>1538</v>
      </c>
      <c r="D438" s="25" t="s">
        <v>3268</v>
      </c>
      <c r="E438" s="25" t="s">
        <v>3269</v>
      </c>
      <c r="F438" s="40" t="s">
        <v>477</v>
      </c>
      <c r="G438" s="102">
        <v>1</v>
      </c>
      <c r="H438" s="105" t="s">
        <v>3243</v>
      </c>
    </row>
    <row r="439" spans="1:8" ht="13.5" customHeight="1" x14ac:dyDescent="0.25">
      <c r="A439" s="13" t="s">
        <v>1539</v>
      </c>
      <c r="B439" s="49" t="s">
        <v>1534</v>
      </c>
      <c r="C439" s="101" t="s">
        <v>1540</v>
      </c>
      <c r="D439" s="14" t="s">
        <v>3270</v>
      </c>
      <c r="E439" s="14" t="s">
        <v>3269</v>
      </c>
      <c r="F439" s="64" t="s">
        <v>566</v>
      </c>
      <c r="G439" s="104">
        <v>1.1499999999999999</v>
      </c>
      <c r="H439" s="105" t="s">
        <v>3243</v>
      </c>
    </row>
    <row r="440" spans="1:8" ht="13.5" customHeight="1" x14ac:dyDescent="0.25">
      <c r="A440" s="24" t="s">
        <v>1542</v>
      </c>
      <c r="B440" s="38" t="s">
        <v>1534</v>
      </c>
      <c r="C440" s="100" t="s">
        <v>1543</v>
      </c>
      <c r="D440" s="25" t="s">
        <v>3270</v>
      </c>
      <c r="E440" s="25" t="s">
        <v>3269</v>
      </c>
      <c r="F440" s="64" t="s">
        <v>566</v>
      </c>
      <c r="G440" s="104">
        <v>1.1499999999999999</v>
      </c>
      <c r="H440" s="105" t="s">
        <v>3243</v>
      </c>
    </row>
    <row r="441" spans="1:8" ht="13.5" customHeight="1" x14ac:dyDescent="0.25">
      <c r="A441" s="13" t="s">
        <v>1544</v>
      </c>
      <c r="B441" s="49" t="s">
        <v>1534</v>
      </c>
      <c r="C441" s="101" t="s">
        <v>1545</v>
      </c>
      <c r="D441" s="14" t="s">
        <v>3271</v>
      </c>
      <c r="E441" s="14" t="s">
        <v>3269</v>
      </c>
      <c r="F441" s="64" t="s">
        <v>566</v>
      </c>
      <c r="G441" s="104">
        <v>1.1499999999999999</v>
      </c>
      <c r="H441" s="105" t="s">
        <v>3243</v>
      </c>
    </row>
    <row r="442" spans="1:8" ht="13.5" customHeight="1" x14ac:dyDescent="0.25">
      <c r="A442" s="24" t="s">
        <v>1547</v>
      </c>
      <c r="B442" s="38" t="s">
        <v>1534</v>
      </c>
      <c r="C442" s="100" t="s">
        <v>1548</v>
      </c>
      <c r="D442" s="25" t="s">
        <v>3271</v>
      </c>
      <c r="E442" s="25" t="s">
        <v>3269</v>
      </c>
      <c r="F442" s="64" t="s">
        <v>566</v>
      </c>
      <c r="G442" s="104">
        <v>1.1499999999999999</v>
      </c>
      <c r="H442" s="105" t="s">
        <v>3243</v>
      </c>
    </row>
    <row r="443" spans="1:8" ht="13.5" customHeight="1" x14ac:dyDescent="0.25">
      <c r="A443" s="13" t="s">
        <v>1549</v>
      </c>
      <c r="B443" s="49" t="s">
        <v>1534</v>
      </c>
      <c r="C443" s="101" t="s">
        <v>1550</v>
      </c>
      <c r="D443" s="14" t="s">
        <v>3271</v>
      </c>
      <c r="E443" s="14" t="s">
        <v>3269</v>
      </c>
      <c r="F443" s="64" t="s">
        <v>566</v>
      </c>
      <c r="G443" s="104">
        <v>1.1499999999999999</v>
      </c>
      <c r="H443" s="105" t="s">
        <v>3243</v>
      </c>
    </row>
    <row r="444" spans="1:8" ht="13.5" customHeight="1" x14ac:dyDescent="0.25">
      <c r="A444" s="24" t="s">
        <v>1551</v>
      </c>
      <c r="B444" s="38" t="s">
        <v>1534</v>
      </c>
      <c r="C444" s="100" t="s">
        <v>1552</v>
      </c>
      <c r="D444" s="25" t="s">
        <v>3271</v>
      </c>
      <c r="E444" s="25" t="s">
        <v>3269</v>
      </c>
      <c r="F444" s="64" t="s">
        <v>566</v>
      </c>
      <c r="G444" s="104">
        <v>1.1499999999999999</v>
      </c>
      <c r="H444" s="105" t="s">
        <v>3243</v>
      </c>
    </row>
    <row r="445" spans="1:8" ht="13.5" customHeight="1" x14ac:dyDescent="0.25">
      <c r="A445" s="13" t="s">
        <v>1553</v>
      </c>
      <c r="B445" s="49" t="s">
        <v>1534</v>
      </c>
      <c r="C445" s="101" t="s">
        <v>1554</v>
      </c>
      <c r="D445" s="14" t="s">
        <v>3271</v>
      </c>
      <c r="E445" s="14" t="s">
        <v>3269</v>
      </c>
      <c r="F445" s="64" t="s">
        <v>566</v>
      </c>
      <c r="G445" s="104">
        <v>1.1499999999999999</v>
      </c>
      <c r="H445" s="105" t="s">
        <v>3243</v>
      </c>
    </row>
    <row r="446" spans="1:8" ht="13.5" customHeight="1" x14ac:dyDescent="0.25">
      <c r="A446" s="24" t="s">
        <v>1555</v>
      </c>
      <c r="B446" s="38" t="s">
        <v>1534</v>
      </c>
      <c r="C446" s="100" t="s">
        <v>1556</v>
      </c>
      <c r="D446" s="25" t="s">
        <v>3271</v>
      </c>
      <c r="E446" s="25" t="s">
        <v>3269</v>
      </c>
      <c r="F446" s="64" t="s">
        <v>566</v>
      </c>
      <c r="G446" s="104">
        <v>1.1499999999999999</v>
      </c>
      <c r="H446" s="105" t="s">
        <v>3243</v>
      </c>
    </row>
    <row r="447" spans="1:8" ht="13.5" customHeight="1" x14ac:dyDescent="0.25">
      <c r="A447" s="13" t="s">
        <v>1557</v>
      </c>
      <c r="B447" s="49" t="s">
        <v>1534</v>
      </c>
      <c r="C447" s="101" t="s">
        <v>1558</v>
      </c>
      <c r="D447" s="14" t="s">
        <v>3271</v>
      </c>
      <c r="E447" s="14" t="s">
        <v>3269</v>
      </c>
      <c r="F447" s="64" t="s">
        <v>566</v>
      </c>
      <c r="G447" s="104">
        <v>1.1499999999999999</v>
      </c>
      <c r="H447" s="105" t="s">
        <v>3243</v>
      </c>
    </row>
    <row r="448" spans="1:8" ht="13.5" customHeight="1" x14ac:dyDescent="0.25">
      <c r="A448" s="24" t="s">
        <v>1559</v>
      </c>
      <c r="B448" s="38" t="s">
        <v>1534</v>
      </c>
      <c r="C448" s="100" t="s">
        <v>1560</v>
      </c>
      <c r="D448" s="25" t="s">
        <v>3271</v>
      </c>
      <c r="E448" s="25" t="s">
        <v>3269</v>
      </c>
      <c r="F448" s="64" t="s">
        <v>566</v>
      </c>
      <c r="G448" s="104">
        <v>1.1499999999999999</v>
      </c>
      <c r="H448" s="105" t="s">
        <v>3243</v>
      </c>
    </row>
    <row r="449" spans="1:8" ht="13.5" customHeight="1" x14ac:dyDescent="0.25">
      <c r="A449" s="13" t="s">
        <v>1561</v>
      </c>
      <c r="B449" s="49" t="s">
        <v>1534</v>
      </c>
      <c r="C449" s="101" t="s">
        <v>1562</v>
      </c>
      <c r="D449" s="14" t="s">
        <v>3271</v>
      </c>
      <c r="E449" s="14" t="s">
        <v>3269</v>
      </c>
      <c r="F449" s="64" t="s">
        <v>566</v>
      </c>
      <c r="G449" s="104">
        <v>1.1499999999999999</v>
      </c>
      <c r="H449" s="105" t="s">
        <v>3243</v>
      </c>
    </row>
    <row r="450" spans="1:8" ht="13.5" customHeight="1" x14ac:dyDescent="0.25">
      <c r="A450" s="24" t="s">
        <v>1563</v>
      </c>
      <c r="B450" s="38" t="s">
        <v>1534</v>
      </c>
      <c r="C450" s="100" t="s">
        <v>1564</v>
      </c>
      <c r="D450" s="25" t="s">
        <v>3272</v>
      </c>
      <c r="E450" s="25" t="s">
        <v>3269</v>
      </c>
      <c r="F450" s="64" t="s">
        <v>566</v>
      </c>
      <c r="G450" s="104">
        <v>1.1499999999999999</v>
      </c>
      <c r="H450" s="105" t="s">
        <v>3243</v>
      </c>
    </row>
    <row r="451" spans="1:8" ht="13.5" customHeight="1" x14ac:dyDescent="0.25">
      <c r="A451" s="13" t="s">
        <v>1566</v>
      </c>
      <c r="B451" s="49" t="s">
        <v>1567</v>
      </c>
      <c r="C451" s="101" t="s">
        <v>1568</v>
      </c>
      <c r="D451" s="14" t="s">
        <v>3273</v>
      </c>
      <c r="E451" s="14" t="s">
        <v>3274</v>
      </c>
      <c r="F451" s="65" t="s">
        <v>841</v>
      </c>
      <c r="G451" s="106">
        <v>0.9</v>
      </c>
      <c r="H451" s="105" t="s">
        <v>3243</v>
      </c>
    </row>
    <row r="452" spans="1:8" ht="13.5" customHeight="1" x14ac:dyDescent="0.25">
      <c r="A452" s="24" t="s">
        <v>1570</v>
      </c>
      <c r="B452" s="38" t="s">
        <v>1567</v>
      </c>
      <c r="C452" s="100" t="s">
        <v>1571</v>
      </c>
      <c r="D452" s="25" t="s">
        <v>3273</v>
      </c>
      <c r="E452" s="25" t="s">
        <v>3274</v>
      </c>
      <c r="F452" s="64" t="s">
        <v>566</v>
      </c>
      <c r="G452" s="104">
        <v>1.1499999999999999</v>
      </c>
      <c r="H452" s="105" t="s">
        <v>3243</v>
      </c>
    </row>
    <row r="453" spans="1:8" ht="13.5" customHeight="1" x14ac:dyDescent="0.25">
      <c r="A453" s="13" t="s">
        <v>1572</v>
      </c>
      <c r="B453" s="49" t="s">
        <v>1567</v>
      </c>
      <c r="C453" s="101" t="s">
        <v>1573</v>
      </c>
      <c r="D453" s="14" t="s">
        <v>3275</v>
      </c>
      <c r="E453" s="14" t="s">
        <v>3274</v>
      </c>
      <c r="F453" s="64" t="s">
        <v>566</v>
      </c>
      <c r="G453" s="104">
        <v>1.1499999999999999</v>
      </c>
      <c r="H453" s="105" t="s">
        <v>3243</v>
      </c>
    </row>
    <row r="454" spans="1:8" ht="13.5" customHeight="1" x14ac:dyDescent="0.25">
      <c r="A454" s="24" t="s">
        <v>1575</v>
      </c>
      <c r="B454" s="38" t="s">
        <v>1567</v>
      </c>
      <c r="C454" s="100" t="s">
        <v>1576</v>
      </c>
      <c r="D454" s="25" t="s">
        <v>3275</v>
      </c>
      <c r="E454" s="25" t="s">
        <v>3274</v>
      </c>
      <c r="F454" s="64" t="s">
        <v>566</v>
      </c>
      <c r="G454" s="104">
        <v>1.1499999999999999</v>
      </c>
      <c r="H454" s="105" t="s">
        <v>3243</v>
      </c>
    </row>
    <row r="455" spans="1:8" ht="13.5" customHeight="1" x14ac:dyDescent="0.25">
      <c r="A455" s="13" t="s">
        <v>1577</v>
      </c>
      <c r="B455" s="49" t="s">
        <v>1567</v>
      </c>
      <c r="C455" s="101" t="s">
        <v>1578</v>
      </c>
      <c r="D455" s="14" t="s">
        <v>3275</v>
      </c>
      <c r="E455" s="14" t="s">
        <v>3274</v>
      </c>
      <c r="F455" s="64" t="s">
        <v>566</v>
      </c>
      <c r="G455" s="104">
        <v>1.1499999999999999</v>
      </c>
      <c r="H455" s="105" t="s">
        <v>3243</v>
      </c>
    </row>
    <row r="456" spans="1:8" ht="13.5" customHeight="1" x14ac:dyDescent="0.25">
      <c r="A456" s="24" t="s">
        <v>1579</v>
      </c>
      <c r="B456" s="38" t="s">
        <v>1567</v>
      </c>
      <c r="C456" s="100" t="s">
        <v>1580</v>
      </c>
      <c r="D456" s="25" t="s">
        <v>3275</v>
      </c>
      <c r="E456" s="25" t="s">
        <v>3274</v>
      </c>
      <c r="F456" s="64" t="s">
        <v>566</v>
      </c>
      <c r="G456" s="104">
        <v>1.1499999999999999</v>
      </c>
      <c r="H456" s="105" t="s">
        <v>3243</v>
      </c>
    </row>
    <row r="457" spans="1:8" ht="13.5" customHeight="1" x14ac:dyDescent="0.25">
      <c r="A457" s="13" t="s">
        <v>1581</v>
      </c>
      <c r="B457" s="49" t="s">
        <v>1567</v>
      </c>
      <c r="C457" s="101" t="s">
        <v>1582</v>
      </c>
      <c r="D457" s="14" t="s">
        <v>3275</v>
      </c>
      <c r="E457" s="14" t="s">
        <v>3274</v>
      </c>
      <c r="F457" s="64" t="s">
        <v>566</v>
      </c>
      <c r="G457" s="104">
        <v>1.1499999999999999</v>
      </c>
      <c r="H457" s="105" t="s">
        <v>3243</v>
      </c>
    </row>
    <row r="458" spans="1:8" ht="13.5" customHeight="1" x14ac:dyDescent="0.25">
      <c r="A458" s="24" t="s">
        <v>1583</v>
      </c>
      <c r="B458" s="38" t="s">
        <v>1567</v>
      </c>
      <c r="C458" s="100" t="s">
        <v>1584</v>
      </c>
      <c r="D458" s="25" t="s">
        <v>3275</v>
      </c>
      <c r="E458" s="25" t="s">
        <v>3274</v>
      </c>
      <c r="F458" s="64" t="s">
        <v>566</v>
      </c>
      <c r="G458" s="104">
        <v>1.1499999999999999</v>
      </c>
      <c r="H458" s="105" t="s">
        <v>3243</v>
      </c>
    </row>
    <row r="459" spans="1:8" ht="13.5" customHeight="1" x14ac:dyDescent="0.25">
      <c r="A459" s="13" t="s">
        <v>1585</v>
      </c>
      <c r="B459" s="49" t="s">
        <v>1567</v>
      </c>
      <c r="C459" s="101" t="s">
        <v>1586</v>
      </c>
      <c r="D459" s="14" t="s">
        <v>3275</v>
      </c>
      <c r="E459" s="14" t="s">
        <v>3274</v>
      </c>
      <c r="F459" s="64" t="s">
        <v>566</v>
      </c>
      <c r="G459" s="104">
        <v>1.1499999999999999</v>
      </c>
      <c r="H459" s="105" t="s">
        <v>3243</v>
      </c>
    </row>
    <row r="460" spans="1:8" ht="13.5" customHeight="1" x14ac:dyDescent="0.25">
      <c r="A460" s="24" t="s">
        <v>1587</v>
      </c>
      <c r="B460" s="38" t="s">
        <v>1567</v>
      </c>
      <c r="C460" s="100" t="s">
        <v>1588</v>
      </c>
      <c r="D460" s="25" t="s">
        <v>3275</v>
      </c>
      <c r="E460" s="25" t="s">
        <v>3274</v>
      </c>
      <c r="F460" s="64" t="s">
        <v>566</v>
      </c>
      <c r="G460" s="104">
        <v>1.1499999999999999</v>
      </c>
      <c r="H460" s="105" t="s">
        <v>3243</v>
      </c>
    </row>
    <row r="461" spans="1:8" ht="13.5" customHeight="1" x14ac:dyDescent="0.25">
      <c r="A461" s="13" t="s">
        <v>1589</v>
      </c>
      <c r="B461" s="49" t="s">
        <v>1567</v>
      </c>
      <c r="C461" s="101" t="s">
        <v>1590</v>
      </c>
      <c r="D461" s="14" t="s">
        <v>3275</v>
      </c>
      <c r="E461" s="14" t="s">
        <v>3274</v>
      </c>
      <c r="F461" s="64" t="s">
        <v>566</v>
      </c>
      <c r="G461" s="104">
        <v>1.1499999999999999</v>
      </c>
      <c r="H461" s="105" t="s">
        <v>3243</v>
      </c>
    </row>
    <row r="462" spans="1:8" ht="13.5" customHeight="1" x14ac:dyDescent="0.25">
      <c r="A462" s="24" t="s">
        <v>1591</v>
      </c>
      <c r="B462" s="38" t="s">
        <v>1567</v>
      </c>
      <c r="C462" s="100" t="s">
        <v>1592</v>
      </c>
      <c r="D462" s="25" t="s">
        <v>3275</v>
      </c>
      <c r="E462" s="25" t="s">
        <v>3274</v>
      </c>
      <c r="F462" s="64" t="s">
        <v>566</v>
      </c>
      <c r="G462" s="104">
        <v>1.1499999999999999</v>
      </c>
      <c r="H462" s="105" t="s">
        <v>3243</v>
      </c>
    </row>
    <row r="463" spans="1:8" ht="13.5" customHeight="1" x14ac:dyDescent="0.25">
      <c r="A463" s="13" t="s">
        <v>1593</v>
      </c>
      <c r="B463" s="49" t="s">
        <v>1567</v>
      </c>
      <c r="C463" s="101" t="s">
        <v>1594</v>
      </c>
      <c r="D463" s="14" t="s">
        <v>3275</v>
      </c>
      <c r="E463" s="14" t="s">
        <v>3274</v>
      </c>
      <c r="F463" s="64" t="s">
        <v>566</v>
      </c>
      <c r="G463" s="104">
        <v>1.1499999999999999</v>
      </c>
      <c r="H463" s="105" t="s">
        <v>3243</v>
      </c>
    </row>
    <row r="464" spans="1:8" ht="13.5" customHeight="1" x14ac:dyDescent="0.25">
      <c r="A464" s="24" t="s">
        <v>1595</v>
      </c>
      <c r="B464" s="38" t="s">
        <v>1567</v>
      </c>
      <c r="C464" s="100" t="s">
        <v>1596</v>
      </c>
      <c r="D464" s="25" t="s">
        <v>3275</v>
      </c>
      <c r="E464" s="25" t="s">
        <v>3274</v>
      </c>
      <c r="F464" s="64" t="s">
        <v>566</v>
      </c>
      <c r="G464" s="104">
        <v>1.1499999999999999</v>
      </c>
      <c r="H464" s="105" t="s">
        <v>3243</v>
      </c>
    </row>
    <row r="465" spans="1:8" ht="13.5" customHeight="1" x14ac:dyDescent="0.25">
      <c r="A465" s="13" t="s">
        <v>1597</v>
      </c>
      <c r="B465" s="49" t="s">
        <v>1567</v>
      </c>
      <c r="C465" s="101" t="s">
        <v>1598</v>
      </c>
      <c r="D465" s="14" t="s">
        <v>3275</v>
      </c>
      <c r="E465" s="14" t="s">
        <v>3274</v>
      </c>
      <c r="F465" s="64" t="s">
        <v>566</v>
      </c>
      <c r="G465" s="104">
        <v>1.1499999999999999</v>
      </c>
      <c r="H465" s="105" t="s">
        <v>3243</v>
      </c>
    </row>
    <row r="466" spans="1:8" ht="13.5" customHeight="1" x14ac:dyDescent="0.25">
      <c r="A466" s="24" t="s">
        <v>1599</v>
      </c>
      <c r="B466" s="38" t="s">
        <v>1567</v>
      </c>
      <c r="C466" s="100" t="s">
        <v>1600</v>
      </c>
      <c r="D466" s="25" t="s">
        <v>3275</v>
      </c>
      <c r="E466" s="25" t="s">
        <v>3274</v>
      </c>
      <c r="F466" s="64" t="s">
        <v>566</v>
      </c>
      <c r="G466" s="104">
        <v>1.1499999999999999</v>
      </c>
      <c r="H466" s="105" t="s">
        <v>3243</v>
      </c>
    </row>
    <row r="467" spans="1:8" ht="13.5" customHeight="1" x14ac:dyDescent="0.25">
      <c r="A467" s="13" t="s">
        <v>1601</v>
      </c>
      <c r="B467" s="49" t="s">
        <v>1567</v>
      </c>
      <c r="C467" s="101" t="s">
        <v>1602</v>
      </c>
      <c r="D467" s="14" t="s">
        <v>3275</v>
      </c>
      <c r="E467" s="14" t="s">
        <v>3274</v>
      </c>
      <c r="F467" s="64" t="s">
        <v>566</v>
      </c>
      <c r="G467" s="104">
        <v>1.1499999999999999</v>
      </c>
      <c r="H467" s="105" t="s">
        <v>3243</v>
      </c>
    </row>
    <row r="468" spans="1:8" ht="13.5" customHeight="1" x14ac:dyDescent="0.25">
      <c r="A468" s="24" t="s">
        <v>1603</v>
      </c>
      <c r="B468" s="38" t="s">
        <v>1567</v>
      </c>
      <c r="C468" s="100" t="s">
        <v>1604</v>
      </c>
      <c r="D468" s="25" t="s">
        <v>3275</v>
      </c>
      <c r="E468" s="25" t="s">
        <v>3274</v>
      </c>
      <c r="F468" s="64" t="s">
        <v>566</v>
      </c>
      <c r="G468" s="104">
        <v>1.1499999999999999</v>
      </c>
      <c r="H468" s="105" t="s">
        <v>3243</v>
      </c>
    </row>
    <row r="469" spans="1:8" ht="13.5" customHeight="1" x14ac:dyDescent="0.25">
      <c r="A469" s="13" t="s">
        <v>1605</v>
      </c>
      <c r="B469" s="49" t="s">
        <v>1567</v>
      </c>
      <c r="C469" s="101" t="s">
        <v>1606</v>
      </c>
      <c r="D469" s="14" t="s">
        <v>3275</v>
      </c>
      <c r="E469" s="14" t="s">
        <v>3274</v>
      </c>
      <c r="F469" s="64" t="s">
        <v>566</v>
      </c>
      <c r="G469" s="104">
        <v>1.1499999999999999</v>
      </c>
      <c r="H469" s="105" t="s">
        <v>3243</v>
      </c>
    </row>
    <row r="470" spans="1:8" ht="13.5" customHeight="1" x14ac:dyDescent="0.25">
      <c r="A470" s="24" t="s">
        <v>1607</v>
      </c>
      <c r="B470" s="38" t="s">
        <v>1567</v>
      </c>
      <c r="C470" s="100" t="s">
        <v>1608</v>
      </c>
      <c r="D470" s="25" t="s">
        <v>3276</v>
      </c>
      <c r="E470" s="25" t="s">
        <v>3274</v>
      </c>
      <c r="F470" s="64" t="s">
        <v>566</v>
      </c>
      <c r="G470" s="104">
        <v>1.1499999999999999</v>
      </c>
      <c r="H470" s="105" t="s">
        <v>3243</v>
      </c>
    </row>
    <row r="471" spans="1:8" ht="13.5" customHeight="1" x14ac:dyDescent="0.25">
      <c r="A471" s="13" t="s">
        <v>1610</v>
      </c>
      <c r="B471" s="49" t="s">
        <v>1567</v>
      </c>
      <c r="C471" s="101" t="s">
        <v>1611</v>
      </c>
      <c r="D471" s="14" t="s">
        <v>3276</v>
      </c>
      <c r="E471" s="14" t="s">
        <v>3274</v>
      </c>
      <c r="F471" s="64" t="s">
        <v>566</v>
      </c>
      <c r="G471" s="104">
        <v>1.1499999999999999</v>
      </c>
      <c r="H471" s="105" t="s">
        <v>3243</v>
      </c>
    </row>
    <row r="472" spans="1:8" ht="13.5" customHeight="1" x14ac:dyDescent="0.25">
      <c r="A472" s="24" t="s">
        <v>1612</v>
      </c>
      <c r="B472" s="38" t="s">
        <v>1567</v>
      </c>
      <c r="C472" s="100" t="s">
        <v>1613</v>
      </c>
      <c r="D472" s="25" t="s">
        <v>3276</v>
      </c>
      <c r="E472" s="25" t="s">
        <v>3274</v>
      </c>
      <c r="F472" s="64" t="s">
        <v>566</v>
      </c>
      <c r="G472" s="104">
        <v>1.1499999999999999</v>
      </c>
      <c r="H472" s="105" t="s">
        <v>3243</v>
      </c>
    </row>
    <row r="473" spans="1:8" ht="13.5" customHeight="1" x14ac:dyDescent="0.25">
      <c r="A473" s="13" t="s">
        <v>1614</v>
      </c>
      <c r="B473" s="49" t="s">
        <v>1567</v>
      </c>
      <c r="C473" s="101" t="s">
        <v>1615</v>
      </c>
      <c r="D473" s="14" t="s">
        <v>3276</v>
      </c>
      <c r="E473" s="14" t="s">
        <v>3274</v>
      </c>
      <c r="F473" s="64" t="s">
        <v>566</v>
      </c>
      <c r="G473" s="104">
        <v>1.1499999999999999</v>
      </c>
      <c r="H473" s="105" t="s">
        <v>3243</v>
      </c>
    </row>
    <row r="474" spans="1:8" ht="13.5" customHeight="1" x14ac:dyDescent="0.25">
      <c r="A474" s="24" t="s">
        <v>1616</v>
      </c>
      <c r="B474" s="38" t="s">
        <v>1567</v>
      </c>
      <c r="C474" s="100" t="s">
        <v>1617</v>
      </c>
      <c r="D474" s="25" t="s">
        <v>3276</v>
      </c>
      <c r="E474" s="25" t="s">
        <v>3274</v>
      </c>
      <c r="F474" s="64" t="s">
        <v>566</v>
      </c>
      <c r="G474" s="104">
        <v>1.1499999999999999</v>
      </c>
      <c r="H474" s="105" t="s">
        <v>3243</v>
      </c>
    </row>
    <row r="475" spans="1:8" ht="13.5" customHeight="1" x14ac:dyDescent="0.25">
      <c r="A475" s="13" t="s">
        <v>1618</v>
      </c>
      <c r="B475" s="49" t="s">
        <v>1567</v>
      </c>
      <c r="C475" s="101" t="s">
        <v>1619</v>
      </c>
      <c r="D475" s="14" t="s">
        <v>3276</v>
      </c>
      <c r="E475" s="14" t="s">
        <v>3274</v>
      </c>
      <c r="F475" s="64" t="s">
        <v>566</v>
      </c>
      <c r="G475" s="104">
        <v>1.1499999999999999</v>
      </c>
      <c r="H475" s="105" t="s">
        <v>3243</v>
      </c>
    </row>
    <row r="476" spans="1:8" ht="13.5" customHeight="1" x14ac:dyDescent="0.25">
      <c r="A476" s="24" t="s">
        <v>1620</v>
      </c>
      <c r="B476" s="38" t="s">
        <v>1567</v>
      </c>
      <c r="C476" s="100" t="s">
        <v>1621</v>
      </c>
      <c r="D476" s="25" t="s">
        <v>3276</v>
      </c>
      <c r="E476" s="25" t="s">
        <v>3274</v>
      </c>
      <c r="F476" s="64" t="s">
        <v>566</v>
      </c>
      <c r="G476" s="104">
        <v>1.1499999999999999</v>
      </c>
      <c r="H476" s="105" t="s">
        <v>3243</v>
      </c>
    </row>
    <row r="477" spans="1:8" ht="13.5" customHeight="1" x14ac:dyDescent="0.25">
      <c r="A477" s="13" t="s">
        <v>1622</v>
      </c>
      <c r="B477" s="49" t="s">
        <v>1567</v>
      </c>
      <c r="C477" s="101" t="s">
        <v>1623</v>
      </c>
      <c r="D477" s="14" t="s">
        <v>3276</v>
      </c>
      <c r="E477" s="14" t="s">
        <v>3274</v>
      </c>
      <c r="F477" s="64" t="s">
        <v>566</v>
      </c>
      <c r="G477" s="104">
        <v>1.1499999999999999</v>
      </c>
      <c r="H477" s="105" t="s">
        <v>3243</v>
      </c>
    </row>
    <row r="478" spans="1:8" ht="13.5" customHeight="1" x14ac:dyDescent="0.25">
      <c r="A478" s="24" t="s">
        <v>1624</v>
      </c>
      <c r="B478" s="38" t="s">
        <v>1567</v>
      </c>
      <c r="C478" s="100" t="s">
        <v>1625</v>
      </c>
      <c r="D478" s="25" t="s">
        <v>3276</v>
      </c>
      <c r="E478" s="25" t="s">
        <v>3274</v>
      </c>
      <c r="F478" s="64" t="s">
        <v>566</v>
      </c>
      <c r="G478" s="104">
        <v>1.1499999999999999</v>
      </c>
      <c r="H478" s="105" t="s">
        <v>3243</v>
      </c>
    </row>
    <row r="479" spans="1:8" ht="13.5" customHeight="1" x14ac:dyDescent="0.25">
      <c r="A479" s="13" t="s">
        <v>1626</v>
      </c>
      <c r="B479" s="49" t="s">
        <v>1567</v>
      </c>
      <c r="C479" s="101" t="s">
        <v>1627</v>
      </c>
      <c r="D479" s="14" t="s">
        <v>3276</v>
      </c>
      <c r="E479" s="14" t="s">
        <v>3274</v>
      </c>
      <c r="F479" s="64" t="s">
        <v>566</v>
      </c>
      <c r="G479" s="104">
        <v>1.1499999999999999</v>
      </c>
      <c r="H479" s="105" t="s">
        <v>3243</v>
      </c>
    </row>
    <row r="480" spans="1:8" ht="13.5" customHeight="1" x14ac:dyDescent="0.25">
      <c r="A480" s="24" t="s">
        <v>1628</v>
      </c>
      <c r="B480" s="38" t="s">
        <v>1567</v>
      </c>
      <c r="C480" s="100" t="s">
        <v>1629</v>
      </c>
      <c r="D480" s="25" t="s">
        <v>3276</v>
      </c>
      <c r="E480" s="25" t="s">
        <v>3274</v>
      </c>
      <c r="F480" s="64" t="s">
        <v>566</v>
      </c>
      <c r="G480" s="104">
        <v>1.1499999999999999</v>
      </c>
      <c r="H480" s="105" t="s">
        <v>3243</v>
      </c>
    </row>
    <row r="481" spans="1:8" ht="13.5" customHeight="1" x14ac:dyDescent="0.25">
      <c r="A481" s="13" t="s">
        <v>1630</v>
      </c>
      <c r="B481" s="49" t="s">
        <v>1567</v>
      </c>
      <c r="C481" s="101" t="s">
        <v>1631</v>
      </c>
      <c r="D481" s="14" t="s">
        <v>3276</v>
      </c>
      <c r="E481" s="14" t="s">
        <v>3274</v>
      </c>
      <c r="F481" s="64" t="s">
        <v>566</v>
      </c>
      <c r="G481" s="104">
        <v>1.1499999999999999</v>
      </c>
      <c r="H481" s="105" t="s">
        <v>3243</v>
      </c>
    </row>
    <row r="482" spans="1:8" ht="13.5" customHeight="1" x14ac:dyDescent="0.25">
      <c r="A482" s="24" t="s">
        <v>1632</v>
      </c>
      <c r="B482" s="38" t="s">
        <v>1567</v>
      </c>
      <c r="C482" s="100" t="s">
        <v>1633</v>
      </c>
      <c r="D482" s="25" t="s">
        <v>3276</v>
      </c>
      <c r="E482" s="25" t="s">
        <v>3274</v>
      </c>
      <c r="F482" s="64" t="s">
        <v>566</v>
      </c>
      <c r="G482" s="104">
        <v>1.1499999999999999</v>
      </c>
      <c r="H482" s="105" t="s">
        <v>3243</v>
      </c>
    </row>
    <row r="483" spans="1:8" ht="13.5" customHeight="1" x14ac:dyDescent="0.25">
      <c r="A483" s="13" t="s">
        <v>1634</v>
      </c>
      <c r="B483" s="49" t="s">
        <v>1567</v>
      </c>
      <c r="C483" s="101" t="s">
        <v>1635</v>
      </c>
      <c r="D483" s="14" t="s">
        <v>3276</v>
      </c>
      <c r="E483" s="14" t="s">
        <v>3274</v>
      </c>
      <c r="F483" s="64" t="s">
        <v>566</v>
      </c>
      <c r="G483" s="104">
        <v>1.1499999999999999</v>
      </c>
      <c r="H483" s="105" t="s">
        <v>3243</v>
      </c>
    </row>
    <row r="484" spans="1:8" ht="13.5" customHeight="1" x14ac:dyDescent="0.25">
      <c r="A484" s="24" t="s">
        <v>1636</v>
      </c>
      <c r="B484" s="38" t="s">
        <v>1567</v>
      </c>
      <c r="C484" s="100" t="s">
        <v>1637</v>
      </c>
      <c r="D484" s="25" t="s">
        <v>3276</v>
      </c>
      <c r="E484" s="25" t="s">
        <v>3274</v>
      </c>
      <c r="F484" s="64" t="s">
        <v>566</v>
      </c>
      <c r="G484" s="104">
        <v>1.1499999999999999</v>
      </c>
      <c r="H484" s="105" t="s">
        <v>3243</v>
      </c>
    </row>
    <row r="485" spans="1:8" ht="13.5" customHeight="1" x14ac:dyDescent="0.25">
      <c r="A485" s="13" t="s">
        <v>1638</v>
      </c>
      <c r="B485" s="49" t="s">
        <v>1567</v>
      </c>
      <c r="C485" s="101" t="s">
        <v>1639</v>
      </c>
      <c r="D485" s="14" t="s">
        <v>3276</v>
      </c>
      <c r="E485" s="14" t="s">
        <v>3274</v>
      </c>
      <c r="F485" s="64" t="s">
        <v>566</v>
      </c>
      <c r="G485" s="104">
        <v>1.1499999999999999</v>
      </c>
      <c r="H485" s="105" t="s">
        <v>3243</v>
      </c>
    </row>
    <row r="486" spans="1:8" ht="13.5" customHeight="1" x14ac:dyDescent="0.25">
      <c r="A486" s="24" t="s">
        <v>1640</v>
      </c>
      <c r="B486" s="38" t="s">
        <v>1567</v>
      </c>
      <c r="C486" s="100" t="s">
        <v>1641</v>
      </c>
      <c r="D486" s="25" t="s">
        <v>3276</v>
      </c>
      <c r="E486" s="25" t="s">
        <v>3274</v>
      </c>
      <c r="F486" s="64" t="s">
        <v>566</v>
      </c>
      <c r="G486" s="104">
        <v>1.1499999999999999</v>
      </c>
      <c r="H486" s="105" t="s">
        <v>3243</v>
      </c>
    </row>
    <row r="487" spans="1:8" ht="13.5" customHeight="1" x14ac:dyDescent="0.25">
      <c r="A487" s="13" t="s">
        <v>1642</v>
      </c>
      <c r="B487" s="49" t="s">
        <v>1567</v>
      </c>
      <c r="C487" s="101" t="s">
        <v>1643</v>
      </c>
      <c r="D487" s="14" t="s">
        <v>3276</v>
      </c>
      <c r="E487" s="14" t="s">
        <v>3274</v>
      </c>
      <c r="F487" s="64" t="s">
        <v>566</v>
      </c>
      <c r="G487" s="104">
        <v>1.1499999999999999</v>
      </c>
      <c r="H487" s="105" t="s">
        <v>3243</v>
      </c>
    </row>
    <row r="488" spans="1:8" ht="13.5" customHeight="1" x14ac:dyDescent="0.25">
      <c r="A488" s="24" t="s">
        <v>1644</v>
      </c>
      <c r="B488" s="38" t="s">
        <v>1567</v>
      </c>
      <c r="C488" s="100" t="s">
        <v>1645</v>
      </c>
      <c r="D488" s="25" t="s">
        <v>3276</v>
      </c>
      <c r="E488" s="25" t="s">
        <v>3274</v>
      </c>
      <c r="F488" s="64" t="s">
        <v>566</v>
      </c>
      <c r="G488" s="104">
        <v>1.1499999999999999</v>
      </c>
      <c r="H488" s="105" t="s">
        <v>3243</v>
      </c>
    </row>
    <row r="489" spans="1:8" ht="13.5" customHeight="1" x14ac:dyDescent="0.25">
      <c r="A489" s="13" t="s">
        <v>1646</v>
      </c>
      <c r="B489" s="49" t="s">
        <v>1567</v>
      </c>
      <c r="C489" s="101" t="s">
        <v>1647</v>
      </c>
      <c r="D489" s="14" t="s">
        <v>3276</v>
      </c>
      <c r="E489" s="14" t="s">
        <v>3274</v>
      </c>
      <c r="F489" s="64" t="s">
        <v>566</v>
      </c>
      <c r="G489" s="104">
        <v>1.1499999999999999</v>
      </c>
      <c r="H489" s="105" t="s">
        <v>3243</v>
      </c>
    </row>
    <row r="490" spans="1:8" ht="13.5" customHeight="1" x14ac:dyDescent="0.25">
      <c r="A490" s="24" t="s">
        <v>1648</v>
      </c>
      <c r="B490" s="38" t="s">
        <v>1567</v>
      </c>
      <c r="C490" s="100" t="s">
        <v>1649</v>
      </c>
      <c r="D490" s="25" t="s">
        <v>3276</v>
      </c>
      <c r="E490" s="25" t="s">
        <v>3274</v>
      </c>
      <c r="F490" s="64" t="s">
        <v>566</v>
      </c>
      <c r="G490" s="104">
        <v>1.1499999999999999</v>
      </c>
      <c r="H490" s="105" t="s">
        <v>3243</v>
      </c>
    </row>
    <row r="491" spans="1:8" ht="13.5" customHeight="1" x14ac:dyDescent="0.25">
      <c r="A491" s="13" t="s">
        <v>1650</v>
      </c>
      <c r="B491" s="49" t="s">
        <v>1567</v>
      </c>
      <c r="C491" s="101" t="s">
        <v>1651</v>
      </c>
      <c r="D491" s="14" t="s">
        <v>3276</v>
      </c>
      <c r="E491" s="14" t="s">
        <v>3274</v>
      </c>
      <c r="F491" s="64" t="s">
        <v>566</v>
      </c>
      <c r="G491" s="104">
        <v>1.1499999999999999</v>
      </c>
      <c r="H491" s="105" t="s">
        <v>3243</v>
      </c>
    </row>
    <row r="492" spans="1:8" ht="13.5" customHeight="1" x14ac:dyDescent="0.25">
      <c r="A492" s="24" t="s">
        <v>1652</v>
      </c>
      <c r="B492" s="38" t="s">
        <v>1567</v>
      </c>
      <c r="C492" s="100" t="s">
        <v>1653</v>
      </c>
      <c r="D492" s="25" t="s">
        <v>3276</v>
      </c>
      <c r="E492" s="25" t="s">
        <v>3274</v>
      </c>
      <c r="F492" s="64" t="s">
        <v>566</v>
      </c>
      <c r="G492" s="104">
        <v>1.1499999999999999</v>
      </c>
      <c r="H492" s="105" t="s">
        <v>3243</v>
      </c>
    </row>
    <row r="493" spans="1:8" ht="13.5" customHeight="1" x14ac:dyDescent="0.25">
      <c r="A493" s="13" t="s">
        <v>1654</v>
      </c>
      <c r="B493" s="49" t="s">
        <v>1567</v>
      </c>
      <c r="C493" s="101" t="s">
        <v>1655</v>
      </c>
      <c r="D493" s="14" t="s">
        <v>3276</v>
      </c>
      <c r="E493" s="14" t="s">
        <v>3274</v>
      </c>
      <c r="F493" s="64" t="s">
        <v>566</v>
      </c>
      <c r="G493" s="104">
        <v>1.1499999999999999</v>
      </c>
      <c r="H493" s="105" t="s">
        <v>3243</v>
      </c>
    </row>
    <row r="494" spans="1:8" ht="13.5" customHeight="1" x14ac:dyDescent="0.25">
      <c r="A494" s="24" t="s">
        <v>1656</v>
      </c>
      <c r="B494" s="38" t="s">
        <v>1567</v>
      </c>
      <c r="C494" s="100" t="s">
        <v>1657</v>
      </c>
      <c r="D494" s="25" t="s">
        <v>3276</v>
      </c>
      <c r="E494" s="25" t="s">
        <v>3274</v>
      </c>
      <c r="F494" s="64" t="s">
        <v>566</v>
      </c>
      <c r="G494" s="104">
        <v>1.1499999999999999</v>
      </c>
      <c r="H494" s="105" t="s">
        <v>3243</v>
      </c>
    </row>
    <row r="495" spans="1:8" ht="13.5" customHeight="1" x14ac:dyDescent="0.25">
      <c r="A495" s="13" t="s">
        <v>1658</v>
      </c>
      <c r="B495" s="49" t="s">
        <v>1567</v>
      </c>
      <c r="C495" s="101" t="s">
        <v>1659</v>
      </c>
      <c r="D495" s="14" t="s">
        <v>3276</v>
      </c>
      <c r="E495" s="14" t="s">
        <v>3274</v>
      </c>
      <c r="F495" s="64" t="s">
        <v>566</v>
      </c>
      <c r="G495" s="104">
        <v>1.1499999999999999</v>
      </c>
      <c r="H495" s="105" t="s">
        <v>3243</v>
      </c>
    </row>
    <row r="496" spans="1:8" ht="13.5" customHeight="1" x14ac:dyDescent="0.25">
      <c r="A496" s="24" t="s">
        <v>1660</v>
      </c>
      <c r="B496" s="38" t="s">
        <v>1567</v>
      </c>
      <c r="C496" s="100" t="s">
        <v>1661</v>
      </c>
      <c r="D496" s="25" t="s">
        <v>3276</v>
      </c>
      <c r="E496" s="25" t="s">
        <v>3274</v>
      </c>
      <c r="F496" s="64" t="s">
        <v>566</v>
      </c>
      <c r="G496" s="104">
        <v>1.1499999999999999</v>
      </c>
      <c r="H496" s="105" t="s">
        <v>3243</v>
      </c>
    </row>
    <row r="497" spans="1:8" ht="13.5" customHeight="1" x14ac:dyDescent="0.25">
      <c r="A497" s="13" t="s">
        <v>1662</v>
      </c>
      <c r="B497" s="49" t="s">
        <v>1567</v>
      </c>
      <c r="C497" s="101" t="s">
        <v>1663</v>
      </c>
      <c r="D497" s="14" t="s">
        <v>3276</v>
      </c>
      <c r="E497" s="14" t="s">
        <v>3274</v>
      </c>
      <c r="F497" s="64" t="s">
        <v>566</v>
      </c>
      <c r="G497" s="104">
        <v>1.1499999999999999</v>
      </c>
      <c r="H497" s="105" t="s">
        <v>3243</v>
      </c>
    </row>
    <row r="498" spans="1:8" ht="13.5" customHeight="1" x14ac:dyDescent="0.25">
      <c r="A498" s="24" t="s">
        <v>1664</v>
      </c>
      <c r="B498" s="38" t="s">
        <v>1665</v>
      </c>
      <c r="C498" s="100" t="s">
        <v>1666</v>
      </c>
      <c r="D498" s="25" t="s">
        <v>3277</v>
      </c>
      <c r="E498" s="25" t="s">
        <v>3278</v>
      </c>
      <c r="F498" s="65" t="s">
        <v>841</v>
      </c>
      <c r="G498" s="106">
        <v>0.9</v>
      </c>
      <c r="H498" s="107" t="s">
        <v>3279</v>
      </c>
    </row>
    <row r="499" spans="1:8" ht="13.5" customHeight="1" x14ac:dyDescent="0.25">
      <c r="A499" s="13" t="s">
        <v>1668</v>
      </c>
      <c r="B499" s="49" t="s">
        <v>1665</v>
      </c>
      <c r="C499" s="101" t="s">
        <v>1669</v>
      </c>
      <c r="D499" s="14" t="s">
        <v>3277</v>
      </c>
      <c r="E499" s="14" t="s">
        <v>3278</v>
      </c>
      <c r="F499" s="65" t="s">
        <v>841</v>
      </c>
      <c r="G499" s="106">
        <v>0.9</v>
      </c>
      <c r="H499" s="107" t="s">
        <v>3279</v>
      </c>
    </row>
    <row r="500" spans="1:8" ht="13.5" customHeight="1" x14ac:dyDescent="0.25">
      <c r="A500" s="24" t="s">
        <v>1670</v>
      </c>
      <c r="B500" s="38" t="s">
        <v>1665</v>
      </c>
      <c r="C500" s="100" t="s">
        <v>1671</v>
      </c>
      <c r="D500" s="25" t="s">
        <v>3277</v>
      </c>
      <c r="E500" s="25" t="s">
        <v>3278</v>
      </c>
      <c r="F500" s="65" t="s">
        <v>841</v>
      </c>
      <c r="G500" s="106">
        <v>0.9</v>
      </c>
      <c r="H500" s="107" t="s">
        <v>3279</v>
      </c>
    </row>
    <row r="501" spans="1:8" ht="13.5" customHeight="1" x14ac:dyDescent="0.25">
      <c r="A501" s="13" t="s">
        <v>1672</v>
      </c>
      <c r="B501" s="49" t="s">
        <v>1665</v>
      </c>
      <c r="C501" s="101" t="s">
        <v>1673</v>
      </c>
      <c r="D501" s="14" t="s">
        <v>3277</v>
      </c>
      <c r="E501" s="14" t="s">
        <v>3278</v>
      </c>
      <c r="F501" s="65" t="s">
        <v>841</v>
      </c>
      <c r="G501" s="106">
        <v>0.9</v>
      </c>
      <c r="H501" s="107" t="s">
        <v>3279</v>
      </c>
    </row>
    <row r="502" spans="1:8" ht="13.5" customHeight="1" x14ac:dyDescent="0.25">
      <c r="A502" s="24" t="s">
        <v>1674</v>
      </c>
      <c r="B502" s="38" t="s">
        <v>1665</v>
      </c>
      <c r="C502" s="100" t="s">
        <v>1675</v>
      </c>
      <c r="D502" s="25" t="s">
        <v>3277</v>
      </c>
      <c r="E502" s="25" t="s">
        <v>3278</v>
      </c>
      <c r="F502" s="65" t="s">
        <v>841</v>
      </c>
      <c r="G502" s="106">
        <v>0.9</v>
      </c>
      <c r="H502" s="107" t="s">
        <v>3279</v>
      </c>
    </row>
    <row r="503" spans="1:8" ht="13.5" customHeight="1" x14ac:dyDescent="0.25">
      <c r="A503" s="13" t="s">
        <v>1676</v>
      </c>
      <c r="B503" s="49" t="s">
        <v>1665</v>
      </c>
      <c r="C503" s="101" t="s">
        <v>1677</v>
      </c>
      <c r="D503" s="14" t="s">
        <v>3277</v>
      </c>
      <c r="E503" s="14" t="s">
        <v>3278</v>
      </c>
      <c r="F503" s="65" t="s">
        <v>841</v>
      </c>
      <c r="G503" s="106">
        <v>0.9</v>
      </c>
      <c r="H503" s="107" t="s">
        <v>3279</v>
      </c>
    </row>
    <row r="504" spans="1:8" ht="13.5" customHeight="1" x14ac:dyDescent="0.25">
      <c r="A504" s="24" t="s">
        <v>1678</v>
      </c>
      <c r="B504" s="38" t="s">
        <v>1665</v>
      </c>
      <c r="C504" s="100" t="s">
        <v>1679</v>
      </c>
      <c r="D504" s="25" t="s">
        <v>3277</v>
      </c>
      <c r="E504" s="25" t="s">
        <v>3278</v>
      </c>
      <c r="F504" s="65" t="s">
        <v>841</v>
      </c>
      <c r="G504" s="106">
        <v>0.9</v>
      </c>
      <c r="H504" s="107" t="s">
        <v>3279</v>
      </c>
    </row>
    <row r="505" spans="1:8" ht="13.5" customHeight="1" x14ac:dyDescent="0.25">
      <c r="A505" s="13" t="s">
        <v>1680</v>
      </c>
      <c r="B505" s="49" t="s">
        <v>1665</v>
      </c>
      <c r="C505" s="101" t="s">
        <v>1681</v>
      </c>
      <c r="D505" s="14" t="s">
        <v>3277</v>
      </c>
      <c r="E505" s="14" t="s">
        <v>3278</v>
      </c>
      <c r="F505" s="65" t="s">
        <v>841</v>
      </c>
      <c r="G505" s="106">
        <v>0.9</v>
      </c>
      <c r="H505" s="107" t="s">
        <v>3279</v>
      </c>
    </row>
    <row r="506" spans="1:8" ht="13.5" customHeight="1" x14ac:dyDescent="0.25">
      <c r="A506" s="24" t="s">
        <v>1682</v>
      </c>
      <c r="B506" s="38" t="s">
        <v>1665</v>
      </c>
      <c r="C506" s="100" t="s">
        <v>1683</v>
      </c>
      <c r="D506" s="25" t="s">
        <v>3277</v>
      </c>
      <c r="E506" s="25" t="s">
        <v>3278</v>
      </c>
      <c r="F506" s="40" t="s">
        <v>477</v>
      </c>
      <c r="G506" s="102">
        <v>1</v>
      </c>
      <c r="H506" s="107" t="s">
        <v>3279</v>
      </c>
    </row>
    <row r="507" spans="1:8" ht="13.5" customHeight="1" x14ac:dyDescent="0.25">
      <c r="A507" s="13" t="s">
        <v>1684</v>
      </c>
      <c r="B507" s="49" t="s">
        <v>1665</v>
      </c>
      <c r="C507" s="101" t="s">
        <v>1685</v>
      </c>
      <c r="D507" s="14" t="s">
        <v>3277</v>
      </c>
      <c r="E507" s="14" t="s">
        <v>3278</v>
      </c>
      <c r="F507" s="40" t="s">
        <v>477</v>
      </c>
      <c r="G507" s="102">
        <v>1</v>
      </c>
      <c r="H507" s="107" t="s">
        <v>3279</v>
      </c>
    </row>
    <row r="508" spans="1:8" ht="13.5" customHeight="1" x14ac:dyDescent="0.25">
      <c r="A508" s="24" t="s">
        <v>1686</v>
      </c>
      <c r="B508" s="38" t="s">
        <v>1665</v>
      </c>
      <c r="C508" s="100" t="s">
        <v>1687</v>
      </c>
      <c r="D508" s="25" t="s">
        <v>3277</v>
      </c>
      <c r="E508" s="25" t="s">
        <v>3278</v>
      </c>
      <c r="F508" s="40" t="s">
        <v>477</v>
      </c>
      <c r="G508" s="102">
        <v>1</v>
      </c>
      <c r="H508" s="107" t="s">
        <v>3279</v>
      </c>
    </row>
    <row r="509" spans="1:8" ht="13.5" customHeight="1" x14ac:dyDescent="0.25">
      <c r="A509" s="13" t="s">
        <v>1688</v>
      </c>
      <c r="B509" s="49" t="s">
        <v>1665</v>
      </c>
      <c r="C509" s="101" t="s">
        <v>1689</v>
      </c>
      <c r="D509" s="14" t="s">
        <v>3277</v>
      </c>
      <c r="E509" s="14" t="s">
        <v>3278</v>
      </c>
      <c r="F509" s="40" t="s">
        <v>477</v>
      </c>
      <c r="G509" s="102">
        <v>1</v>
      </c>
      <c r="H509" s="107" t="s">
        <v>3279</v>
      </c>
    </row>
    <row r="510" spans="1:8" ht="13.5" customHeight="1" x14ac:dyDescent="0.25">
      <c r="A510" s="24" t="s">
        <v>1690</v>
      </c>
      <c r="B510" s="38" t="s">
        <v>1665</v>
      </c>
      <c r="C510" s="100" t="s">
        <v>1691</v>
      </c>
      <c r="D510" s="25" t="s">
        <v>3277</v>
      </c>
      <c r="E510" s="25" t="s">
        <v>3278</v>
      </c>
      <c r="F510" s="40" t="s">
        <v>477</v>
      </c>
      <c r="G510" s="102">
        <v>1</v>
      </c>
      <c r="H510" s="107" t="s">
        <v>3279</v>
      </c>
    </row>
    <row r="511" spans="1:8" ht="13.5" customHeight="1" x14ac:dyDescent="0.25">
      <c r="A511" s="13" t="s">
        <v>1692</v>
      </c>
      <c r="B511" s="49" t="s">
        <v>1665</v>
      </c>
      <c r="C511" s="101" t="s">
        <v>1693</v>
      </c>
      <c r="D511" s="14" t="s">
        <v>3277</v>
      </c>
      <c r="E511" s="14" t="s">
        <v>3278</v>
      </c>
      <c r="F511" s="40" t="s">
        <v>477</v>
      </c>
      <c r="G511" s="102">
        <v>1</v>
      </c>
      <c r="H511" s="107" t="s">
        <v>3279</v>
      </c>
    </row>
    <row r="512" spans="1:8" ht="13.5" customHeight="1" x14ac:dyDescent="0.25">
      <c r="A512" s="24" t="s">
        <v>1694</v>
      </c>
      <c r="B512" s="38" t="s">
        <v>1665</v>
      </c>
      <c r="C512" s="100" t="s">
        <v>1695</v>
      </c>
      <c r="D512" s="25" t="s">
        <v>3277</v>
      </c>
      <c r="E512" s="25" t="s">
        <v>3278</v>
      </c>
      <c r="F512" s="40" t="s">
        <v>477</v>
      </c>
      <c r="G512" s="102">
        <v>1</v>
      </c>
      <c r="H512" s="107" t="s">
        <v>3279</v>
      </c>
    </row>
    <row r="513" spans="1:8" ht="13.5" customHeight="1" x14ac:dyDescent="0.25">
      <c r="A513" s="13" t="s">
        <v>1696</v>
      </c>
      <c r="B513" s="49" t="s">
        <v>1665</v>
      </c>
      <c r="C513" s="101" t="s">
        <v>1697</v>
      </c>
      <c r="D513" s="14" t="s">
        <v>3277</v>
      </c>
      <c r="E513" s="14" t="s">
        <v>3278</v>
      </c>
      <c r="F513" s="40" t="s">
        <v>477</v>
      </c>
      <c r="G513" s="102">
        <v>1</v>
      </c>
      <c r="H513" s="107" t="s">
        <v>3279</v>
      </c>
    </row>
    <row r="514" spans="1:8" ht="13.5" customHeight="1" x14ac:dyDescent="0.25">
      <c r="A514" s="24" t="s">
        <v>1698</v>
      </c>
      <c r="B514" s="38" t="s">
        <v>1665</v>
      </c>
      <c r="C514" s="100" t="s">
        <v>1699</v>
      </c>
      <c r="D514" s="25" t="s">
        <v>3277</v>
      </c>
      <c r="E514" s="25" t="s">
        <v>3278</v>
      </c>
      <c r="F514" s="65" t="s">
        <v>841</v>
      </c>
      <c r="G514" s="106">
        <v>0.9</v>
      </c>
      <c r="H514" s="107" t="s">
        <v>3279</v>
      </c>
    </row>
    <row r="515" spans="1:8" ht="13.5" customHeight="1" x14ac:dyDescent="0.25">
      <c r="A515" s="13" t="s">
        <v>1700</v>
      </c>
      <c r="B515" s="49" t="s">
        <v>1665</v>
      </c>
      <c r="C515" s="101" t="s">
        <v>1701</v>
      </c>
      <c r="D515" s="14" t="s">
        <v>3277</v>
      </c>
      <c r="E515" s="14" t="s">
        <v>3278</v>
      </c>
      <c r="F515" s="65" t="s">
        <v>841</v>
      </c>
      <c r="G515" s="106">
        <v>0.9</v>
      </c>
      <c r="H515" s="107" t="s">
        <v>3279</v>
      </c>
    </row>
    <row r="516" spans="1:8" ht="13.5" customHeight="1" x14ac:dyDescent="0.25">
      <c r="A516" s="24" t="s">
        <v>1702</v>
      </c>
      <c r="B516" s="38" t="s">
        <v>1665</v>
      </c>
      <c r="C516" s="100" t="s">
        <v>1703</v>
      </c>
      <c r="D516" s="25" t="s">
        <v>3277</v>
      </c>
      <c r="E516" s="25" t="s">
        <v>3278</v>
      </c>
      <c r="F516" s="65" t="s">
        <v>841</v>
      </c>
      <c r="G516" s="106">
        <v>0.9</v>
      </c>
      <c r="H516" s="107" t="s">
        <v>3279</v>
      </c>
    </row>
    <row r="517" spans="1:8" ht="13.5" customHeight="1" x14ac:dyDescent="0.25">
      <c r="A517" s="13" t="s">
        <v>1704</v>
      </c>
      <c r="B517" s="49" t="s">
        <v>1665</v>
      </c>
      <c r="C517" s="101" t="s">
        <v>1705</v>
      </c>
      <c r="D517" s="14" t="s">
        <v>3277</v>
      </c>
      <c r="E517" s="14" t="s">
        <v>3278</v>
      </c>
      <c r="F517" s="65" t="s">
        <v>841</v>
      </c>
      <c r="G517" s="106">
        <v>0.9</v>
      </c>
      <c r="H517" s="107" t="s">
        <v>3279</v>
      </c>
    </row>
    <row r="518" spans="1:8" ht="13.5" customHeight="1" x14ac:dyDescent="0.25">
      <c r="A518" s="24" t="s">
        <v>1706</v>
      </c>
      <c r="B518" s="38" t="s">
        <v>1665</v>
      </c>
      <c r="C518" s="100" t="s">
        <v>1707</v>
      </c>
      <c r="D518" s="25" t="s">
        <v>3277</v>
      </c>
      <c r="E518" s="25" t="s">
        <v>3278</v>
      </c>
      <c r="F518" s="65" t="s">
        <v>841</v>
      </c>
      <c r="G518" s="106">
        <v>0.9</v>
      </c>
      <c r="H518" s="107" t="s">
        <v>3279</v>
      </c>
    </row>
    <row r="519" spans="1:8" ht="13.5" customHeight="1" x14ac:dyDescent="0.25">
      <c r="A519" s="13" t="s">
        <v>1708</v>
      </c>
      <c r="B519" s="49" t="s">
        <v>1665</v>
      </c>
      <c r="C519" s="101" t="s">
        <v>1709</v>
      </c>
      <c r="D519" s="14" t="s">
        <v>3277</v>
      </c>
      <c r="E519" s="14" t="s">
        <v>3278</v>
      </c>
      <c r="F519" s="65" t="s">
        <v>841</v>
      </c>
      <c r="G519" s="106">
        <v>0.9</v>
      </c>
      <c r="H519" s="107" t="s">
        <v>3279</v>
      </c>
    </row>
    <row r="520" spans="1:8" ht="13.5" customHeight="1" x14ac:dyDescent="0.25">
      <c r="A520" s="24" t="s">
        <v>1710</v>
      </c>
      <c r="B520" s="38" t="s">
        <v>1665</v>
      </c>
      <c r="C520" s="100" t="s">
        <v>1711</v>
      </c>
      <c r="D520" s="25" t="s">
        <v>3277</v>
      </c>
      <c r="E520" s="25" t="s">
        <v>3278</v>
      </c>
      <c r="F520" s="40" t="s">
        <v>477</v>
      </c>
      <c r="G520" s="102">
        <v>1</v>
      </c>
      <c r="H520" s="107" t="s">
        <v>3279</v>
      </c>
    </row>
    <row r="521" spans="1:8" ht="13.5" customHeight="1" x14ac:dyDescent="0.25">
      <c r="A521" s="13" t="s">
        <v>1712</v>
      </c>
      <c r="B521" s="49" t="s">
        <v>1665</v>
      </c>
      <c r="C521" s="101" t="s">
        <v>1713</v>
      </c>
      <c r="D521" s="14" t="s">
        <v>3277</v>
      </c>
      <c r="E521" s="14" t="s">
        <v>3278</v>
      </c>
      <c r="F521" s="40" t="s">
        <v>477</v>
      </c>
      <c r="G521" s="102">
        <v>1</v>
      </c>
      <c r="H521" s="107" t="s">
        <v>3279</v>
      </c>
    </row>
    <row r="522" spans="1:8" ht="13.5" customHeight="1" x14ac:dyDescent="0.25">
      <c r="A522" s="24" t="s">
        <v>1714</v>
      </c>
      <c r="B522" s="38" t="s">
        <v>1665</v>
      </c>
      <c r="C522" s="100" t="s">
        <v>1715</v>
      </c>
      <c r="D522" s="25" t="s">
        <v>3277</v>
      </c>
      <c r="E522" s="25" t="s">
        <v>3278</v>
      </c>
      <c r="F522" s="40" t="s">
        <v>477</v>
      </c>
      <c r="G522" s="102">
        <v>1</v>
      </c>
      <c r="H522" s="107" t="s">
        <v>3279</v>
      </c>
    </row>
    <row r="523" spans="1:8" ht="13.5" customHeight="1" x14ac:dyDescent="0.25">
      <c r="A523" s="13" t="s">
        <v>1716</v>
      </c>
      <c r="B523" s="49" t="s">
        <v>1665</v>
      </c>
      <c r="C523" s="101" t="s">
        <v>1717</v>
      </c>
      <c r="D523" s="14" t="s">
        <v>3277</v>
      </c>
      <c r="E523" s="14" t="s">
        <v>3278</v>
      </c>
      <c r="F523" s="40" t="s">
        <v>477</v>
      </c>
      <c r="G523" s="102">
        <v>1</v>
      </c>
      <c r="H523" s="107" t="s">
        <v>3279</v>
      </c>
    </row>
    <row r="524" spans="1:8" ht="13.5" customHeight="1" x14ac:dyDescent="0.25">
      <c r="A524" s="24" t="s">
        <v>1718</v>
      </c>
      <c r="B524" s="38" t="s">
        <v>1665</v>
      </c>
      <c r="C524" s="100" t="s">
        <v>1719</v>
      </c>
      <c r="D524" s="25" t="s">
        <v>3277</v>
      </c>
      <c r="E524" s="25" t="s">
        <v>3278</v>
      </c>
      <c r="F524" s="40" t="s">
        <v>477</v>
      </c>
      <c r="G524" s="102">
        <v>1</v>
      </c>
      <c r="H524" s="107" t="s">
        <v>3279</v>
      </c>
    </row>
    <row r="525" spans="1:8" ht="13.5" customHeight="1" x14ac:dyDescent="0.25">
      <c r="A525" s="13" t="s">
        <v>1720</v>
      </c>
      <c r="B525" s="49" t="s">
        <v>1665</v>
      </c>
      <c r="C525" s="101" t="s">
        <v>1721</v>
      </c>
      <c r="D525" s="14" t="s">
        <v>3277</v>
      </c>
      <c r="E525" s="14" t="s">
        <v>3278</v>
      </c>
      <c r="F525" s="40" t="s">
        <v>477</v>
      </c>
      <c r="G525" s="102">
        <v>1</v>
      </c>
      <c r="H525" s="107" t="s">
        <v>3279</v>
      </c>
    </row>
    <row r="526" spans="1:8" ht="13.5" customHeight="1" x14ac:dyDescent="0.25">
      <c r="A526" s="24" t="s">
        <v>1722</v>
      </c>
      <c r="B526" s="38" t="s">
        <v>1665</v>
      </c>
      <c r="C526" s="100" t="s">
        <v>1723</v>
      </c>
      <c r="D526" s="25" t="s">
        <v>3277</v>
      </c>
      <c r="E526" s="25" t="s">
        <v>3278</v>
      </c>
      <c r="F526" s="40" t="s">
        <v>477</v>
      </c>
      <c r="G526" s="102">
        <v>1</v>
      </c>
      <c r="H526" s="107" t="s">
        <v>3279</v>
      </c>
    </row>
    <row r="527" spans="1:8" ht="13.5" customHeight="1" x14ac:dyDescent="0.25">
      <c r="A527" s="13" t="s">
        <v>1724</v>
      </c>
      <c r="B527" s="49" t="s">
        <v>1665</v>
      </c>
      <c r="C527" s="101" t="s">
        <v>1725</v>
      </c>
      <c r="D527" s="14" t="s">
        <v>3277</v>
      </c>
      <c r="E527" s="14" t="s">
        <v>3278</v>
      </c>
      <c r="F527" s="40" t="s">
        <v>477</v>
      </c>
      <c r="G527" s="102">
        <v>1</v>
      </c>
      <c r="H527" s="107" t="s">
        <v>3279</v>
      </c>
    </row>
    <row r="528" spans="1:8" ht="13.5" customHeight="1" x14ac:dyDescent="0.25">
      <c r="A528" s="24" t="s">
        <v>1726</v>
      </c>
      <c r="B528" s="38" t="s">
        <v>1665</v>
      </c>
      <c r="C528" s="100" t="s">
        <v>1727</v>
      </c>
      <c r="D528" s="25" t="s">
        <v>3277</v>
      </c>
      <c r="E528" s="25" t="s">
        <v>3278</v>
      </c>
      <c r="F528" s="40" t="s">
        <v>477</v>
      </c>
      <c r="G528" s="102">
        <v>1</v>
      </c>
      <c r="H528" s="107" t="s">
        <v>3279</v>
      </c>
    </row>
    <row r="529" spans="1:8" ht="13.5" customHeight="1" x14ac:dyDescent="0.25">
      <c r="A529" s="13" t="s">
        <v>1728</v>
      </c>
      <c r="B529" s="49" t="s">
        <v>1665</v>
      </c>
      <c r="C529" s="101" t="s">
        <v>1729</v>
      </c>
      <c r="D529" s="14" t="s">
        <v>3280</v>
      </c>
      <c r="E529" s="14" t="s">
        <v>3278</v>
      </c>
      <c r="F529" s="65" t="s">
        <v>841</v>
      </c>
      <c r="G529" s="106">
        <v>0.9</v>
      </c>
      <c r="H529" s="107" t="s">
        <v>3279</v>
      </c>
    </row>
    <row r="530" spans="1:8" ht="13.5" customHeight="1" x14ac:dyDescent="0.25">
      <c r="A530" s="24" t="s">
        <v>1731</v>
      </c>
      <c r="B530" s="38" t="s">
        <v>1665</v>
      </c>
      <c r="C530" s="100" t="s">
        <v>1732</v>
      </c>
      <c r="D530" s="25" t="s">
        <v>3280</v>
      </c>
      <c r="E530" s="25" t="s">
        <v>3278</v>
      </c>
      <c r="F530" s="65" t="s">
        <v>841</v>
      </c>
      <c r="G530" s="106">
        <v>0.9</v>
      </c>
      <c r="H530" s="107" t="s">
        <v>3279</v>
      </c>
    </row>
    <row r="531" spans="1:8" ht="13.5" customHeight="1" x14ac:dyDescent="0.25">
      <c r="A531" s="13" t="s">
        <v>1733</v>
      </c>
      <c r="B531" s="49" t="s">
        <v>1665</v>
      </c>
      <c r="C531" s="101" t="s">
        <v>1734</v>
      </c>
      <c r="D531" s="14" t="s">
        <v>3280</v>
      </c>
      <c r="E531" s="14" t="s">
        <v>3278</v>
      </c>
      <c r="F531" s="65" t="s">
        <v>841</v>
      </c>
      <c r="G531" s="106">
        <v>0.9</v>
      </c>
      <c r="H531" s="107" t="s">
        <v>3279</v>
      </c>
    </row>
    <row r="532" spans="1:8" ht="13.5" customHeight="1" x14ac:dyDescent="0.25">
      <c r="A532" s="24" t="s">
        <v>1735</v>
      </c>
      <c r="B532" s="38" t="s">
        <v>1665</v>
      </c>
      <c r="C532" s="100" t="s">
        <v>1736</v>
      </c>
      <c r="D532" s="25" t="s">
        <v>3280</v>
      </c>
      <c r="E532" s="25" t="s">
        <v>3278</v>
      </c>
      <c r="F532" s="65" t="s">
        <v>841</v>
      </c>
      <c r="G532" s="106">
        <v>0.9</v>
      </c>
      <c r="H532" s="107" t="s">
        <v>3279</v>
      </c>
    </row>
    <row r="533" spans="1:8" ht="13.5" customHeight="1" x14ac:dyDescent="0.25">
      <c r="A533" s="13" t="s">
        <v>1737</v>
      </c>
      <c r="B533" s="49" t="s">
        <v>1665</v>
      </c>
      <c r="C533" s="101" t="s">
        <v>1738</v>
      </c>
      <c r="D533" s="14" t="s">
        <v>3280</v>
      </c>
      <c r="E533" s="14" t="s">
        <v>3278</v>
      </c>
      <c r="F533" s="65" t="s">
        <v>841</v>
      </c>
      <c r="G533" s="106">
        <v>0.9</v>
      </c>
      <c r="H533" s="107" t="s">
        <v>3279</v>
      </c>
    </row>
    <row r="534" spans="1:8" ht="13.5" customHeight="1" x14ac:dyDescent="0.25">
      <c r="A534" s="24" t="s">
        <v>1739</v>
      </c>
      <c r="B534" s="38" t="s">
        <v>1665</v>
      </c>
      <c r="C534" s="100" t="s">
        <v>1740</v>
      </c>
      <c r="D534" s="25" t="s">
        <v>3280</v>
      </c>
      <c r="E534" s="25" t="s">
        <v>3278</v>
      </c>
      <c r="F534" s="65" t="s">
        <v>841</v>
      </c>
      <c r="G534" s="106">
        <v>0.9</v>
      </c>
      <c r="H534" s="107" t="s">
        <v>3279</v>
      </c>
    </row>
    <row r="535" spans="1:8" ht="13.5" customHeight="1" x14ac:dyDescent="0.25">
      <c r="A535" s="13" t="s">
        <v>1741</v>
      </c>
      <c r="B535" s="49" t="s">
        <v>1665</v>
      </c>
      <c r="C535" s="101" t="s">
        <v>1742</v>
      </c>
      <c r="D535" s="14" t="s">
        <v>3280</v>
      </c>
      <c r="E535" s="14" t="s">
        <v>3278</v>
      </c>
      <c r="F535" s="65" t="s">
        <v>841</v>
      </c>
      <c r="G535" s="106">
        <v>0.9</v>
      </c>
      <c r="H535" s="107" t="s">
        <v>3279</v>
      </c>
    </row>
    <row r="536" spans="1:8" ht="13.5" customHeight="1" x14ac:dyDescent="0.25">
      <c r="A536" s="24" t="s">
        <v>1743</v>
      </c>
      <c r="B536" s="38" t="s">
        <v>1665</v>
      </c>
      <c r="C536" s="100" t="s">
        <v>1744</v>
      </c>
      <c r="D536" s="25" t="s">
        <v>3280</v>
      </c>
      <c r="E536" s="25" t="s">
        <v>3278</v>
      </c>
      <c r="F536" s="65" t="s">
        <v>841</v>
      </c>
      <c r="G536" s="106">
        <v>0.9</v>
      </c>
      <c r="H536" s="107" t="s">
        <v>3279</v>
      </c>
    </row>
    <row r="537" spans="1:8" ht="13.5" customHeight="1" x14ac:dyDescent="0.25">
      <c r="A537" s="13" t="s">
        <v>1745</v>
      </c>
      <c r="B537" s="49" t="s">
        <v>1665</v>
      </c>
      <c r="C537" s="101" t="s">
        <v>1746</v>
      </c>
      <c r="D537" s="14" t="s">
        <v>3280</v>
      </c>
      <c r="E537" s="14" t="s">
        <v>3278</v>
      </c>
      <c r="F537" s="65" t="s">
        <v>841</v>
      </c>
      <c r="G537" s="106">
        <v>0.9</v>
      </c>
      <c r="H537" s="107" t="s">
        <v>3279</v>
      </c>
    </row>
    <row r="538" spans="1:8" ht="13.5" customHeight="1" x14ac:dyDescent="0.25">
      <c r="A538" s="24" t="s">
        <v>1747</v>
      </c>
      <c r="B538" s="38" t="s">
        <v>1665</v>
      </c>
      <c r="C538" s="100" t="s">
        <v>1748</v>
      </c>
      <c r="D538" s="25" t="s">
        <v>3280</v>
      </c>
      <c r="E538" s="25" t="s">
        <v>3278</v>
      </c>
      <c r="F538" s="65" t="s">
        <v>841</v>
      </c>
      <c r="G538" s="106">
        <v>0.9</v>
      </c>
      <c r="H538" s="107" t="s">
        <v>3279</v>
      </c>
    </row>
    <row r="539" spans="1:8" ht="13.5" customHeight="1" x14ac:dyDescent="0.25">
      <c r="A539" s="13" t="s">
        <v>1749</v>
      </c>
      <c r="B539" s="49" t="s">
        <v>1665</v>
      </c>
      <c r="C539" s="101" t="s">
        <v>1750</v>
      </c>
      <c r="D539" s="14" t="s">
        <v>3280</v>
      </c>
      <c r="E539" s="14" t="s">
        <v>3278</v>
      </c>
      <c r="F539" s="65" t="s">
        <v>841</v>
      </c>
      <c r="G539" s="106">
        <v>0.9</v>
      </c>
      <c r="H539" s="107" t="s">
        <v>3279</v>
      </c>
    </row>
    <row r="540" spans="1:8" ht="13.5" customHeight="1" x14ac:dyDescent="0.25">
      <c r="A540" s="24" t="s">
        <v>1751</v>
      </c>
      <c r="B540" s="38" t="s">
        <v>1665</v>
      </c>
      <c r="C540" s="100" t="s">
        <v>1752</v>
      </c>
      <c r="D540" s="25" t="s">
        <v>3280</v>
      </c>
      <c r="E540" s="25" t="s">
        <v>3278</v>
      </c>
      <c r="F540" s="65" t="s">
        <v>841</v>
      </c>
      <c r="G540" s="106">
        <v>0.9</v>
      </c>
      <c r="H540" s="107" t="s">
        <v>3279</v>
      </c>
    </row>
    <row r="541" spans="1:8" ht="13.5" customHeight="1" x14ac:dyDescent="0.25">
      <c r="A541" s="13" t="s">
        <v>1753</v>
      </c>
      <c r="B541" s="49" t="s">
        <v>1665</v>
      </c>
      <c r="C541" s="101" t="s">
        <v>1754</v>
      </c>
      <c r="D541" s="14" t="s">
        <v>3280</v>
      </c>
      <c r="E541" s="14" t="s">
        <v>3278</v>
      </c>
      <c r="F541" s="65" t="s">
        <v>841</v>
      </c>
      <c r="G541" s="106">
        <v>0.9</v>
      </c>
      <c r="H541" s="107" t="s">
        <v>3279</v>
      </c>
    </row>
    <row r="542" spans="1:8" ht="13.5" customHeight="1" x14ac:dyDescent="0.25">
      <c r="A542" s="24" t="s">
        <v>1755</v>
      </c>
      <c r="B542" s="38" t="s">
        <v>1665</v>
      </c>
      <c r="C542" s="100" t="s">
        <v>1756</v>
      </c>
      <c r="D542" s="25" t="s">
        <v>3280</v>
      </c>
      <c r="E542" s="25" t="s">
        <v>3278</v>
      </c>
      <c r="F542" s="65" t="s">
        <v>841</v>
      </c>
      <c r="G542" s="106">
        <v>0.9</v>
      </c>
      <c r="H542" s="107" t="s">
        <v>3279</v>
      </c>
    </row>
    <row r="543" spans="1:8" ht="13.5" customHeight="1" x14ac:dyDescent="0.25">
      <c r="A543" s="13" t="s">
        <v>1757</v>
      </c>
      <c r="B543" s="49" t="s">
        <v>1665</v>
      </c>
      <c r="C543" s="101" t="s">
        <v>1758</v>
      </c>
      <c r="D543" s="14" t="s">
        <v>3280</v>
      </c>
      <c r="E543" s="14" t="s">
        <v>3278</v>
      </c>
      <c r="F543" s="65" t="s">
        <v>841</v>
      </c>
      <c r="G543" s="106">
        <v>0.9</v>
      </c>
      <c r="H543" s="107" t="s">
        <v>3279</v>
      </c>
    </row>
    <row r="544" spans="1:8" ht="13.5" customHeight="1" x14ac:dyDescent="0.25">
      <c r="A544" s="24" t="s">
        <v>1759</v>
      </c>
      <c r="B544" s="38" t="s">
        <v>1665</v>
      </c>
      <c r="C544" s="100" t="s">
        <v>1760</v>
      </c>
      <c r="D544" s="25" t="s">
        <v>3280</v>
      </c>
      <c r="E544" s="25" t="s">
        <v>3278</v>
      </c>
      <c r="F544" s="65" t="s">
        <v>841</v>
      </c>
      <c r="G544" s="106">
        <v>0.9</v>
      </c>
      <c r="H544" s="107" t="s">
        <v>3279</v>
      </c>
    </row>
    <row r="545" spans="1:8" ht="13.5" customHeight="1" x14ac:dyDescent="0.25">
      <c r="A545" s="13" t="s">
        <v>1761</v>
      </c>
      <c r="B545" s="49" t="s">
        <v>1665</v>
      </c>
      <c r="C545" s="101" t="s">
        <v>1762</v>
      </c>
      <c r="D545" s="14" t="s">
        <v>3280</v>
      </c>
      <c r="E545" s="14" t="s">
        <v>3278</v>
      </c>
      <c r="F545" s="65" t="s">
        <v>841</v>
      </c>
      <c r="G545" s="106">
        <v>0.9</v>
      </c>
      <c r="H545" s="107" t="s">
        <v>3279</v>
      </c>
    </row>
    <row r="546" spans="1:8" ht="13.5" customHeight="1" x14ac:dyDescent="0.25">
      <c r="A546" s="24" t="s">
        <v>1763</v>
      </c>
      <c r="B546" s="38" t="s">
        <v>1665</v>
      </c>
      <c r="C546" s="100" t="s">
        <v>1764</v>
      </c>
      <c r="D546" s="25" t="s">
        <v>3280</v>
      </c>
      <c r="E546" s="25" t="s">
        <v>3278</v>
      </c>
      <c r="F546" s="65" t="s">
        <v>841</v>
      </c>
      <c r="G546" s="106">
        <v>0.9</v>
      </c>
      <c r="H546" s="107" t="s">
        <v>3279</v>
      </c>
    </row>
    <row r="547" spans="1:8" ht="13.5" customHeight="1" x14ac:dyDescent="0.25">
      <c r="A547" s="13" t="s">
        <v>1765</v>
      </c>
      <c r="B547" s="49" t="s">
        <v>1665</v>
      </c>
      <c r="C547" s="101" t="s">
        <v>1766</v>
      </c>
      <c r="D547" s="14" t="s">
        <v>3280</v>
      </c>
      <c r="E547" s="14" t="s">
        <v>3278</v>
      </c>
      <c r="F547" s="65" t="s">
        <v>841</v>
      </c>
      <c r="G547" s="106">
        <v>0.9</v>
      </c>
      <c r="H547" s="107" t="s">
        <v>3279</v>
      </c>
    </row>
    <row r="548" spans="1:8" ht="13.5" customHeight="1" x14ac:dyDescent="0.25">
      <c r="A548" s="24" t="s">
        <v>1767</v>
      </c>
      <c r="B548" s="38" t="s">
        <v>1665</v>
      </c>
      <c r="C548" s="100" t="s">
        <v>1768</v>
      </c>
      <c r="D548" s="25" t="s">
        <v>3280</v>
      </c>
      <c r="E548" s="25" t="s">
        <v>3278</v>
      </c>
      <c r="F548" s="65" t="s">
        <v>841</v>
      </c>
      <c r="G548" s="106">
        <v>0.9</v>
      </c>
      <c r="H548" s="107" t="s">
        <v>3279</v>
      </c>
    </row>
    <row r="549" spans="1:8" ht="13.5" customHeight="1" x14ac:dyDescent="0.25">
      <c r="A549" s="13" t="s">
        <v>1769</v>
      </c>
      <c r="B549" s="49" t="s">
        <v>1665</v>
      </c>
      <c r="C549" s="101" t="s">
        <v>1770</v>
      </c>
      <c r="D549" s="14" t="s">
        <v>3280</v>
      </c>
      <c r="E549" s="14" t="s">
        <v>3278</v>
      </c>
      <c r="F549" s="65" t="s">
        <v>841</v>
      </c>
      <c r="G549" s="106">
        <v>0.9</v>
      </c>
      <c r="H549" s="107" t="s">
        <v>3279</v>
      </c>
    </row>
    <row r="550" spans="1:8" ht="13.5" customHeight="1" x14ac:dyDescent="0.25">
      <c r="A550" s="24" t="s">
        <v>1771</v>
      </c>
      <c r="B550" s="38" t="s">
        <v>1665</v>
      </c>
      <c r="C550" s="100" t="s">
        <v>1772</v>
      </c>
      <c r="D550" s="25" t="s">
        <v>3280</v>
      </c>
      <c r="E550" s="25" t="s">
        <v>3278</v>
      </c>
      <c r="F550" s="65" t="s">
        <v>841</v>
      </c>
      <c r="G550" s="106">
        <v>0.9</v>
      </c>
      <c r="H550" s="107" t="s">
        <v>3279</v>
      </c>
    </row>
    <row r="551" spans="1:8" ht="13.5" customHeight="1" x14ac:dyDescent="0.25">
      <c r="A551" s="13" t="s">
        <v>1773</v>
      </c>
      <c r="B551" s="49" t="s">
        <v>1665</v>
      </c>
      <c r="C551" s="101" t="s">
        <v>1774</v>
      </c>
      <c r="D551" s="14" t="s">
        <v>3280</v>
      </c>
      <c r="E551" s="14" t="s">
        <v>3278</v>
      </c>
      <c r="F551" s="65" t="s">
        <v>841</v>
      </c>
      <c r="G551" s="106">
        <v>0.9</v>
      </c>
      <c r="H551" s="107" t="s">
        <v>3279</v>
      </c>
    </row>
    <row r="552" spans="1:8" ht="13.5" customHeight="1" x14ac:dyDescent="0.25">
      <c r="A552" s="24" t="s">
        <v>1775</v>
      </c>
      <c r="B552" s="38" t="s">
        <v>1665</v>
      </c>
      <c r="C552" s="100" t="s">
        <v>1776</v>
      </c>
      <c r="D552" s="25" t="s">
        <v>3280</v>
      </c>
      <c r="E552" s="25" t="s">
        <v>3278</v>
      </c>
      <c r="F552" s="65" t="s">
        <v>841</v>
      </c>
      <c r="G552" s="106">
        <v>0.9</v>
      </c>
      <c r="H552" s="107" t="s">
        <v>3279</v>
      </c>
    </row>
    <row r="553" spans="1:8" ht="13.5" customHeight="1" x14ac:dyDescent="0.25">
      <c r="A553" s="13" t="s">
        <v>1777</v>
      </c>
      <c r="B553" s="49" t="s">
        <v>1665</v>
      </c>
      <c r="C553" s="101" t="s">
        <v>1778</v>
      </c>
      <c r="D553" s="14" t="s">
        <v>3280</v>
      </c>
      <c r="E553" s="14" t="s">
        <v>3278</v>
      </c>
      <c r="F553" s="65" t="s">
        <v>841</v>
      </c>
      <c r="G553" s="106">
        <v>0.9</v>
      </c>
      <c r="H553" s="107" t="s">
        <v>3279</v>
      </c>
    </row>
    <row r="554" spans="1:8" ht="13.5" customHeight="1" x14ac:dyDescent="0.25">
      <c r="A554" s="24" t="s">
        <v>1779</v>
      </c>
      <c r="B554" s="38" t="s">
        <v>1665</v>
      </c>
      <c r="C554" s="100" t="s">
        <v>1780</v>
      </c>
      <c r="D554" s="25" t="s">
        <v>3280</v>
      </c>
      <c r="E554" s="25" t="s">
        <v>3278</v>
      </c>
      <c r="F554" s="65" t="s">
        <v>841</v>
      </c>
      <c r="G554" s="106">
        <v>0.9</v>
      </c>
      <c r="H554" s="107" t="s">
        <v>3279</v>
      </c>
    </row>
    <row r="555" spans="1:8" ht="13.5" customHeight="1" x14ac:dyDescent="0.25">
      <c r="A555" s="13" t="s">
        <v>1781</v>
      </c>
      <c r="B555" s="49" t="s">
        <v>1665</v>
      </c>
      <c r="C555" s="101" t="s">
        <v>1782</v>
      </c>
      <c r="D555" s="14" t="s">
        <v>3280</v>
      </c>
      <c r="E555" s="14" t="s">
        <v>3278</v>
      </c>
      <c r="F555" s="65" t="s">
        <v>841</v>
      </c>
      <c r="G555" s="106">
        <v>0.9</v>
      </c>
      <c r="H555" s="107" t="s">
        <v>3279</v>
      </c>
    </row>
    <row r="556" spans="1:8" ht="13.5" customHeight="1" x14ac:dyDescent="0.25">
      <c r="A556" s="24" t="s">
        <v>1783</v>
      </c>
      <c r="B556" s="38" t="s">
        <v>1665</v>
      </c>
      <c r="C556" s="100" t="s">
        <v>1784</v>
      </c>
      <c r="D556" s="25" t="s">
        <v>3280</v>
      </c>
      <c r="E556" s="25" t="s">
        <v>3278</v>
      </c>
      <c r="F556" s="65" t="s">
        <v>841</v>
      </c>
      <c r="G556" s="106">
        <v>0.9</v>
      </c>
      <c r="H556" s="107" t="s">
        <v>3279</v>
      </c>
    </row>
    <row r="557" spans="1:8" ht="13.5" customHeight="1" x14ac:dyDescent="0.25">
      <c r="A557" s="13" t="s">
        <v>1785</v>
      </c>
      <c r="B557" s="49" t="s">
        <v>1665</v>
      </c>
      <c r="C557" s="101" t="s">
        <v>1786</v>
      </c>
      <c r="D557" s="14" t="s">
        <v>3280</v>
      </c>
      <c r="E557" s="14" t="s">
        <v>3278</v>
      </c>
      <c r="F557" s="65" t="s">
        <v>841</v>
      </c>
      <c r="G557" s="106">
        <v>0.9</v>
      </c>
      <c r="H557" s="107" t="s">
        <v>3279</v>
      </c>
    </row>
    <row r="558" spans="1:8" ht="13.5" customHeight="1" x14ac:dyDescent="0.25">
      <c r="A558" s="24" t="s">
        <v>1787</v>
      </c>
      <c r="B558" s="38" t="s">
        <v>1665</v>
      </c>
      <c r="C558" s="100" t="s">
        <v>1788</v>
      </c>
      <c r="D558" s="25" t="s">
        <v>3280</v>
      </c>
      <c r="E558" s="25" t="s">
        <v>3278</v>
      </c>
      <c r="F558" s="65" t="s">
        <v>841</v>
      </c>
      <c r="G558" s="106">
        <v>0.9</v>
      </c>
      <c r="H558" s="107" t="s">
        <v>3279</v>
      </c>
    </row>
    <row r="559" spans="1:8" ht="13.5" customHeight="1" x14ac:dyDescent="0.25">
      <c r="A559" s="13" t="s">
        <v>1789</v>
      </c>
      <c r="B559" s="49" t="s">
        <v>1665</v>
      </c>
      <c r="C559" s="101" t="s">
        <v>1790</v>
      </c>
      <c r="D559" s="14" t="s">
        <v>3280</v>
      </c>
      <c r="E559" s="14" t="s">
        <v>3278</v>
      </c>
      <c r="F559" s="65" t="s">
        <v>841</v>
      </c>
      <c r="G559" s="106">
        <v>0.9</v>
      </c>
      <c r="H559" s="107" t="s">
        <v>3279</v>
      </c>
    </row>
    <row r="560" spans="1:8" ht="13.5" customHeight="1" x14ac:dyDescent="0.25">
      <c r="A560" s="24" t="s">
        <v>1791</v>
      </c>
      <c r="B560" s="38" t="s">
        <v>1665</v>
      </c>
      <c r="C560" s="100" t="s">
        <v>1792</v>
      </c>
      <c r="D560" s="25" t="s">
        <v>3280</v>
      </c>
      <c r="E560" s="25" t="s">
        <v>3278</v>
      </c>
      <c r="F560" s="65" t="s">
        <v>841</v>
      </c>
      <c r="G560" s="106">
        <v>0.9</v>
      </c>
      <c r="H560" s="107" t="s">
        <v>3279</v>
      </c>
    </row>
    <row r="561" spans="1:8" ht="13.5" customHeight="1" x14ac:dyDescent="0.25">
      <c r="A561" s="13" t="s">
        <v>1793</v>
      </c>
      <c r="B561" s="49" t="s">
        <v>1665</v>
      </c>
      <c r="C561" s="101" t="s">
        <v>1794</v>
      </c>
      <c r="D561" s="14" t="s">
        <v>3280</v>
      </c>
      <c r="E561" s="14" t="s">
        <v>3278</v>
      </c>
      <c r="F561" s="65" t="s">
        <v>841</v>
      </c>
      <c r="G561" s="106">
        <v>0.9</v>
      </c>
      <c r="H561" s="107" t="s">
        <v>3279</v>
      </c>
    </row>
    <row r="562" spans="1:8" ht="13.5" customHeight="1" x14ac:dyDescent="0.25">
      <c r="A562" s="24" t="s">
        <v>1795</v>
      </c>
      <c r="B562" s="38" t="s">
        <v>1665</v>
      </c>
      <c r="C562" s="100" t="s">
        <v>1796</v>
      </c>
      <c r="D562" s="25" t="s">
        <v>3280</v>
      </c>
      <c r="E562" s="25" t="s">
        <v>3278</v>
      </c>
      <c r="F562" s="65" t="s">
        <v>841</v>
      </c>
      <c r="G562" s="106">
        <v>0.9</v>
      </c>
      <c r="H562" s="107" t="s">
        <v>3279</v>
      </c>
    </row>
    <row r="563" spans="1:8" ht="13.5" customHeight="1" x14ac:dyDescent="0.25">
      <c r="A563" s="13" t="s">
        <v>1797</v>
      </c>
      <c r="B563" s="49" t="s">
        <v>1665</v>
      </c>
      <c r="C563" s="101" t="s">
        <v>1798</v>
      </c>
      <c r="D563" s="14" t="s">
        <v>3280</v>
      </c>
      <c r="E563" s="14" t="s">
        <v>3278</v>
      </c>
      <c r="F563" s="65" t="s">
        <v>841</v>
      </c>
      <c r="G563" s="106">
        <v>0.9</v>
      </c>
      <c r="H563" s="107" t="s">
        <v>3279</v>
      </c>
    </row>
    <row r="564" spans="1:8" ht="13.5" customHeight="1" x14ac:dyDescent="0.25">
      <c r="A564" s="24" t="s">
        <v>1799</v>
      </c>
      <c r="B564" s="38" t="s">
        <v>1665</v>
      </c>
      <c r="C564" s="100" t="s">
        <v>1800</v>
      </c>
      <c r="D564" s="25" t="s">
        <v>3280</v>
      </c>
      <c r="E564" s="25" t="s">
        <v>3278</v>
      </c>
      <c r="F564" s="65" t="s">
        <v>841</v>
      </c>
      <c r="G564" s="106">
        <v>0.9</v>
      </c>
      <c r="H564" s="107" t="s">
        <v>3279</v>
      </c>
    </row>
    <row r="565" spans="1:8" ht="13.5" customHeight="1" x14ac:dyDescent="0.25">
      <c r="A565" s="13" t="s">
        <v>1801</v>
      </c>
      <c r="B565" s="49" t="s">
        <v>1665</v>
      </c>
      <c r="C565" s="101" t="s">
        <v>1802</v>
      </c>
      <c r="D565" s="14" t="s">
        <v>3280</v>
      </c>
      <c r="E565" s="14" t="s">
        <v>3278</v>
      </c>
      <c r="F565" s="65" t="s">
        <v>841</v>
      </c>
      <c r="G565" s="106">
        <v>0.9</v>
      </c>
      <c r="H565" s="107" t="s">
        <v>3279</v>
      </c>
    </row>
    <row r="566" spans="1:8" ht="13.5" customHeight="1" x14ac:dyDescent="0.25">
      <c r="A566" s="24" t="s">
        <v>1803</v>
      </c>
      <c r="B566" s="38" t="s">
        <v>1665</v>
      </c>
      <c r="C566" s="100" t="s">
        <v>1804</v>
      </c>
      <c r="D566" s="25" t="s">
        <v>3280</v>
      </c>
      <c r="E566" s="25" t="s">
        <v>3278</v>
      </c>
      <c r="F566" s="65" t="s">
        <v>841</v>
      </c>
      <c r="G566" s="106">
        <v>0.9</v>
      </c>
      <c r="H566" s="107" t="s">
        <v>3279</v>
      </c>
    </row>
    <row r="567" spans="1:8" ht="13.5" customHeight="1" x14ac:dyDescent="0.25">
      <c r="A567" s="13" t="s">
        <v>1805</v>
      </c>
      <c r="B567" s="49" t="s">
        <v>1665</v>
      </c>
      <c r="C567" s="101" t="s">
        <v>1806</v>
      </c>
      <c r="D567" s="14" t="s">
        <v>3280</v>
      </c>
      <c r="E567" s="14" t="s">
        <v>3278</v>
      </c>
      <c r="F567" s="65" t="s">
        <v>841</v>
      </c>
      <c r="G567" s="106">
        <v>0.9</v>
      </c>
      <c r="H567" s="107" t="s">
        <v>3279</v>
      </c>
    </row>
    <row r="568" spans="1:8" ht="13.5" customHeight="1" x14ac:dyDescent="0.25">
      <c r="A568" s="24" t="s">
        <v>1807</v>
      </c>
      <c r="B568" s="38" t="s">
        <v>1665</v>
      </c>
      <c r="C568" s="100" t="s">
        <v>1808</v>
      </c>
      <c r="D568" s="25" t="s">
        <v>3280</v>
      </c>
      <c r="E568" s="25" t="s">
        <v>3278</v>
      </c>
      <c r="F568" s="65" t="s">
        <v>841</v>
      </c>
      <c r="G568" s="106">
        <v>0.9</v>
      </c>
      <c r="H568" s="107" t="s">
        <v>3279</v>
      </c>
    </row>
    <row r="569" spans="1:8" ht="13.5" customHeight="1" x14ac:dyDescent="0.25">
      <c r="A569" s="13" t="s">
        <v>1809</v>
      </c>
      <c r="B569" s="49" t="s">
        <v>1665</v>
      </c>
      <c r="C569" s="101" t="s">
        <v>1810</v>
      </c>
      <c r="D569" s="14" t="s">
        <v>3280</v>
      </c>
      <c r="E569" s="14" t="s">
        <v>3278</v>
      </c>
      <c r="F569" s="65" t="s">
        <v>841</v>
      </c>
      <c r="G569" s="106">
        <v>0.9</v>
      </c>
      <c r="H569" s="107" t="s">
        <v>3279</v>
      </c>
    </row>
    <row r="570" spans="1:8" ht="13.5" customHeight="1" x14ac:dyDescent="0.25">
      <c r="A570" s="24" t="s">
        <v>1811</v>
      </c>
      <c r="B570" s="38" t="s">
        <v>1665</v>
      </c>
      <c r="C570" s="100" t="s">
        <v>1812</v>
      </c>
      <c r="D570" s="25" t="s">
        <v>3280</v>
      </c>
      <c r="E570" s="25" t="s">
        <v>3278</v>
      </c>
      <c r="F570" s="65" t="s">
        <v>841</v>
      </c>
      <c r="G570" s="106">
        <v>0.9</v>
      </c>
      <c r="H570" s="107" t="s">
        <v>3279</v>
      </c>
    </row>
    <row r="571" spans="1:8" ht="13.5" customHeight="1" x14ac:dyDescent="0.25">
      <c r="A571" s="13" t="s">
        <v>1813</v>
      </c>
      <c r="B571" s="49" t="s">
        <v>1665</v>
      </c>
      <c r="C571" s="101" t="s">
        <v>1814</v>
      </c>
      <c r="D571" s="14" t="s">
        <v>3280</v>
      </c>
      <c r="E571" s="14" t="s">
        <v>3278</v>
      </c>
      <c r="F571" s="65" t="s">
        <v>841</v>
      </c>
      <c r="G571" s="106">
        <v>0.9</v>
      </c>
      <c r="H571" s="107" t="s">
        <v>3279</v>
      </c>
    </row>
    <row r="572" spans="1:8" ht="13.5" customHeight="1" x14ac:dyDescent="0.25">
      <c r="A572" s="24" t="s">
        <v>1815</v>
      </c>
      <c r="B572" s="38" t="s">
        <v>1665</v>
      </c>
      <c r="C572" s="100" t="s">
        <v>1816</v>
      </c>
      <c r="D572" s="25" t="s">
        <v>3280</v>
      </c>
      <c r="E572" s="25" t="s">
        <v>3278</v>
      </c>
      <c r="F572" s="65" t="s">
        <v>841</v>
      </c>
      <c r="G572" s="106">
        <v>0.9</v>
      </c>
      <c r="H572" s="107" t="s">
        <v>3279</v>
      </c>
    </row>
    <row r="573" spans="1:8" ht="13.5" customHeight="1" x14ac:dyDescent="0.25">
      <c r="A573" s="13" t="s">
        <v>1817</v>
      </c>
      <c r="B573" s="49" t="s">
        <v>1665</v>
      </c>
      <c r="C573" s="101" t="s">
        <v>1818</v>
      </c>
      <c r="D573" s="14" t="s">
        <v>3280</v>
      </c>
      <c r="E573" s="14" t="s">
        <v>3278</v>
      </c>
      <c r="F573" s="65" t="s">
        <v>841</v>
      </c>
      <c r="G573" s="106">
        <v>0.9</v>
      </c>
      <c r="H573" s="107" t="s">
        <v>3279</v>
      </c>
    </row>
    <row r="574" spans="1:8" ht="13.5" customHeight="1" x14ac:dyDescent="0.25">
      <c r="A574" s="24" t="s">
        <v>1819</v>
      </c>
      <c r="B574" s="38" t="s">
        <v>1665</v>
      </c>
      <c r="C574" s="100" t="s">
        <v>1820</v>
      </c>
      <c r="D574" s="25" t="s">
        <v>3280</v>
      </c>
      <c r="E574" s="25" t="s">
        <v>3278</v>
      </c>
      <c r="F574" s="65" t="s">
        <v>841</v>
      </c>
      <c r="G574" s="106">
        <v>0.9</v>
      </c>
      <c r="H574" s="107" t="s">
        <v>3279</v>
      </c>
    </row>
    <row r="575" spans="1:8" ht="13.5" customHeight="1" x14ac:dyDescent="0.25">
      <c r="A575" s="13" t="s">
        <v>1821</v>
      </c>
      <c r="B575" s="49" t="s">
        <v>1665</v>
      </c>
      <c r="C575" s="101" t="s">
        <v>1822</v>
      </c>
      <c r="D575" s="14" t="s">
        <v>3280</v>
      </c>
      <c r="E575" s="14" t="s">
        <v>3278</v>
      </c>
      <c r="F575" s="65" t="s">
        <v>841</v>
      </c>
      <c r="G575" s="106">
        <v>0.9</v>
      </c>
      <c r="H575" s="107" t="s">
        <v>3279</v>
      </c>
    </row>
    <row r="576" spans="1:8" ht="13.5" customHeight="1" x14ac:dyDescent="0.25">
      <c r="A576" s="24" t="s">
        <v>1823</v>
      </c>
      <c r="B576" s="38" t="s">
        <v>1665</v>
      </c>
      <c r="C576" s="100" t="s">
        <v>1824</v>
      </c>
      <c r="D576" s="25" t="s">
        <v>3280</v>
      </c>
      <c r="E576" s="25" t="s">
        <v>3278</v>
      </c>
      <c r="F576" s="65" t="s">
        <v>841</v>
      </c>
      <c r="G576" s="106">
        <v>0.9</v>
      </c>
      <c r="H576" s="107" t="s">
        <v>3279</v>
      </c>
    </row>
    <row r="577" spans="1:8" ht="13.5" customHeight="1" x14ac:dyDescent="0.25">
      <c r="A577" s="13" t="s">
        <v>1825</v>
      </c>
      <c r="B577" s="49" t="s">
        <v>1665</v>
      </c>
      <c r="C577" s="101" t="s">
        <v>1826</v>
      </c>
      <c r="D577" s="14" t="s">
        <v>3280</v>
      </c>
      <c r="E577" s="14" t="s">
        <v>3278</v>
      </c>
      <c r="F577" s="65" t="s">
        <v>841</v>
      </c>
      <c r="G577" s="106">
        <v>0.9</v>
      </c>
      <c r="H577" s="107" t="s">
        <v>3279</v>
      </c>
    </row>
    <row r="578" spans="1:8" ht="13.5" customHeight="1" x14ac:dyDescent="0.25">
      <c r="A578" s="24" t="s">
        <v>1827</v>
      </c>
      <c r="B578" s="38" t="s">
        <v>1665</v>
      </c>
      <c r="C578" s="100" t="s">
        <v>1828</v>
      </c>
      <c r="D578" s="25" t="s">
        <v>3280</v>
      </c>
      <c r="E578" s="25" t="s">
        <v>3278</v>
      </c>
      <c r="F578" s="65" t="s">
        <v>841</v>
      </c>
      <c r="G578" s="106">
        <v>0.9</v>
      </c>
      <c r="H578" s="107" t="s">
        <v>3279</v>
      </c>
    </row>
    <row r="579" spans="1:8" ht="13.5" customHeight="1" x14ac:dyDescent="0.25">
      <c r="A579" s="13" t="s">
        <v>1829</v>
      </c>
      <c r="B579" s="49" t="s">
        <v>1665</v>
      </c>
      <c r="C579" s="101" t="s">
        <v>1830</v>
      </c>
      <c r="D579" s="14" t="s">
        <v>3280</v>
      </c>
      <c r="E579" s="14" t="s">
        <v>3278</v>
      </c>
      <c r="F579" s="65" t="s">
        <v>841</v>
      </c>
      <c r="G579" s="106">
        <v>0.9</v>
      </c>
      <c r="H579" s="107" t="s">
        <v>3279</v>
      </c>
    </row>
    <row r="580" spans="1:8" ht="13.5" customHeight="1" x14ac:dyDescent="0.25">
      <c r="A580" s="24" t="s">
        <v>1831</v>
      </c>
      <c r="B580" s="38" t="s">
        <v>1665</v>
      </c>
      <c r="C580" s="100" t="s">
        <v>1832</v>
      </c>
      <c r="D580" s="25" t="s">
        <v>3280</v>
      </c>
      <c r="E580" s="25" t="s">
        <v>3278</v>
      </c>
      <c r="F580" s="65" t="s">
        <v>841</v>
      </c>
      <c r="G580" s="106">
        <v>0.9</v>
      </c>
      <c r="H580" s="107" t="s">
        <v>3279</v>
      </c>
    </row>
    <row r="581" spans="1:8" ht="13.5" customHeight="1" x14ac:dyDescent="0.25">
      <c r="A581" s="13" t="s">
        <v>1833</v>
      </c>
      <c r="B581" s="49" t="s">
        <v>1665</v>
      </c>
      <c r="C581" s="101" t="s">
        <v>1834</v>
      </c>
      <c r="D581" s="14" t="s">
        <v>3280</v>
      </c>
      <c r="E581" s="14" t="s">
        <v>3278</v>
      </c>
      <c r="F581" s="65" t="s">
        <v>841</v>
      </c>
      <c r="G581" s="106">
        <v>0.9</v>
      </c>
      <c r="H581" s="107" t="s">
        <v>3279</v>
      </c>
    </row>
    <row r="582" spans="1:8" ht="13.5" customHeight="1" x14ac:dyDescent="0.25">
      <c r="A582" s="24" t="s">
        <v>1835</v>
      </c>
      <c r="B582" s="38" t="s">
        <v>1665</v>
      </c>
      <c r="C582" s="100" t="s">
        <v>1836</v>
      </c>
      <c r="D582" s="25" t="s">
        <v>3280</v>
      </c>
      <c r="E582" s="25" t="s">
        <v>3278</v>
      </c>
      <c r="F582" s="65" t="s">
        <v>841</v>
      </c>
      <c r="G582" s="106">
        <v>0.9</v>
      </c>
      <c r="H582" s="107" t="s">
        <v>3279</v>
      </c>
    </row>
    <row r="583" spans="1:8" ht="13.5" customHeight="1" x14ac:dyDescent="0.25">
      <c r="A583" s="13" t="s">
        <v>1837</v>
      </c>
      <c r="B583" s="49" t="s">
        <v>1665</v>
      </c>
      <c r="C583" s="101" t="s">
        <v>1838</v>
      </c>
      <c r="D583" s="14" t="s">
        <v>3280</v>
      </c>
      <c r="E583" s="14" t="s">
        <v>3278</v>
      </c>
      <c r="F583" s="65" t="s">
        <v>841</v>
      </c>
      <c r="G583" s="106">
        <v>0.9</v>
      </c>
      <c r="H583" s="107" t="s">
        <v>3279</v>
      </c>
    </row>
    <row r="584" spans="1:8" ht="13.5" customHeight="1" x14ac:dyDescent="0.25">
      <c r="A584" s="24" t="s">
        <v>1839</v>
      </c>
      <c r="B584" s="38" t="s">
        <v>1665</v>
      </c>
      <c r="C584" s="100" t="s">
        <v>1840</v>
      </c>
      <c r="D584" s="25" t="s">
        <v>3280</v>
      </c>
      <c r="E584" s="25" t="s">
        <v>3278</v>
      </c>
      <c r="F584" s="65" t="s">
        <v>841</v>
      </c>
      <c r="G584" s="106">
        <v>0.9</v>
      </c>
      <c r="H584" s="107" t="s">
        <v>3279</v>
      </c>
    </row>
    <row r="585" spans="1:8" ht="13.5" customHeight="1" x14ac:dyDescent="0.25">
      <c r="A585" s="13" t="s">
        <v>1841</v>
      </c>
      <c r="B585" s="49" t="s">
        <v>1665</v>
      </c>
      <c r="C585" s="101" t="s">
        <v>1842</v>
      </c>
      <c r="D585" s="14" t="s">
        <v>3280</v>
      </c>
      <c r="E585" s="14" t="s">
        <v>3278</v>
      </c>
      <c r="F585" s="65" t="s">
        <v>841</v>
      </c>
      <c r="G585" s="106">
        <v>0.9</v>
      </c>
      <c r="H585" s="107" t="s">
        <v>3279</v>
      </c>
    </row>
    <row r="586" spans="1:8" ht="13.5" customHeight="1" x14ac:dyDescent="0.25">
      <c r="A586" s="24" t="s">
        <v>1843</v>
      </c>
      <c r="B586" s="38" t="s">
        <v>1665</v>
      </c>
      <c r="C586" s="100" t="s">
        <v>1844</v>
      </c>
      <c r="D586" s="25" t="s">
        <v>3280</v>
      </c>
      <c r="E586" s="25" t="s">
        <v>3278</v>
      </c>
      <c r="F586" s="65" t="s">
        <v>841</v>
      </c>
      <c r="G586" s="106">
        <v>0.9</v>
      </c>
      <c r="H586" s="107" t="s">
        <v>3279</v>
      </c>
    </row>
    <row r="587" spans="1:8" ht="13.5" customHeight="1" x14ac:dyDescent="0.25">
      <c r="A587" s="13" t="s">
        <v>1845</v>
      </c>
      <c r="B587" s="49" t="s">
        <v>1665</v>
      </c>
      <c r="C587" s="101" t="s">
        <v>1846</v>
      </c>
      <c r="D587" s="14" t="s">
        <v>3280</v>
      </c>
      <c r="E587" s="14" t="s">
        <v>3278</v>
      </c>
      <c r="F587" s="65" t="s">
        <v>841</v>
      </c>
      <c r="G587" s="106">
        <v>0.9</v>
      </c>
      <c r="H587" s="107" t="s">
        <v>3279</v>
      </c>
    </row>
    <row r="588" spans="1:8" ht="13.5" customHeight="1" x14ac:dyDescent="0.25">
      <c r="A588" s="24" t="s">
        <v>1847</v>
      </c>
      <c r="B588" s="38" t="s">
        <v>1665</v>
      </c>
      <c r="C588" s="100" t="s">
        <v>1848</v>
      </c>
      <c r="D588" s="25" t="s">
        <v>3280</v>
      </c>
      <c r="E588" s="25" t="s">
        <v>3278</v>
      </c>
      <c r="F588" s="65" t="s">
        <v>841</v>
      </c>
      <c r="G588" s="106">
        <v>0.9</v>
      </c>
      <c r="H588" s="107" t="s">
        <v>3279</v>
      </c>
    </row>
    <row r="589" spans="1:8" ht="13.5" customHeight="1" x14ac:dyDescent="0.25">
      <c r="A589" s="13" t="s">
        <v>1849</v>
      </c>
      <c r="B589" s="49" t="s">
        <v>1665</v>
      </c>
      <c r="C589" s="101" t="s">
        <v>1850</v>
      </c>
      <c r="D589" s="14" t="s">
        <v>3280</v>
      </c>
      <c r="E589" s="14" t="s">
        <v>3278</v>
      </c>
      <c r="F589" s="65" t="s">
        <v>841</v>
      </c>
      <c r="G589" s="106">
        <v>0.9</v>
      </c>
      <c r="H589" s="107" t="s">
        <v>3279</v>
      </c>
    </row>
    <row r="590" spans="1:8" ht="13.5" customHeight="1" x14ac:dyDescent="0.25">
      <c r="A590" s="24" t="s">
        <v>1851</v>
      </c>
      <c r="B590" s="38" t="s">
        <v>1665</v>
      </c>
      <c r="C590" s="100" t="s">
        <v>1852</v>
      </c>
      <c r="D590" s="25" t="s">
        <v>3280</v>
      </c>
      <c r="E590" s="25" t="s">
        <v>3278</v>
      </c>
      <c r="F590" s="65" t="s">
        <v>841</v>
      </c>
      <c r="G590" s="106">
        <v>0.9</v>
      </c>
      <c r="H590" s="107" t="s">
        <v>3279</v>
      </c>
    </row>
    <row r="591" spans="1:8" ht="13.5" customHeight="1" x14ac:dyDescent="0.25">
      <c r="A591" s="13" t="s">
        <v>1853</v>
      </c>
      <c r="B591" s="49" t="s">
        <v>1665</v>
      </c>
      <c r="C591" s="101" t="s">
        <v>1854</v>
      </c>
      <c r="D591" s="14" t="s">
        <v>3280</v>
      </c>
      <c r="E591" s="14" t="s">
        <v>3278</v>
      </c>
      <c r="F591" s="65" t="s">
        <v>841</v>
      </c>
      <c r="G591" s="106">
        <v>0.9</v>
      </c>
      <c r="H591" s="107" t="s">
        <v>3279</v>
      </c>
    </row>
    <row r="592" spans="1:8" ht="13.5" customHeight="1" x14ac:dyDescent="0.25">
      <c r="A592" s="24" t="s">
        <v>1855</v>
      </c>
      <c r="B592" s="38" t="s">
        <v>1665</v>
      </c>
      <c r="C592" s="100" t="s">
        <v>1856</v>
      </c>
      <c r="D592" s="25" t="s">
        <v>3280</v>
      </c>
      <c r="E592" s="25" t="s">
        <v>3278</v>
      </c>
      <c r="F592" s="65" t="s">
        <v>841</v>
      </c>
      <c r="G592" s="106">
        <v>0.9</v>
      </c>
      <c r="H592" s="107" t="s">
        <v>3279</v>
      </c>
    </row>
    <row r="593" spans="1:8" ht="13.5" customHeight="1" x14ac:dyDescent="0.25">
      <c r="A593" s="13" t="s">
        <v>1857</v>
      </c>
      <c r="B593" s="49" t="s">
        <v>1665</v>
      </c>
      <c r="C593" s="101" t="s">
        <v>1858</v>
      </c>
      <c r="D593" s="14" t="s">
        <v>3280</v>
      </c>
      <c r="E593" s="14" t="s">
        <v>3278</v>
      </c>
      <c r="F593" s="65" t="s">
        <v>841</v>
      </c>
      <c r="G593" s="106">
        <v>0.9</v>
      </c>
      <c r="H593" s="107" t="s">
        <v>3279</v>
      </c>
    </row>
    <row r="594" spans="1:8" ht="13.5" customHeight="1" x14ac:dyDescent="0.25">
      <c r="A594" s="24" t="s">
        <v>1859</v>
      </c>
      <c r="B594" s="38" t="s">
        <v>1665</v>
      </c>
      <c r="C594" s="100" t="s">
        <v>1860</v>
      </c>
      <c r="D594" s="25" t="s">
        <v>3280</v>
      </c>
      <c r="E594" s="25" t="s">
        <v>3278</v>
      </c>
      <c r="F594" s="65" t="s">
        <v>841</v>
      </c>
      <c r="G594" s="106">
        <v>0.9</v>
      </c>
      <c r="H594" s="107" t="s">
        <v>3279</v>
      </c>
    </row>
    <row r="595" spans="1:8" ht="13.5" customHeight="1" x14ac:dyDescent="0.25">
      <c r="A595" s="13" t="s">
        <v>1861</v>
      </c>
      <c r="B595" s="49" t="s">
        <v>1665</v>
      </c>
      <c r="C595" s="101" t="s">
        <v>1862</v>
      </c>
      <c r="D595" s="14" t="s">
        <v>3280</v>
      </c>
      <c r="E595" s="14" t="s">
        <v>3278</v>
      </c>
      <c r="F595" s="65" t="s">
        <v>841</v>
      </c>
      <c r="G595" s="106">
        <v>0.9</v>
      </c>
      <c r="H595" s="107" t="s">
        <v>3279</v>
      </c>
    </row>
    <row r="596" spans="1:8" ht="13.5" customHeight="1" x14ac:dyDescent="0.25">
      <c r="A596" s="24" t="s">
        <v>1863</v>
      </c>
      <c r="B596" s="38" t="s">
        <v>1665</v>
      </c>
      <c r="C596" s="100" t="s">
        <v>1864</v>
      </c>
      <c r="D596" s="25" t="s">
        <v>3280</v>
      </c>
      <c r="E596" s="25" t="s">
        <v>3278</v>
      </c>
      <c r="F596" s="65" t="s">
        <v>841</v>
      </c>
      <c r="G596" s="106">
        <v>0.9</v>
      </c>
      <c r="H596" s="107" t="s">
        <v>3279</v>
      </c>
    </row>
    <row r="597" spans="1:8" ht="13.5" customHeight="1" x14ac:dyDescent="0.25">
      <c r="A597" s="13" t="s">
        <v>1865</v>
      </c>
      <c r="B597" s="49" t="s">
        <v>1665</v>
      </c>
      <c r="C597" s="101" t="s">
        <v>1866</v>
      </c>
      <c r="D597" s="14" t="s">
        <v>3280</v>
      </c>
      <c r="E597" s="14" t="s">
        <v>3278</v>
      </c>
      <c r="F597" s="65" t="s">
        <v>841</v>
      </c>
      <c r="G597" s="106">
        <v>0.9</v>
      </c>
      <c r="H597" s="107" t="s">
        <v>3279</v>
      </c>
    </row>
    <row r="598" spans="1:8" ht="13.5" customHeight="1" x14ac:dyDescent="0.25">
      <c r="A598" s="24" t="s">
        <v>1867</v>
      </c>
      <c r="B598" s="38" t="s">
        <v>1665</v>
      </c>
      <c r="C598" s="100" t="s">
        <v>1868</v>
      </c>
      <c r="D598" s="25" t="s">
        <v>3280</v>
      </c>
      <c r="E598" s="25" t="s">
        <v>3278</v>
      </c>
      <c r="F598" s="65" t="s">
        <v>841</v>
      </c>
      <c r="G598" s="106">
        <v>0.9</v>
      </c>
      <c r="H598" s="107" t="s">
        <v>3279</v>
      </c>
    </row>
    <row r="599" spans="1:8" ht="13.5" customHeight="1" x14ac:dyDescent="0.25">
      <c r="A599" s="13" t="s">
        <v>1869</v>
      </c>
      <c r="B599" s="49" t="s">
        <v>1665</v>
      </c>
      <c r="C599" s="101" t="s">
        <v>1870</v>
      </c>
      <c r="D599" s="14" t="s">
        <v>3280</v>
      </c>
      <c r="E599" s="14" t="s">
        <v>3278</v>
      </c>
      <c r="F599" s="65" t="s">
        <v>841</v>
      </c>
      <c r="G599" s="106">
        <v>0.9</v>
      </c>
      <c r="H599" s="107" t="s">
        <v>3279</v>
      </c>
    </row>
    <row r="600" spans="1:8" ht="13.5" customHeight="1" x14ac:dyDescent="0.25">
      <c r="A600" s="24" t="s">
        <v>1871</v>
      </c>
      <c r="B600" s="38" t="s">
        <v>1665</v>
      </c>
      <c r="C600" s="100" t="s">
        <v>1872</v>
      </c>
      <c r="D600" s="25" t="s">
        <v>3280</v>
      </c>
      <c r="E600" s="25" t="s">
        <v>3278</v>
      </c>
      <c r="F600" s="65" t="s">
        <v>841</v>
      </c>
      <c r="G600" s="106">
        <v>0.9</v>
      </c>
      <c r="H600" s="107" t="s">
        <v>3279</v>
      </c>
    </row>
    <row r="601" spans="1:8" ht="13.5" customHeight="1" x14ac:dyDescent="0.25">
      <c r="A601" s="13" t="s">
        <v>1873</v>
      </c>
      <c r="B601" s="49" t="s">
        <v>1665</v>
      </c>
      <c r="C601" s="101" t="s">
        <v>1874</v>
      </c>
      <c r="D601" s="14" t="s">
        <v>3280</v>
      </c>
      <c r="E601" s="14" t="s">
        <v>3278</v>
      </c>
      <c r="F601" s="65" t="s">
        <v>841</v>
      </c>
      <c r="G601" s="106">
        <v>0.9</v>
      </c>
      <c r="H601" s="107" t="s">
        <v>3279</v>
      </c>
    </row>
    <row r="602" spans="1:8" ht="13.5" customHeight="1" x14ac:dyDescent="0.25">
      <c r="A602" s="24" t="s">
        <v>1875</v>
      </c>
      <c r="B602" s="38" t="s">
        <v>1665</v>
      </c>
      <c r="C602" s="100" t="s">
        <v>1876</v>
      </c>
      <c r="D602" s="25" t="s">
        <v>3280</v>
      </c>
      <c r="E602" s="25" t="s">
        <v>3278</v>
      </c>
      <c r="F602" s="65" t="s">
        <v>841</v>
      </c>
      <c r="G602" s="106">
        <v>0.9</v>
      </c>
      <c r="H602" s="107" t="s">
        <v>3279</v>
      </c>
    </row>
    <row r="603" spans="1:8" ht="13.5" customHeight="1" x14ac:dyDescent="0.25">
      <c r="A603" s="13" t="s">
        <v>1877</v>
      </c>
      <c r="B603" s="49" t="s">
        <v>1665</v>
      </c>
      <c r="C603" s="101" t="s">
        <v>1878</v>
      </c>
      <c r="D603" s="14" t="s">
        <v>3280</v>
      </c>
      <c r="E603" s="14" t="s">
        <v>3278</v>
      </c>
      <c r="F603" s="65" t="s">
        <v>841</v>
      </c>
      <c r="G603" s="106">
        <v>0.9</v>
      </c>
      <c r="H603" s="107" t="s">
        <v>3279</v>
      </c>
    </row>
    <row r="604" spans="1:8" ht="13.5" customHeight="1" x14ac:dyDescent="0.25">
      <c r="A604" s="24" t="s">
        <v>1879</v>
      </c>
      <c r="B604" s="38" t="s">
        <v>1665</v>
      </c>
      <c r="C604" s="100" t="s">
        <v>1880</v>
      </c>
      <c r="D604" s="25" t="s">
        <v>3280</v>
      </c>
      <c r="E604" s="25" t="s">
        <v>3278</v>
      </c>
      <c r="F604" s="65" t="s">
        <v>841</v>
      </c>
      <c r="G604" s="106">
        <v>0.9</v>
      </c>
      <c r="H604" s="107" t="s">
        <v>3279</v>
      </c>
    </row>
    <row r="605" spans="1:8" ht="13.5" customHeight="1" x14ac:dyDescent="0.25">
      <c r="A605" s="13" t="s">
        <v>1881</v>
      </c>
      <c r="B605" s="49" t="s">
        <v>1665</v>
      </c>
      <c r="C605" s="101" t="s">
        <v>1882</v>
      </c>
      <c r="D605" s="14" t="s">
        <v>3280</v>
      </c>
      <c r="E605" s="14" t="s">
        <v>3278</v>
      </c>
      <c r="F605" s="65" t="s">
        <v>841</v>
      </c>
      <c r="G605" s="106">
        <v>0.9</v>
      </c>
      <c r="H605" s="107" t="s">
        <v>3279</v>
      </c>
    </row>
    <row r="606" spans="1:8" ht="13.5" customHeight="1" x14ac:dyDescent="0.25">
      <c r="A606" s="24" t="s">
        <v>1883</v>
      </c>
      <c r="B606" s="38" t="s">
        <v>1665</v>
      </c>
      <c r="C606" s="100" t="s">
        <v>1884</v>
      </c>
      <c r="D606" s="25" t="s">
        <v>3280</v>
      </c>
      <c r="E606" s="25" t="s">
        <v>3278</v>
      </c>
      <c r="F606" s="65" t="s">
        <v>841</v>
      </c>
      <c r="G606" s="106">
        <v>0.9</v>
      </c>
      <c r="H606" s="107" t="s">
        <v>3279</v>
      </c>
    </row>
    <row r="607" spans="1:8" ht="13.5" customHeight="1" x14ac:dyDescent="0.25">
      <c r="A607" s="13" t="s">
        <v>1885</v>
      </c>
      <c r="B607" s="49" t="s">
        <v>1665</v>
      </c>
      <c r="C607" s="101" t="s">
        <v>1886</v>
      </c>
      <c r="D607" s="14" t="s">
        <v>3280</v>
      </c>
      <c r="E607" s="14" t="s">
        <v>3278</v>
      </c>
      <c r="F607" s="65" t="s">
        <v>841</v>
      </c>
      <c r="G607" s="106">
        <v>0.9</v>
      </c>
      <c r="H607" s="107" t="s">
        <v>3279</v>
      </c>
    </row>
    <row r="608" spans="1:8" ht="13.5" customHeight="1" x14ac:dyDescent="0.25">
      <c r="A608" s="24" t="s">
        <v>1887</v>
      </c>
      <c r="B608" s="38" t="s">
        <v>1665</v>
      </c>
      <c r="C608" s="100" t="s">
        <v>1888</v>
      </c>
      <c r="D608" s="25" t="s">
        <v>3280</v>
      </c>
      <c r="E608" s="25" t="s">
        <v>3278</v>
      </c>
      <c r="F608" s="65" t="s">
        <v>841</v>
      </c>
      <c r="G608" s="106">
        <v>0.9</v>
      </c>
      <c r="H608" s="107" t="s">
        <v>3279</v>
      </c>
    </row>
    <row r="609" spans="1:8" ht="13.5" customHeight="1" x14ac:dyDescent="0.25">
      <c r="A609" s="13" t="s">
        <v>1889</v>
      </c>
      <c r="B609" s="49" t="s">
        <v>1665</v>
      </c>
      <c r="C609" s="101" t="s">
        <v>1890</v>
      </c>
      <c r="D609" s="14" t="s">
        <v>3280</v>
      </c>
      <c r="E609" s="14" t="s">
        <v>3278</v>
      </c>
      <c r="F609" s="65" t="s">
        <v>841</v>
      </c>
      <c r="G609" s="106">
        <v>0.9</v>
      </c>
      <c r="H609" s="107" t="s">
        <v>3279</v>
      </c>
    </row>
    <row r="610" spans="1:8" ht="13.5" customHeight="1" x14ac:dyDescent="0.25">
      <c r="A610" s="24" t="s">
        <v>1891</v>
      </c>
      <c r="B610" s="38" t="s">
        <v>1665</v>
      </c>
      <c r="C610" s="100" t="s">
        <v>1892</v>
      </c>
      <c r="D610" s="25" t="s">
        <v>3280</v>
      </c>
      <c r="E610" s="25" t="s">
        <v>3278</v>
      </c>
      <c r="F610" s="65" t="s">
        <v>841</v>
      </c>
      <c r="G610" s="106">
        <v>0.9</v>
      </c>
      <c r="H610" s="107" t="s">
        <v>3279</v>
      </c>
    </row>
    <row r="611" spans="1:8" ht="13.5" customHeight="1" x14ac:dyDescent="0.25">
      <c r="A611" s="13" t="s">
        <v>1893</v>
      </c>
      <c r="B611" s="49" t="s">
        <v>1665</v>
      </c>
      <c r="C611" s="101" t="s">
        <v>1894</v>
      </c>
      <c r="D611" s="14" t="s">
        <v>3280</v>
      </c>
      <c r="E611" s="14" t="s">
        <v>3278</v>
      </c>
      <c r="F611" s="65" t="s">
        <v>841</v>
      </c>
      <c r="G611" s="106">
        <v>0.9</v>
      </c>
      <c r="H611" s="107" t="s">
        <v>3279</v>
      </c>
    </row>
    <row r="612" spans="1:8" ht="13.5" customHeight="1" x14ac:dyDescent="0.25">
      <c r="A612" s="24" t="s">
        <v>1895</v>
      </c>
      <c r="B612" s="38" t="s">
        <v>1665</v>
      </c>
      <c r="C612" s="100" t="s">
        <v>1896</v>
      </c>
      <c r="D612" s="25" t="s">
        <v>3280</v>
      </c>
      <c r="E612" s="25" t="s">
        <v>3278</v>
      </c>
      <c r="F612" s="65" t="s">
        <v>841</v>
      </c>
      <c r="G612" s="106">
        <v>0.9</v>
      </c>
      <c r="H612" s="107" t="s">
        <v>3279</v>
      </c>
    </row>
    <row r="613" spans="1:8" ht="13.5" customHeight="1" x14ac:dyDescent="0.25">
      <c r="A613" s="13" t="s">
        <v>1897</v>
      </c>
      <c r="B613" s="49" t="s">
        <v>1665</v>
      </c>
      <c r="C613" s="101" t="s">
        <v>1898</v>
      </c>
      <c r="D613" s="14" t="s">
        <v>3280</v>
      </c>
      <c r="E613" s="14" t="s">
        <v>3278</v>
      </c>
      <c r="F613" s="65" t="s">
        <v>841</v>
      </c>
      <c r="G613" s="106">
        <v>0.9</v>
      </c>
      <c r="H613" s="107" t="s">
        <v>3279</v>
      </c>
    </row>
    <row r="614" spans="1:8" ht="13.5" customHeight="1" x14ac:dyDescent="0.25">
      <c r="A614" s="24" t="s">
        <v>1899</v>
      </c>
      <c r="B614" s="38" t="s">
        <v>1665</v>
      </c>
      <c r="C614" s="100" t="s">
        <v>1900</v>
      </c>
      <c r="D614" s="25" t="s">
        <v>3280</v>
      </c>
      <c r="E614" s="25" t="s">
        <v>3278</v>
      </c>
      <c r="F614" s="65" t="s">
        <v>841</v>
      </c>
      <c r="G614" s="106">
        <v>0.9</v>
      </c>
      <c r="H614" s="107" t="s">
        <v>3279</v>
      </c>
    </row>
    <row r="615" spans="1:8" ht="13.5" customHeight="1" x14ac:dyDescent="0.25">
      <c r="A615" s="13" t="s">
        <v>1901</v>
      </c>
      <c r="B615" s="49" t="s">
        <v>1665</v>
      </c>
      <c r="C615" s="101" t="s">
        <v>1902</v>
      </c>
      <c r="D615" s="14" t="s">
        <v>3280</v>
      </c>
      <c r="E615" s="14" t="s">
        <v>3278</v>
      </c>
      <c r="F615" s="65" t="s">
        <v>841</v>
      </c>
      <c r="G615" s="106">
        <v>0.9</v>
      </c>
      <c r="H615" s="107" t="s">
        <v>3279</v>
      </c>
    </row>
    <row r="616" spans="1:8" ht="13.5" customHeight="1" x14ac:dyDescent="0.25">
      <c r="A616" s="24" t="s">
        <v>1903</v>
      </c>
      <c r="B616" s="38" t="s">
        <v>1665</v>
      </c>
      <c r="C616" s="100" t="s">
        <v>1904</v>
      </c>
      <c r="D616" s="25" t="s">
        <v>3280</v>
      </c>
      <c r="E616" s="25" t="s">
        <v>3278</v>
      </c>
      <c r="F616" s="65" t="s">
        <v>841</v>
      </c>
      <c r="G616" s="106">
        <v>0.9</v>
      </c>
      <c r="H616" s="107" t="s">
        <v>3279</v>
      </c>
    </row>
    <row r="617" spans="1:8" ht="13.5" customHeight="1" x14ac:dyDescent="0.25">
      <c r="A617" s="13" t="s">
        <v>1905</v>
      </c>
      <c r="B617" s="49" t="s">
        <v>1665</v>
      </c>
      <c r="C617" s="101" t="s">
        <v>1906</v>
      </c>
      <c r="D617" s="14" t="s">
        <v>3280</v>
      </c>
      <c r="E617" s="14" t="s">
        <v>3278</v>
      </c>
      <c r="F617" s="65" t="s">
        <v>841</v>
      </c>
      <c r="G617" s="106">
        <v>0.9</v>
      </c>
      <c r="H617" s="107" t="s">
        <v>3279</v>
      </c>
    </row>
    <row r="618" spans="1:8" ht="13.5" customHeight="1" x14ac:dyDescent="0.25">
      <c r="A618" s="24" t="s">
        <v>1907</v>
      </c>
      <c r="B618" s="38" t="s">
        <v>1665</v>
      </c>
      <c r="C618" s="100" t="s">
        <v>1908</v>
      </c>
      <c r="D618" s="25" t="s">
        <v>3280</v>
      </c>
      <c r="E618" s="25" t="s">
        <v>3278</v>
      </c>
      <c r="F618" s="65" t="s">
        <v>841</v>
      </c>
      <c r="G618" s="106">
        <v>0.9</v>
      </c>
      <c r="H618" s="107" t="s">
        <v>3279</v>
      </c>
    </row>
    <row r="619" spans="1:8" ht="13.5" customHeight="1" x14ac:dyDescent="0.25">
      <c r="A619" s="13" t="s">
        <v>1909</v>
      </c>
      <c r="B619" s="49" t="s">
        <v>1665</v>
      </c>
      <c r="C619" s="101" t="s">
        <v>1910</v>
      </c>
      <c r="D619" s="14" t="s">
        <v>3280</v>
      </c>
      <c r="E619" s="14" t="s">
        <v>3278</v>
      </c>
      <c r="F619" s="65" t="s">
        <v>841</v>
      </c>
      <c r="G619" s="106">
        <v>0.9</v>
      </c>
      <c r="H619" s="107" t="s">
        <v>3279</v>
      </c>
    </row>
    <row r="620" spans="1:8" ht="13.5" customHeight="1" x14ac:dyDescent="0.25">
      <c r="A620" s="24" t="s">
        <v>1911</v>
      </c>
      <c r="B620" s="38" t="s">
        <v>1665</v>
      </c>
      <c r="C620" s="100" t="s">
        <v>1912</v>
      </c>
      <c r="D620" s="25" t="s">
        <v>3280</v>
      </c>
      <c r="E620" s="25" t="s">
        <v>3278</v>
      </c>
      <c r="F620" s="65" t="s">
        <v>841</v>
      </c>
      <c r="G620" s="106">
        <v>0.9</v>
      </c>
      <c r="H620" s="107" t="s">
        <v>3279</v>
      </c>
    </row>
    <row r="621" spans="1:8" ht="13.5" customHeight="1" x14ac:dyDescent="0.25">
      <c r="A621" s="13" t="s">
        <v>1913</v>
      </c>
      <c r="B621" s="49" t="s">
        <v>1665</v>
      </c>
      <c r="C621" s="101" t="s">
        <v>1914</v>
      </c>
      <c r="D621" s="14" t="s">
        <v>3280</v>
      </c>
      <c r="E621" s="14" t="s">
        <v>3278</v>
      </c>
      <c r="F621" s="65" t="s">
        <v>841</v>
      </c>
      <c r="G621" s="106">
        <v>0.9</v>
      </c>
      <c r="H621" s="107" t="s">
        <v>3279</v>
      </c>
    </row>
    <row r="622" spans="1:8" ht="13.5" customHeight="1" x14ac:dyDescent="0.25">
      <c r="A622" s="24" t="s">
        <v>1915</v>
      </c>
      <c r="B622" s="38" t="s">
        <v>1665</v>
      </c>
      <c r="C622" s="100" t="s">
        <v>1916</v>
      </c>
      <c r="D622" s="25" t="s">
        <v>3280</v>
      </c>
      <c r="E622" s="25" t="s">
        <v>3278</v>
      </c>
      <c r="F622" s="65" t="s">
        <v>841</v>
      </c>
      <c r="G622" s="106">
        <v>0.9</v>
      </c>
      <c r="H622" s="107" t="s">
        <v>3279</v>
      </c>
    </row>
    <row r="623" spans="1:8" ht="13.5" customHeight="1" x14ac:dyDescent="0.25">
      <c r="A623" s="13" t="s">
        <v>1917</v>
      </c>
      <c r="B623" s="49" t="s">
        <v>1665</v>
      </c>
      <c r="C623" s="101" t="s">
        <v>1918</v>
      </c>
      <c r="D623" s="14" t="s">
        <v>3280</v>
      </c>
      <c r="E623" s="14" t="s">
        <v>3278</v>
      </c>
      <c r="F623" s="65" t="s">
        <v>841</v>
      </c>
      <c r="G623" s="106">
        <v>0.9</v>
      </c>
      <c r="H623" s="107" t="s">
        <v>3279</v>
      </c>
    </row>
    <row r="624" spans="1:8" ht="13.5" customHeight="1" x14ac:dyDescent="0.25">
      <c r="A624" s="24" t="s">
        <v>1919</v>
      </c>
      <c r="B624" s="38" t="s">
        <v>1665</v>
      </c>
      <c r="C624" s="100" t="s">
        <v>1920</v>
      </c>
      <c r="D624" s="25" t="s">
        <v>3280</v>
      </c>
      <c r="E624" s="25" t="s">
        <v>3278</v>
      </c>
      <c r="F624" s="65" t="s">
        <v>841</v>
      </c>
      <c r="G624" s="106">
        <v>0.9</v>
      </c>
      <c r="H624" s="107" t="s">
        <v>3279</v>
      </c>
    </row>
    <row r="625" spans="1:8" ht="13.5" customHeight="1" x14ac:dyDescent="0.25">
      <c r="A625" s="13" t="s">
        <v>1921</v>
      </c>
      <c r="B625" s="49" t="s">
        <v>1665</v>
      </c>
      <c r="C625" s="101" t="s">
        <v>1922</v>
      </c>
      <c r="D625" s="14" t="s">
        <v>3280</v>
      </c>
      <c r="E625" s="14" t="s">
        <v>3278</v>
      </c>
      <c r="F625" s="65" t="s">
        <v>841</v>
      </c>
      <c r="G625" s="106">
        <v>0.9</v>
      </c>
      <c r="H625" s="107" t="s">
        <v>3279</v>
      </c>
    </row>
    <row r="626" spans="1:8" ht="13.5" customHeight="1" x14ac:dyDescent="0.25">
      <c r="A626" s="24" t="s">
        <v>1923</v>
      </c>
      <c r="B626" s="38" t="s">
        <v>1665</v>
      </c>
      <c r="C626" s="100" t="s">
        <v>1924</v>
      </c>
      <c r="D626" s="25" t="s">
        <v>3280</v>
      </c>
      <c r="E626" s="25" t="s">
        <v>3278</v>
      </c>
      <c r="F626" s="40" t="s">
        <v>477</v>
      </c>
      <c r="G626" s="102">
        <v>1</v>
      </c>
      <c r="H626" s="107" t="s">
        <v>3279</v>
      </c>
    </row>
    <row r="627" spans="1:8" ht="13.5" customHeight="1" x14ac:dyDescent="0.25">
      <c r="A627" s="13" t="s">
        <v>1925</v>
      </c>
      <c r="B627" s="49" t="s">
        <v>1665</v>
      </c>
      <c r="C627" s="101" t="s">
        <v>1926</v>
      </c>
      <c r="D627" s="14" t="s">
        <v>3280</v>
      </c>
      <c r="E627" s="14" t="s">
        <v>3278</v>
      </c>
      <c r="F627" s="40" t="s">
        <v>477</v>
      </c>
      <c r="G627" s="102">
        <v>1</v>
      </c>
      <c r="H627" s="107" t="s">
        <v>3279</v>
      </c>
    </row>
    <row r="628" spans="1:8" ht="13.5" customHeight="1" x14ac:dyDescent="0.25">
      <c r="A628" s="24" t="s">
        <v>1927</v>
      </c>
      <c r="B628" s="38" t="s">
        <v>1665</v>
      </c>
      <c r="C628" s="100" t="s">
        <v>1928</v>
      </c>
      <c r="D628" s="25" t="s">
        <v>3280</v>
      </c>
      <c r="E628" s="25" t="s">
        <v>3278</v>
      </c>
      <c r="F628" s="40" t="s">
        <v>477</v>
      </c>
      <c r="G628" s="102">
        <v>1</v>
      </c>
      <c r="H628" s="107" t="s">
        <v>3279</v>
      </c>
    </row>
    <row r="629" spans="1:8" ht="13.5" customHeight="1" x14ac:dyDescent="0.25">
      <c r="A629" s="13" t="s">
        <v>1929</v>
      </c>
      <c r="B629" s="49" t="s">
        <v>1665</v>
      </c>
      <c r="C629" s="101" t="s">
        <v>1930</v>
      </c>
      <c r="D629" s="14" t="s">
        <v>3280</v>
      </c>
      <c r="E629" s="14" t="s">
        <v>3278</v>
      </c>
      <c r="F629" s="40" t="s">
        <v>477</v>
      </c>
      <c r="G629" s="102">
        <v>1</v>
      </c>
      <c r="H629" s="107" t="s">
        <v>3279</v>
      </c>
    </row>
    <row r="630" spans="1:8" ht="13.5" customHeight="1" x14ac:dyDescent="0.25">
      <c r="A630" s="24" t="s">
        <v>1931</v>
      </c>
      <c r="B630" s="38" t="s">
        <v>1665</v>
      </c>
      <c r="C630" s="100" t="s">
        <v>1932</v>
      </c>
      <c r="D630" s="25" t="s">
        <v>3280</v>
      </c>
      <c r="E630" s="25" t="s">
        <v>3278</v>
      </c>
      <c r="F630" s="40" t="s">
        <v>477</v>
      </c>
      <c r="G630" s="102">
        <v>1</v>
      </c>
      <c r="H630" s="107" t="s">
        <v>3279</v>
      </c>
    </row>
    <row r="631" spans="1:8" ht="13.5" customHeight="1" x14ac:dyDescent="0.25">
      <c r="A631" s="13" t="s">
        <v>1933</v>
      </c>
      <c r="B631" s="49" t="s">
        <v>1665</v>
      </c>
      <c r="C631" s="101" t="s">
        <v>1934</v>
      </c>
      <c r="D631" s="14" t="s">
        <v>3280</v>
      </c>
      <c r="E631" s="14" t="s">
        <v>3278</v>
      </c>
      <c r="F631" s="40" t="s">
        <v>477</v>
      </c>
      <c r="G631" s="102">
        <v>1</v>
      </c>
      <c r="H631" s="107" t="s">
        <v>3279</v>
      </c>
    </row>
    <row r="632" spans="1:8" ht="13.5" customHeight="1" x14ac:dyDescent="0.25">
      <c r="A632" s="24" t="s">
        <v>1935</v>
      </c>
      <c r="B632" s="38" t="s">
        <v>1665</v>
      </c>
      <c r="C632" s="100" t="s">
        <v>1936</v>
      </c>
      <c r="D632" s="25" t="s">
        <v>3280</v>
      </c>
      <c r="E632" s="25" t="s">
        <v>3278</v>
      </c>
      <c r="F632" s="40" t="s">
        <v>477</v>
      </c>
      <c r="G632" s="102">
        <v>1</v>
      </c>
      <c r="H632" s="107" t="s">
        <v>3279</v>
      </c>
    </row>
    <row r="633" spans="1:8" ht="13.5" customHeight="1" x14ac:dyDescent="0.25">
      <c r="A633" s="13" t="s">
        <v>1937</v>
      </c>
      <c r="B633" s="49" t="s">
        <v>1665</v>
      </c>
      <c r="C633" s="101" t="s">
        <v>1938</v>
      </c>
      <c r="D633" s="14" t="s">
        <v>3280</v>
      </c>
      <c r="E633" s="14" t="s">
        <v>3278</v>
      </c>
      <c r="F633" s="40" t="s">
        <v>477</v>
      </c>
      <c r="G633" s="102">
        <v>1</v>
      </c>
      <c r="H633" s="107" t="s">
        <v>3279</v>
      </c>
    </row>
    <row r="634" spans="1:8" ht="13.5" customHeight="1" x14ac:dyDescent="0.25">
      <c r="A634" s="24" t="s">
        <v>1939</v>
      </c>
      <c r="B634" s="38" t="s">
        <v>1665</v>
      </c>
      <c r="C634" s="100" t="s">
        <v>1940</v>
      </c>
      <c r="D634" s="25" t="s">
        <v>3280</v>
      </c>
      <c r="E634" s="25" t="s">
        <v>3278</v>
      </c>
      <c r="F634" s="40" t="s">
        <v>477</v>
      </c>
      <c r="G634" s="102">
        <v>1</v>
      </c>
      <c r="H634" s="107" t="s">
        <v>3279</v>
      </c>
    </row>
    <row r="635" spans="1:8" ht="13.5" customHeight="1" x14ac:dyDescent="0.25">
      <c r="A635" s="13" t="s">
        <v>1941</v>
      </c>
      <c r="B635" s="49" t="s">
        <v>1665</v>
      </c>
      <c r="C635" s="101" t="s">
        <v>1942</v>
      </c>
      <c r="D635" s="14" t="s">
        <v>3280</v>
      </c>
      <c r="E635" s="14" t="s">
        <v>3278</v>
      </c>
      <c r="F635" s="40" t="s">
        <v>477</v>
      </c>
      <c r="G635" s="102">
        <v>1</v>
      </c>
      <c r="H635" s="107" t="s">
        <v>3279</v>
      </c>
    </row>
    <row r="636" spans="1:8" ht="13.5" customHeight="1" x14ac:dyDescent="0.25">
      <c r="A636" s="24" t="s">
        <v>1943</v>
      </c>
      <c r="B636" s="38" t="s">
        <v>1665</v>
      </c>
      <c r="C636" s="100" t="s">
        <v>1944</v>
      </c>
      <c r="D636" s="25" t="s">
        <v>3280</v>
      </c>
      <c r="E636" s="25" t="s">
        <v>3278</v>
      </c>
      <c r="F636" s="40" t="s">
        <v>477</v>
      </c>
      <c r="G636" s="102">
        <v>1</v>
      </c>
      <c r="H636" s="107" t="s">
        <v>3279</v>
      </c>
    </row>
    <row r="637" spans="1:8" ht="13.5" customHeight="1" x14ac:dyDescent="0.25">
      <c r="A637" s="13" t="s">
        <v>1945</v>
      </c>
      <c r="B637" s="49" t="s">
        <v>1665</v>
      </c>
      <c r="C637" s="101" t="s">
        <v>1946</v>
      </c>
      <c r="D637" s="14" t="s">
        <v>3280</v>
      </c>
      <c r="E637" s="14" t="s">
        <v>3278</v>
      </c>
      <c r="F637" s="40" t="s">
        <v>477</v>
      </c>
      <c r="G637" s="102">
        <v>1</v>
      </c>
      <c r="H637" s="107" t="s">
        <v>3279</v>
      </c>
    </row>
    <row r="638" spans="1:8" ht="13.5" customHeight="1" x14ac:dyDescent="0.25">
      <c r="A638" s="24" t="s">
        <v>1947</v>
      </c>
      <c r="B638" s="38" t="s">
        <v>1665</v>
      </c>
      <c r="C638" s="100" t="s">
        <v>1948</v>
      </c>
      <c r="D638" s="25" t="s">
        <v>3280</v>
      </c>
      <c r="E638" s="25" t="s">
        <v>3278</v>
      </c>
      <c r="F638" s="40" t="s">
        <v>477</v>
      </c>
      <c r="G638" s="102">
        <v>1</v>
      </c>
      <c r="H638" s="107" t="s">
        <v>3279</v>
      </c>
    </row>
    <row r="639" spans="1:8" ht="13.5" customHeight="1" x14ac:dyDescent="0.25">
      <c r="A639" s="13" t="s">
        <v>1949</v>
      </c>
      <c r="B639" s="49" t="s">
        <v>1665</v>
      </c>
      <c r="C639" s="101" t="s">
        <v>1950</v>
      </c>
      <c r="D639" s="14" t="s">
        <v>3280</v>
      </c>
      <c r="E639" s="14" t="s">
        <v>3278</v>
      </c>
      <c r="F639" s="40" t="s">
        <v>477</v>
      </c>
      <c r="G639" s="102">
        <v>1</v>
      </c>
      <c r="H639" s="107" t="s">
        <v>3279</v>
      </c>
    </row>
    <row r="640" spans="1:8" ht="13.5" customHeight="1" x14ac:dyDescent="0.25">
      <c r="A640" s="24" t="s">
        <v>1951</v>
      </c>
      <c r="B640" s="38" t="s">
        <v>1665</v>
      </c>
      <c r="C640" s="100" t="s">
        <v>1952</v>
      </c>
      <c r="D640" s="25" t="s">
        <v>3280</v>
      </c>
      <c r="E640" s="25" t="s">
        <v>3278</v>
      </c>
      <c r="F640" s="40" t="s">
        <v>477</v>
      </c>
      <c r="G640" s="102">
        <v>1</v>
      </c>
      <c r="H640" s="107" t="s">
        <v>3279</v>
      </c>
    </row>
    <row r="641" spans="1:8" ht="13.5" customHeight="1" x14ac:dyDescent="0.25">
      <c r="A641" s="13" t="s">
        <v>1953</v>
      </c>
      <c r="B641" s="49" t="s">
        <v>1665</v>
      </c>
      <c r="C641" s="101" t="s">
        <v>1954</v>
      </c>
      <c r="D641" s="14" t="s">
        <v>3280</v>
      </c>
      <c r="E641" s="14" t="s">
        <v>3278</v>
      </c>
      <c r="F641" s="40" t="s">
        <v>477</v>
      </c>
      <c r="G641" s="102">
        <v>1</v>
      </c>
      <c r="H641" s="107" t="s">
        <v>3279</v>
      </c>
    </row>
    <row r="642" spans="1:8" ht="13.5" customHeight="1" x14ac:dyDescent="0.25">
      <c r="A642" s="24" t="s">
        <v>1955</v>
      </c>
      <c r="B642" s="38" t="s">
        <v>1665</v>
      </c>
      <c r="C642" s="100" t="s">
        <v>1956</v>
      </c>
      <c r="D642" s="25" t="s">
        <v>3280</v>
      </c>
      <c r="E642" s="25" t="s">
        <v>3278</v>
      </c>
      <c r="F642" s="40" t="s">
        <v>477</v>
      </c>
      <c r="G642" s="102">
        <v>1</v>
      </c>
      <c r="H642" s="107" t="s">
        <v>3279</v>
      </c>
    </row>
    <row r="643" spans="1:8" ht="13.5" customHeight="1" x14ac:dyDescent="0.25">
      <c r="A643" s="13" t="s">
        <v>1957</v>
      </c>
      <c r="B643" s="49" t="s">
        <v>1665</v>
      </c>
      <c r="C643" s="101" t="s">
        <v>1958</v>
      </c>
      <c r="D643" s="14" t="s">
        <v>3280</v>
      </c>
      <c r="E643" s="14" t="s">
        <v>3278</v>
      </c>
      <c r="F643" s="40" t="s">
        <v>477</v>
      </c>
      <c r="G643" s="102">
        <v>1</v>
      </c>
      <c r="H643" s="107" t="s">
        <v>3279</v>
      </c>
    </row>
    <row r="644" spans="1:8" ht="13.5" customHeight="1" x14ac:dyDescent="0.25">
      <c r="A644" s="24" t="s">
        <v>1959</v>
      </c>
      <c r="B644" s="38" t="s">
        <v>1665</v>
      </c>
      <c r="C644" s="100" t="s">
        <v>1960</v>
      </c>
      <c r="D644" s="25" t="s">
        <v>3280</v>
      </c>
      <c r="E644" s="25" t="s">
        <v>3278</v>
      </c>
      <c r="F644" s="40" t="s">
        <v>477</v>
      </c>
      <c r="G644" s="102">
        <v>1</v>
      </c>
      <c r="H644" s="107" t="s">
        <v>3279</v>
      </c>
    </row>
    <row r="645" spans="1:8" ht="13.5" customHeight="1" x14ac:dyDescent="0.25">
      <c r="A645" s="13" t="s">
        <v>1961</v>
      </c>
      <c r="B645" s="49" t="s">
        <v>1665</v>
      </c>
      <c r="C645" s="101" t="s">
        <v>1962</v>
      </c>
      <c r="D645" s="14" t="s">
        <v>3280</v>
      </c>
      <c r="E645" s="14" t="s">
        <v>3278</v>
      </c>
      <c r="F645" s="65" t="s">
        <v>841</v>
      </c>
      <c r="G645" s="106">
        <v>0.9</v>
      </c>
      <c r="H645" s="107" t="s">
        <v>3279</v>
      </c>
    </row>
    <row r="646" spans="1:8" ht="13.5" customHeight="1" x14ac:dyDescent="0.25">
      <c r="A646" s="24" t="s">
        <v>1963</v>
      </c>
      <c r="B646" s="38" t="s">
        <v>1665</v>
      </c>
      <c r="C646" s="100" t="s">
        <v>1964</v>
      </c>
      <c r="D646" s="25" t="s">
        <v>3280</v>
      </c>
      <c r="E646" s="25" t="s">
        <v>3278</v>
      </c>
      <c r="F646" s="65" t="s">
        <v>841</v>
      </c>
      <c r="G646" s="106">
        <v>0.9</v>
      </c>
      <c r="H646" s="107" t="s">
        <v>3279</v>
      </c>
    </row>
    <row r="647" spans="1:8" ht="13.5" customHeight="1" x14ac:dyDescent="0.25">
      <c r="A647" s="13" t="s">
        <v>1965</v>
      </c>
      <c r="B647" s="49" t="s">
        <v>1665</v>
      </c>
      <c r="C647" s="101" t="s">
        <v>1966</v>
      </c>
      <c r="D647" s="14" t="s">
        <v>3280</v>
      </c>
      <c r="E647" s="14" t="s">
        <v>3278</v>
      </c>
      <c r="F647" s="65" t="s">
        <v>841</v>
      </c>
      <c r="G647" s="106">
        <v>0.9</v>
      </c>
      <c r="H647" s="107" t="s">
        <v>3279</v>
      </c>
    </row>
    <row r="648" spans="1:8" ht="13.5" customHeight="1" x14ac:dyDescent="0.25">
      <c r="A648" s="24" t="s">
        <v>1967</v>
      </c>
      <c r="B648" s="38" t="s">
        <v>1665</v>
      </c>
      <c r="C648" s="100" t="s">
        <v>1968</v>
      </c>
      <c r="D648" s="25" t="s">
        <v>3281</v>
      </c>
      <c r="E648" s="25" t="s">
        <v>3278</v>
      </c>
      <c r="F648" s="65" t="s">
        <v>841</v>
      </c>
      <c r="G648" s="106">
        <v>0.9</v>
      </c>
      <c r="H648" s="107" t="s">
        <v>3279</v>
      </c>
    </row>
    <row r="649" spans="1:8" ht="13.5" customHeight="1" x14ac:dyDescent="0.25">
      <c r="A649" s="13" t="s">
        <v>1970</v>
      </c>
      <c r="B649" s="49" t="s">
        <v>1665</v>
      </c>
      <c r="C649" s="101" t="s">
        <v>1971</v>
      </c>
      <c r="D649" s="14" t="s">
        <v>3281</v>
      </c>
      <c r="E649" s="14" t="s">
        <v>3278</v>
      </c>
      <c r="F649" s="65" t="s">
        <v>841</v>
      </c>
      <c r="G649" s="106">
        <v>0.9</v>
      </c>
      <c r="H649" s="107" t="s">
        <v>3279</v>
      </c>
    </row>
    <row r="650" spans="1:8" ht="13.5" customHeight="1" x14ac:dyDescent="0.25">
      <c r="A650" s="24" t="s">
        <v>1972</v>
      </c>
      <c r="B650" s="38" t="s">
        <v>1665</v>
      </c>
      <c r="C650" s="100" t="s">
        <v>1973</v>
      </c>
      <c r="D650" s="25" t="s">
        <v>3281</v>
      </c>
      <c r="E650" s="25" t="s">
        <v>3278</v>
      </c>
      <c r="F650" s="65" t="s">
        <v>841</v>
      </c>
      <c r="G650" s="106">
        <v>0.9</v>
      </c>
      <c r="H650" s="107" t="s">
        <v>3279</v>
      </c>
    </row>
    <row r="651" spans="1:8" ht="13.5" customHeight="1" x14ac:dyDescent="0.25">
      <c r="A651" s="13" t="s">
        <v>1974</v>
      </c>
      <c r="B651" s="49" t="s">
        <v>1665</v>
      </c>
      <c r="C651" s="101" t="s">
        <v>1975</v>
      </c>
      <c r="D651" s="14" t="s">
        <v>3281</v>
      </c>
      <c r="E651" s="14" t="s">
        <v>3278</v>
      </c>
      <c r="F651" s="65" t="s">
        <v>841</v>
      </c>
      <c r="G651" s="106">
        <v>0.9</v>
      </c>
      <c r="H651" s="107" t="s">
        <v>3279</v>
      </c>
    </row>
    <row r="652" spans="1:8" ht="13.5" customHeight="1" x14ac:dyDescent="0.25">
      <c r="A652" s="24" t="s">
        <v>1976</v>
      </c>
      <c r="B652" s="38" t="s">
        <v>1665</v>
      </c>
      <c r="C652" s="100" t="s">
        <v>1977</v>
      </c>
      <c r="D652" s="25" t="s">
        <v>3281</v>
      </c>
      <c r="E652" s="25" t="s">
        <v>3278</v>
      </c>
      <c r="F652" s="65" t="s">
        <v>841</v>
      </c>
      <c r="G652" s="106">
        <v>0.9</v>
      </c>
      <c r="H652" s="107" t="s">
        <v>3279</v>
      </c>
    </row>
    <row r="653" spans="1:8" ht="13.5" customHeight="1" x14ac:dyDescent="0.25">
      <c r="A653" s="13" t="s">
        <v>1978</v>
      </c>
      <c r="B653" s="49" t="s">
        <v>1665</v>
      </c>
      <c r="C653" s="101" t="s">
        <v>1979</v>
      </c>
      <c r="D653" s="14" t="s">
        <v>3281</v>
      </c>
      <c r="E653" s="14" t="s">
        <v>3278</v>
      </c>
      <c r="F653" s="65" t="s">
        <v>841</v>
      </c>
      <c r="G653" s="106">
        <v>0.9</v>
      </c>
      <c r="H653" s="107" t="s">
        <v>3279</v>
      </c>
    </row>
    <row r="654" spans="1:8" ht="13.5" customHeight="1" x14ac:dyDescent="0.25">
      <c r="A654" s="24" t="s">
        <v>1980</v>
      </c>
      <c r="B654" s="38" t="s">
        <v>1665</v>
      </c>
      <c r="C654" s="100" t="s">
        <v>1981</v>
      </c>
      <c r="D654" s="25" t="s">
        <v>3281</v>
      </c>
      <c r="E654" s="25" t="s">
        <v>3278</v>
      </c>
      <c r="F654" s="65" t="s">
        <v>841</v>
      </c>
      <c r="G654" s="106">
        <v>0.9</v>
      </c>
      <c r="H654" s="107" t="s">
        <v>3279</v>
      </c>
    </row>
    <row r="655" spans="1:8" ht="13.5" customHeight="1" x14ac:dyDescent="0.25">
      <c r="A655" s="13" t="s">
        <v>1982</v>
      </c>
      <c r="B655" s="49" t="s">
        <v>1665</v>
      </c>
      <c r="C655" s="101" t="s">
        <v>1983</v>
      </c>
      <c r="D655" s="14" t="s">
        <v>3281</v>
      </c>
      <c r="E655" s="14" t="s">
        <v>3278</v>
      </c>
      <c r="F655" s="65" t="s">
        <v>841</v>
      </c>
      <c r="G655" s="106">
        <v>0.9</v>
      </c>
      <c r="H655" s="107" t="s">
        <v>3279</v>
      </c>
    </row>
    <row r="656" spans="1:8" ht="13.5" customHeight="1" x14ac:dyDescent="0.25">
      <c r="A656" s="24" t="s">
        <v>1984</v>
      </c>
      <c r="B656" s="38" t="s">
        <v>1665</v>
      </c>
      <c r="C656" s="100" t="s">
        <v>1985</v>
      </c>
      <c r="D656" s="25" t="s">
        <v>3281</v>
      </c>
      <c r="E656" s="25" t="s">
        <v>3278</v>
      </c>
      <c r="F656" s="65" t="s">
        <v>841</v>
      </c>
      <c r="G656" s="106">
        <v>0.9</v>
      </c>
      <c r="H656" s="107" t="s">
        <v>3279</v>
      </c>
    </row>
    <row r="657" spans="1:8" ht="13.5" customHeight="1" x14ac:dyDescent="0.25">
      <c r="A657" s="13" t="s">
        <v>1986</v>
      </c>
      <c r="B657" s="49" t="s">
        <v>1665</v>
      </c>
      <c r="C657" s="101" t="s">
        <v>1987</v>
      </c>
      <c r="D657" s="14" t="s">
        <v>3281</v>
      </c>
      <c r="E657" s="14" t="s">
        <v>3278</v>
      </c>
      <c r="F657" s="65" t="s">
        <v>841</v>
      </c>
      <c r="G657" s="106">
        <v>0.9</v>
      </c>
      <c r="H657" s="107" t="s">
        <v>3279</v>
      </c>
    </row>
    <row r="658" spans="1:8" ht="13.5" customHeight="1" x14ac:dyDescent="0.25">
      <c r="A658" s="24" t="s">
        <v>1988</v>
      </c>
      <c r="B658" s="38" t="s">
        <v>1665</v>
      </c>
      <c r="C658" s="100" t="s">
        <v>1989</v>
      </c>
      <c r="D658" s="25" t="s">
        <v>3281</v>
      </c>
      <c r="E658" s="25" t="s">
        <v>3278</v>
      </c>
      <c r="F658" s="65" t="s">
        <v>841</v>
      </c>
      <c r="G658" s="106">
        <v>0.9</v>
      </c>
      <c r="H658" s="107" t="s">
        <v>3279</v>
      </c>
    </row>
    <row r="659" spans="1:8" ht="13.5" customHeight="1" x14ac:dyDescent="0.25">
      <c r="A659" s="13" t="s">
        <v>1990</v>
      </c>
      <c r="B659" s="49" t="s">
        <v>1665</v>
      </c>
      <c r="C659" s="101" t="s">
        <v>1991</v>
      </c>
      <c r="D659" s="14" t="s">
        <v>3281</v>
      </c>
      <c r="E659" s="14" t="s">
        <v>3278</v>
      </c>
      <c r="F659" s="65" t="s">
        <v>841</v>
      </c>
      <c r="G659" s="106">
        <v>0.9</v>
      </c>
      <c r="H659" s="107" t="s">
        <v>3279</v>
      </c>
    </row>
    <row r="660" spans="1:8" ht="13.5" customHeight="1" x14ac:dyDescent="0.25">
      <c r="A660" s="24" t="s">
        <v>1992</v>
      </c>
      <c r="B660" s="38" t="s">
        <v>1665</v>
      </c>
      <c r="C660" s="100" t="s">
        <v>1993</v>
      </c>
      <c r="D660" s="25" t="s">
        <v>3281</v>
      </c>
      <c r="E660" s="25" t="s">
        <v>3278</v>
      </c>
      <c r="F660" s="65" t="s">
        <v>841</v>
      </c>
      <c r="G660" s="106">
        <v>0.9</v>
      </c>
      <c r="H660" s="107" t="s">
        <v>3279</v>
      </c>
    </row>
    <row r="661" spans="1:8" ht="13.5" customHeight="1" x14ac:dyDescent="0.25">
      <c r="A661" s="13" t="s">
        <v>1994</v>
      </c>
      <c r="B661" s="49" t="s">
        <v>1665</v>
      </c>
      <c r="C661" s="101" t="s">
        <v>1995</v>
      </c>
      <c r="D661" s="14" t="s">
        <v>3281</v>
      </c>
      <c r="E661" s="14" t="s">
        <v>3278</v>
      </c>
      <c r="F661" s="65" t="s">
        <v>841</v>
      </c>
      <c r="G661" s="106">
        <v>0.9</v>
      </c>
      <c r="H661" s="107" t="s">
        <v>3279</v>
      </c>
    </row>
    <row r="662" spans="1:8" ht="13.5" customHeight="1" x14ac:dyDescent="0.25">
      <c r="A662" s="24" t="s">
        <v>1996</v>
      </c>
      <c r="B662" s="38" t="s">
        <v>1665</v>
      </c>
      <c r="C662" s="100" t="s">
        <v>1997</v>
      </c>
      <c r="D662" s="25" t="s">
        <v>3281</v>
      </c>
      <c r="E662" s="25" t="s">
        <v>3278</v>
      </c>
      <c r="F662" s="65" t="s">
        <v>841</v>
      </c>
      <c r="G662" s="106">
        <v>0.9</v>
      </c>
      <c r="H662" s="107" t="s">
        <v>3279</v>
      </c>
    </row>
    <row r="663" spans="1:8" ht="13.5" customHeight="1" x14ac:dyDescent="0.25">
      <c r="A663" s="13" t="s">
        <v>1998</v>
      </c>
      <c r="B663" s="49" t="s">
        <v>1665</v>
      </c>
      <c r="C663" s="101" t="s">
        <v>1999</v>
      </c>
      <c r="D663" s="14" t="s">
        <v>3281</v>
      </c>
      <c r="E663" s="14" t="s">
        <v>3278</v>
      </c>
      <c r="F663" s="65" t="s">
        <v>841</v>
      </c>
      <c r="G663" s="106">
        <v>0.9</v>
      </c>
      <c r="H663" s="107" t="s">
        <v>3279</v>
      </c>
    </row>
    <row r="664" spans="1:8" ht="13.5" customHeight="1" x14ac:dyDescent="0.25">
      <c r="A664" s="24" t="s">
        <v>2000</v>
      </c>
      <c r="B664" s="38" t="s">
        <v>1665</v>
      </c>
      <c r="C664" s="100" t="s">
        <v>2001</v>
      </c>
      <c r="D664" s="25" t="s">
        <v>3281</v>
      </c>
      <c r="E664" s="25" t="s">
        <v>3278</v>
      </c>
      <c r="F664" s="64" t="s">
        <v>566</v>
      </c>
      <c r="G664" s="104">
        <v>1.1499999999999999</v>
      </c>
      <c r="H664" s="107" t="s">
        <v>3279</v>
      </c>
    </row>
    <row r="665" spans="1:8" ht="13.5" customHeight="1" x14ac:dyDescent="0.25">
      <c r="A665" s="13" t="s">
        <v>2002</v>
      </c>
      <c r="B665" s="49" t="s">
        <v>1665</v>
      </c>
      <c r="C665" s="101" t="s">
        <v>2003</v>
      </c>
      <c r="D665" s="14" t="s">
        <v>3281</v>
      </c>
      <c r="E665" s="14" t="s">
        <v>3278</v>
      </c>
      <c r="F665" s="64" t="s">
        <v>566</v>
      </c>
      <c r="G665" s="104">
        <v>1.1499999999999999</v>
      </c>
      <c r="H665" s="107" t="s">
        <v>3279</v>
      </c>
    </row>
    <row r="666" spans="1:8" ht="13.5" customHeight="1" x14ac:dyDescent="0.25">
      <c r="A666" s="24" t="s">
        <v>2004</v>
      </c>
      <c r="B666" s="38" t="s">
        <v>1665</v>
      </c>
      <c r="C666" s="100" t="s">
        <v>2005</v>
      </c>
      <c r="D666" s="25" t="s">
        <v>3281</v>
      </c>
      <c r="E666" s="25" t="s">
        <v>3278</v>
      </c>
      <c r="F666" s="65" t="s">
        <v>841</v>
      </c>
      <c r="G666" s="106">
        <v>0.9</v>
      </c>
      <c r="H666" s="107" t="s">
        <v>3279</v>
      </c>
    </row>
    <row r="667" spans="1:8" ht="13.5" customHeight="1" x14ac:dyDescent="0.25">
      <c r="A667" s="13" t="s">
        <v>2006</v>
      </c>
      <c r="B667" s="49" t="s">
        <v>1665</v>
      </c>
      <c r="C667" s="101" t="s">
        <v>2007</v>
      </c>
      <c r="D667" s="14" t="s">
        <v>3281</v>
      </c>
      <c r="E667" s="14" t="s">
        <v>3278</v>
      </c>
      <c r="F667" s="65" t="s">
        <v>841</v>
      </c>
      <c r="G667" s="106">
        <v>0.9</v>
      </c>
      <c r="H667" s="107" t="s">
        <v>3279</v>
      </c>
    </row>
    <row r="668" spans="1:8" ht="13.5" customHeight="1" x14ac:dyDescent="0.25">
      <c r="A668" s="24" t="s">
        <v>2008</v>
      </c>
      <c r="B668" s="38" t="s">
        <v>1665</v>
      </c>
      <c r="C668" s="100" t="s">
        <v>2009</v>
      </c>
      <c r="D668" s="25" t="s">
        <v>3281</v>
      </c>
      <c r="E668" s="25" t="s">
        <v>3278</v>
      </c>
      <c r="F668" s="65" t="s">
        <v>841</v>
      </c>
      <c r="G668" s="106">
        <v>0.9</v>
      </c>
      <c r="H668" s="107" t="s">
        <v>3279</v>
      </c>
    </row>
    <row r="669" spans="1:8" ht="13.5" customHeight="1" x14ac:dyDescent="0.25">
      <c r="A669" s="13" t="s">
        <v>2010</v>
      </c>
      <c r="B669" s="49" t="s">
        <v>1665</v>
      </c>
      <c r="C669" s="101" t="s">
        <v>2011</v>
      </c>
      <c r="D669" s="14" t="s">
        <v>3281</v>
      </c>
      <c r="E669" s="14" t="s">
        <v>3278</v>
      </c>
      <c r="F669" s="65" t="s">
        <v>841</v>
      </c>
      <c r="G669" s="106">
        <v>0.9</v>
      </c>
      <c r="H669" s="107" t="s">
        <v>3279</v>
      </c>
    </row>
    <row r="670" spans="1:8" ht="13.5" customHeight="1" x14ac:dyDescent="0.25">
      <c r="A670" s="24" t="s">
        <v>2012</v>
      </c>
      <c r="B670" s="38" t="s">
        <v>1665</v>
      </c>
      <c r="C670" s="100" t="s">
        <v>2013</v>
      </c>
      <c r="D670" s="25" t="s">
        <v>3281</v>
      </c>
      <c r="E670" s="25" t="s">
        <v>3278</v>
      </c>
      <c r="F670" s="65" t="s">
        <v>841</v>
      </c>
      <c r="G670" s="106">
        <v>0.9</v>
      </c>
      <c r="H670" s="107" t="s">
        <v>3279</v>
      </c>
    </row>
    <row r="671" spans="1:8" ht="13.5" customHeight="1" x14ac:dyDescent="0.25">
      <c r="A671" s="13" t="s">
        <v>2014</v>
      </c>
      <c r="B671" s="49" t="s">
        <v>1665</v>
      </c>
      <c r="C671" s="101" t="s">
        <v>2015</v>
      </c>
      <c r="D671" s="14" t="s">
        <v>3281</v>
      </c>
      <c r="E671" s="14" t="s">
        <v>3278</v>
      </c>
      <c r="F671" s="65" t="s">
        <v>841</v>
      </c>
      <c r="G671" s="106">
        <v>0.9</v>
      </c>
      <c r="H671" s="107" t="s">
        <v>3279</v>
      </c>
    </row>
    <row r="672" spans="1:8" ht="13.5" customHeight="1" x14ac:dyDescent="0.25">
      <c r="A672" s="24" t="s">
        <v>2016</v>
      </c>
      <c r="B672" s="38" t="s">
        <v>1665</v>
      </c>
      <c r="C672" s="100" t="s">
        <v>2017</v>
      </c>
      <c r="D672" s="25" t="s">
        <v>3281</v>
      </c>
      <c r="E672" s="25" t="s">
        <v>3278</v>
      </c>
      <c r="F672" s="65" t="s">
        <v>841</v>
      </c>
      <c r="G672" s="106">
        <v>0.9</v>
      </c>
      <c r="H672" s="107" t="s">
        <v>3279</v>
      </c>
    </row>
    <row r="673" spans="1:8" ht="13.5" customHeight="1" x14ac:dyDescent="0.25">
      <c r="A673" s="13" t="s">
        <v>2018</v>
      </c>
      <c r="B673" s="49" t="s">
        <v>1665</v>
      </c>
      <c r="C673" s="101" t="s">
        <v>2019</v>
      </c>
      <c r="D673" s="14" t="s">
        <v>3281</v>
      </c>
      <c r="E673" s="14" t="s">
        <v>3278</v>
      </c>
      <c r="F673" s="65" t="s">
        <v>841</v>
      </c>
      <c r="G673" s="106">
        <v>0.9</v>
      </c>
      <c r="H673" s="107" t="s">
        <v>3279</v>
      </c>
    </row>
    <row r="674" spans="1:8" ht="13.5" customHeight="1" x14ac:dyDescent="0.25">
      <c r="A674" s="24" t="s">
        <v>2020</v>
      </c>
      <c r="B674" s="38" t="s">
        <v>1665</v>
      </c>
      <c r="C674" s="100" t="s">
        <v>2021</v>
      </c>
      <c r="D674" s="25" t="s">
        <v>3281</v>
      </c>
      <c r="E674" s="25" t="s">
        <v>3278</v>
      </c>
      <c r="F674" s="65" t="s">
        <v>841</v>
      </c>
      <c r="G674" s="106">
        <v>0.9</v>
      </c>
      <c r="H674" s="107" t="s">
        <v>3279</v>
      </c>
    </row>
    <row r="675" spans="1:8" ht="13.5" customHeight="1" x14ac:dyDescent="0.25">
      <c r="A675" s="13" t="s">
        <v>2022</v>
      </c>
      <c r="B675" s="49" t="s">
        <v>1665</v>
      </c>
      <c r="C675" s="101" t="s">
        <v>2023</v>
      </c>
      <c r="D675" s="14" t="s">
        <v>3281</v>
      </c>
      <c r="E675" s="14" t="s">
        <v>3278</v>
      </c>
      <c r="F675" s="65" t="s">
        <v>841</v>
      </c>
      <c r="G675" s="106">
        <v>0.9</v>
      </c>
      <c r="H675" s="107" t="s">
        <v>3279</v>
      </c>
    </row>
    <row r="676" spans="1:8" ht="13.5" customHeight="1" x14ac:dyDescent="0.25">
      <c r="A676" s="24" t="s">
        <v>2024</v>
      </c>
      <c r="B676" s="38" t="s">
        <v>1665</v>
      </c>
      <c r="C676" s="100" t="s">
        <v>2025</v>
      </c>
      <c r="D676" s="25" t="s">
        <v>3281</v>
      </c>
      <c r="E676" s="25" t="s">
        <v>3278</v>
      </c>
      <c r="F676" s="65" t="s">
        <v>841</v>
      </c>
      <c r="G676" s="106">
        <v>0.9</v>
      </c>
      <c r="H676" s="107" t="s">
        <v>3279</v>
      </c>
    </row>
    <row r="677" spans="1:8" ht="13.5" customHeight="1" x14ac:dyDescent="0.25">
      <c r="A677" s="13" t="s">
        <v>2026</v>
      </c>
      <c r="B677" s="49" t="s">
        <v>1665</v>
      </c>
      <c r="C677" s="101" t="s">
        <v>2027</v>
      </c>
      <c r="D677" s="14" t="s">
        <v>3281</v>
      </c>
      <c r="E677" s="14" t="s">
        <v>3278</v>
      </c>
      <c r="F677" s="65" t="s">
        <v>841</v>
      </c>
      <c r="G677" s="106">
        <v>0.9</v>
      </c>
      <c r="H677" s="107" t="s">
        <v>3279</v>
      </c>
    </row>
    <row r="678" spans="1:8" ht="13.5" customHeight="1" x14ac:dyDescent="0.25">
      <c r="A678" s="24" t="s">
        <v>2028</v>
      </c>
      <c r="B678" s="38" t="s">
        <v>1665</v>
      </c>
      <c r="C678" s="100" t="s">
        <v>2029</v>
      </c>
      <c r="D678" s="25" t="s">
        <v>3281</v>
      </c>
      <c r="E678" s="25" t="s">
        <v>3278</v>
      </c>
      <c r="F678" s="65" t="s">
        <v>841</v>
      </c>
      <c r="G678" s="106">
        <v>0.9</v>
      </c>
      <c r="H678" s="107" t="s">
        <v>3279</v>
      </c>
    </row>
    <row r="679" spans="1:8" ht="13.5" customHeight="1" x14ac:dyDescent="0.25">
      <c r="A679" s="13" t="s">
        <v>2030</v>
      </c>
      <c r="B679" s="49" t="s">
        <v>1665</v>
      </c>
      <c r="C679" s="101" t="s">
        <v>2031</v>
      </c>
      <c r="D679" s="14" t="s">
        <v>3281</v>
      </c>
      <c r="E679" s="14" t="s">
        <v>3278</v>
      </c>
      <c r="F679" s="65" t="s">
        <v>841</v>
      </c>
      <c r="G679" s="106">
        <v>0.9</v>
      </c>
      <c r="H679" s="107" t="s">
        <v>3279</v>
      </c>
    </row>
    <row r="680" spans="1:8" ht="13.5" customHeight="1" x14ac:dyDescent="0.25">
      <c r="A680" s="24" t="s">
        <v>2032</v>
      </c>
      <c r="B680" s="38" t="s">
        <v>1665</v>
      </c>
      <c r="C680" s="100" t="s">
        <v>2033</v>
      </c>
      <c r="D680" s="25" t="s">
        <v>3281</v>
      </c>
      <c r="E680" s="25" t="s">
        <v>3278</v>
      </c>
      <c r="F680" s="65" t="s">
        <v>841</v>
      </c>
      <c r="G680" s="106">
        <v>0.9</v>
      </c>
      <c r="H680" s="107" t="s">
        <v>3279</v>
      </c>
    </row>
    <row r="681" spans="1:8" ht="13.5" customHeight="1" x14ac:dyDescent="0.25">
      <c r="A681" s="13" t="s">
        <v>2034</v>
      </c>
      <c r="B681" s="49" t="s">
        <v>1665</v>
      </c>
      <c r="C681" s="101" t="s">
        <v>2035</v>
      </c>
      <c r="D681" s="14" t="s">
        <v>3281</v>
      </c>
      <c r="E681" s="14" t="s">
        <v>3278</v>
      </c>
      <c r="F681" s="65" t="s">
        <v>841</v>
      </c>
      <c r="G681" s="106">
        <v>0.9</v>
      </c>
      <c r="H681" s="107" t="s">
        <v>3279</v>
      </c>
    </row>
    <row r="682" spans="1:8" ht="13.5" customHeight="1" x14ac:dyDescent="0.25">
      <c r="A682" s="24" t="s">
        <v>2036</v>
      </c>
      <c r="B682" s="38" t="s">
        <v>1665</v>
      </c>
      <c r="C682" s="100" t="s">
        <v>2037</v>
      </c>
      <c r="D682" s="25" t="s">
        <v>3281</v>
      </c>
      <c r="E682" s="25" t="s">
        <v>3278</v>
      </c>
      <c r="F682" s="65" t="s">
        <v>841</v>
      </c>
      <c r="G682" s="106">
        <v>0.9</v>
      </c>
      <c r="H682" s="107" t="s">
        <v>3279</v>
      </c>
    </row>
    <row r="683" spans="1:8" ht="13.5" customHeight="1" x14ac:dyDescent="0.25">
      <c r="A683" s="13" t="s">
        <v>2038</v>
      </c>
      <c r="B683" s="49" t="s">
        <v>1665</v>
      </c>
      <c r="C683" s="101" t="s">
        <v>2039</v>
      </c>
      <c r="D683" s="14" t="s">
        <v>3281</v>
      </c>
      <c r="E683" s="14" t="s">
        <v>3278</v>
      </c>
      <c r="F683" s="65" t="s">
        <v>841</v>
      </c>
      <c r="G683" s="106">
        <v>0.9</v>
      </c>
      <c r="H683" s="107" t="s">
        <v>3279</v>
      </c>
    </row>
    <row r="684" spans="1:8" ht="13.5" customHeight="1" x14ac:dyDescent="0.25">
      <c r="A684" s="24" t="s">
        <v>2040</v>
      </c>
      <c r="B684" s="38" t="s">
        <v>1665</v>
      </c>
      <c r="C684" s="100" t="s">
        <v>2041</v>
      </c>
      <c r="D684" s="25" t="s">
        <v>3281</v>
      </c>
      <c r="E684" s="25" t="s">
        <v>3278</v>
      </c>
      <c r="F684" s="65" t="s">
        <v>841</v>
      </c>
      <c r="G684" s="106">
        <v>0.9</v>
      </c>
      <c r="H684" s="107" t="s">
        <v>3279</v>
      </c>
    </row>
    <row r="685" spans="1:8" ht="13.5" customHeight="1" x14ac:dyDescent="0.25">
      <c r="A685" s="13" t="s">
        <v>2042</v>
      </c>
      <c r="B685" s="49" t="s">
        <v>1665</v>
      </c>
      <c r="C685" s="101" t="s">
        <v>2043</v>
      </c>
      <c r="D685" s="14" t="s">
        <v>3281</v>
      </c>
      <c r="E685" s="14" t="s">
        <v>3278</v>
      </c>
      <c r="F685" s="65" t="s">
        <v>841</v>
      </c>
      <c r="G685" s="106">
        <v>0.9</v>
      </c>
      <c r="H685" s="107" t="s">
        <v>3279</v>
      </c>
    </row>
    <row r="686" spans="1:8" ht="13.5" customHeight="1" x14ac:dyDescent="0.25">
      <c r="A686" s="24" t="s">
        <v>2044</v>
      </c>
      <c r="B686" s="38" t="s">
        <v>1665</v>
      </c>
      <c r="C686" s="100" t="s">
        <v>2045</v>
      </c>
      <c r="D686" s="25" t="s">
        <v>3281</v>
      </c>
      <c r="E686" s="25" t="s">
        <v>3278</v>
      </c>
      <c r="F686" s="65" t="s">
        <v>841</v>
      </c>
      <c r="G686" s="106">
        <v>0.9</v>
      </c>
      <c r="H686" s="107" t="s">
        <v>3279</v>
      </c>
    </row>
    <row r="687" spans="1:8" ht="13.5" customHeight="1" x14ac:dyDescent="0.25">
      <c r="A687" s="13" t="s">
        <v>2046</v>
      </c>
      <c r="B687" s="49" t="s">
        <v>1665</v>
      </c>
      <c r="C687" s="101" t="s">
        <v>2047</v>
      </c>
      <c r="D687" s="14" t="s">
        <v>3281</v>
      </c>
      <c r="E687" s="14" t="s">
        <v>3278</v>
      </c>
      <c r="F687" s="65" t="s">
        <v>841</v>
      </c>
      <c r="G687" s="106">
        <v>0.9</v>
      </c>
      <c r="H687" s="107" t="s">
        <v>3279</v>
      </c>
    </row>
    <row r="688" spans="1:8" ht="13.5" customHeight="1" x14ac:dyDescent="0.25">
      <c r="A688" s="24" t="s">
        <v>2048</v>
      </c>
      <c r="B688" s="38" t="s">
        <v>1665</v>
      </c>
      <c r="C688" s="100" t="s">
        <v>2049</v>
      </c>
      <c r="D688" s="25" t="s">
        <v>3281</v>
      </c>
      <c r="E688" s="25" t="s">
        <v>3278</v>
      </c>
      <c r="F688" s="65" t="s">
        <v>841</v>
      </c>
      <c r="G688" s="106">
        <v>0.9</v>
      </c>
      <c r="H688" s="107" t="s">
        <v>3279</v>
      </c>
    </row>
    <row r="689" spans="1:8" ht="13.5" customHeight="1" x14ac:dyDescent="0.25">
      <c r="A689" s="13" t="s">
        <v>2050</v>
      </c>
      <c r="B689" s="49" t="s">
        <v>1665</v>
      </c>
      <c r="C689" s="101" t="s">
        <v>2051</v>
      </c>
      <c r="D689" s="14" t="s">
        <v>3281</v>
      </c>
      <c r="E689" s="14" t="s">
        <v>3278</v>
      </c>
      <c r="F689" s="65" t="s">
        <v>841</v>
      </c>
      <c r="G689" s="106">
        <v>0.9</v>
      </c>
      <c r="H689" s="107" t="s">
        <v>3279</v>
      </c>
    </row>
    <row r="690" spans="1:8" ht="13.5" customHeight="1" x14ac:dyDescent="0.25">
      <c r="A690" s="24" t="s">
        <v>2052</v>
      </c>
      <c r="B690" s="38" t="s">
        <v>1665</v>
      </c>
      <c r="C690" s="100" t="s">
        <v>2053</v>
      </c>
      <c r="D690" s="25" t="s">
        <v>3281</v>
      </c>
      <c r="E690" s="25" t="s">
        <v>3278</v>
      </c>
      <c r="F690" s="65" t="s">
        <v>841</v>
      </c>
      <c r="G690" s="106">
        <v>0.9</v>
      </c>
      <c r="H690" s="107" t="s">
        <v>3279</v>
      </c>
    </row>
    <row r="691" spans="1:8" ht="13.5" customHeight="1" x14ac:dyDescent="0.25">
      <c r="A691" s="13" t="s">
        <v>2054</v>
      </c>
      <c r="B691" s="49" t="s">
        <v>1665</v>
      </c>
      <c r="C691" s="101" t="s">
        <v>2055</v>
      </c>
      <c r="D691" s="14" t="s">
        <v>3281</v>
      </c>
      <c r="E691" s="14" t="s">
        <v>3278</v>
      </c>
      <c r="F691" s="65" t="s">
        <v>841</v>
      </c>
      <c r="G691" s="106">
        <v>0.9</v>
      </c>
      <c r="H691" s="107" t="s">
        <v>3279</v>
      </c>
    </row>
    <row r="692" spans="1:8" ht="13.5" customHeight="1" x14ac:dyDescent="0.25">
      <c r="A692" s="24" t="s">
        <v>2056</v>
      </c>
      <c r="B692" s="38" t="s">
        <v>1665</v>
      </c>
      <c r="C692" s="100" t="s">
        <v>2057</v>
      </c>
      <c r="D692" s="25" t="s">
        <v>3281</v>
      </c>
      <c r="E692" s="25" t="s">
        <v>3278</v>
      </c>
      <c r="F692" s="65" t="s">
        <v>841</v>
      </c>
      <c r="G692" s="106">
        <v>0.9</v>
      </c>
      <c r="H692" s="107" t="s">
        <v>3279</v>
      </c>
    </row>
    <row r="693" spans="1:8" ht="13.5" customHeight="1" x14ac:dyDescent="0.25">
      <c r="A693" s="13" t="s">
        <v>2058</v>
      </c>
      <c r="B693" s="49" t="s">
        <v>1665</v>
      </c>
      <c r="C693" s="101" t="s">
        <v>2059</v>
      </c>
      <c r="D693" s="14" t="s">
        <v>3281</v>
      </c>
      <c r="E693" s="14" t="s">
        <v>3278</v>
      </c>
      <c r="F693" s="65" t="s">
        <v>841</v>
      </c>
      <c r="G693" s="106">
        <v>0.9</v>
      </c>
      <c r="H693" s="107" t="s">
        <v>3279</v>
      </c>
    </row>
    <row r="694" spans="1:8" ht="13.5" customHeight="1" x14ac:dyDescent="0.25">
      <c r="A694" s="24" t="s">
        <v>2060</v>
      </c>
      <c r="B694" s="38" t="s">
        <v>1665</v>
      </c>
      <c r="C694" s="100" t="s">
        <v>2061</v>
      </c>
      <c r="D694" s="25" t="s">
        <v>3281</v>
      </c>
      <c r="E694" s="25" t="s">
        <v>3278</v>
      </c>
      <c r="F694" s="65" t="s">
        <v>841</v>
      </c>
      <c r="G694" s="106">
        <v>0.9</v>
      </c>
      <c r="H694" s="107" t="s">
        <v>3279</v>
      </c>
    </row>
    <row r="695" spans="1:8" ht="13.5" customHeight="1" x14ac:dyDescent="0.25">
      <c r="A695" s="13" t="s">
        <v>2062</v>
      </c>
      <c r="B695" s="49" t="s">
        <v>1665</v>
      </c>
      <c r="C695" s="101" t="s">
        <v>2063</v>
      </c>
      <c r="D695" s="14" t="s">
        <v>3281</v>
      </c>
      <c r="E695" s="14" t="s">
        <v>3278</v>
      </c>
      <c r="F695" s="65" t="s">
        <v>841</v>
      </c>
      <c r="G695" s="106">
        <v>0.9</v>
      </c>
      <c r="H695" s="107" t="s">
        <v>3279</v>
      </c>
    </row>
    <row r="696" spans="1:8" ht="13.5" customHeight="1" x14ac:dyDescent="0.25">
      <c r="A696" s="24" t="s">
        <v>2064</v>
      </c>
      <c r="B696" s="38" t="s">
        <v>1665</v>
      </c>
      <c r="C696" s="100" t="s">
        <v>2065</v>
      </c>
      <c r="D696" s="25" t="s">
        <v>3281</v>
      </c>
      <c r="E696" s="25" t="s">
        <v>3278</v>
      </c>
      <c r="F696" s="65" t="s">
        <v>841</v>
      </c>
      <c r="G696" s="106">
        <v>0.9</v>
      </c>
      <c r="H696" s="107" t="s">
        <v>3279</v>
      </c>
    </row>
    <row r="697" spans="1:8" ht="13.5" customHeight="1" x14ac:dyDescent="0.25">
      <c r="A697" s="13" t="s">
        <v>2066</v>
      </c>
      <c r="B697" s="49" t="s">
        <v>1665</v>
      </c>
      <c r="C697" s="101" t="s">
        <v>2067</v>
      </c>
      <c r="D697" s="14" t="s">
        <v>3281</v>
      </c>
      <c r="E697" s="14" t="s">
        <v>3278</v>
      </c>
      <c r="F697" s="65" t="s">
        <v>841</v>
      </c>
      <c r="G697" s="106">
        <v>0.9</v>
      </c>
      <c r="H697" s="107" t="s">
        <v>3279</v>
      </c>
    </row>
    <row r="698" spans="1:8" ht="13.5" customHeight="1" x14ac:dyDescent="0.25">
      <c r="A698" s="24" t="s">
        <v>2068</v>
      </c>
      <c r="B698" s="38" t="s">
        <v>1665</v>
      </c>
      <c r="C698" s="100" t="s">
        <v>2069</v>
      </c>
      <c r="D698" s="25" t="s">
        <v>3281</v>
      </c>
      <c r="E698" s="25" t="s">
        <v>3278</v>
      </c>
      <c r="F698" s="65" t="s">
        <v>841</v>
      </c>
      <c r="G698" s="106">
        <v>0.9</v>
      </c>
      <c r="H698" s="107" t="s">
        <v>3279</v>
      </c>
    </row>
    <row r="699" spans="1:8" ht="13.5" customHeight="1" x14ac:dyDescent="0.25">
      <c r="A699" s="13" t="s">
        <v>2070</v>
      </c>
      <c r="B699" s="49" t="s">
        <v>1665</v>
      </c>
      <c r="C699" s="101" t="s">
        <v>2071</v>
      </c>
      <c r="D699" s="14" t="s">
        <v>3281</v>
      </c>
      <c r="E699" s="14" t="s">
        <v>3278</v>
      </c>
      <c r="F699" s="65" t="s">
        <v>841</v>
      </c>
      <c r="G699" s="106">
        <v>0.9</v>
      </c>
      <c r="H699" s="107" t="s">
        <v>3279</v>
      </c>
    </row>
    <row r="700" spans="1:8" ht="13.5" customHeight="1" x14ac:dyDescent="0.25">
      <c r="A700" s="24" t="s">
        <v>2072</v>
      </c>
      <c r="B700" s="38" t="s">
        <v>1665</v>
      </c>
      <c r="C700" s="100" t="s">
        <v>2073</v>
      </c>
      <c r="D700" s="25" t="s">
        <v>3281</v>
      </c>
      <c r="E700" s="25" t="s">
        <v>3278</v>
      </c>
      <c r="F700" s="65" t="s">
        <v>841</v>
      </c>
      <c r="G700" s="106">
        <v>0.9</v>
      </c>
      <c r="H700" s="107" t="s">
        <v>3279</v>
      </c>
    </row>
    <row r="701" spans="1:8" ht="13.5" customHeight="1" x14ac:dyDescent="0.25">
      <c r="A701" s="13" t="s">
        <v>2074</v>
      </c>
      <c r="B701" s="49" t="s">
        <v>1665</v>
      </c>
      <c r="C701" s="101" t="s">
        <v>2075</v>
      </c>
      <c r="D701" s="14" t="s">
        <v>3281</v>
      </c>
      <c r="E701" s="14" t="s">
        <v>3278</v>
      </c>
      <c r="F701" s="65" t="s">
        <v>841</v>
      </c>
      <c r="G701" s="106">
        <v>0.9</v>
      </c>
      <c r="H701" s="107" t="s">
        <v>3279</v>
      </c>
    </row>
    <row r="702" spans="1:8" ht="13.5" customHeight="1" x14ac:dyDescent="0.25">
      <c r="A702" s="24" t="s">
        <v>2076</v>
      </c>
      <c r="B702" s="38" t="s">
        <v>1665</v>
      </c>
      <c r="C702" s="100" t="s">
        <v>2077</v>
      </c>
      <c r="D702" s="25" t="s">
        <v>3281</v>
      </c>
      <c r="E702" s="25" t="s">
        <v>3278</v>
      </c>
      <c r="F702" s="65" t="s">
        <v>841</v>
      </c>
      <c r="G702" s="106">
        <v>0.9</v>
      </c>
      <c r="H702" s="107" t="s">
        <v>3279</v>
      </c>
    </row>
    <row r="703" spans="1:8" ht="13.5" customHeight="1" x14ac:dyDescent="0.25">
      <c r="A703" s="13" t="s">
        <v>2078</v>
      </c>
      <c r="B703" s="49" t="s">
        <v>1665</v>
      </c>
      <c r="C703" s="101" t="s">
        <v>2079</v>
      </c>
      <c r="D703" s="14" t="s">
        <v>3281</v>
      </c>
      <c r="E703" s="14" t="s">
        <v>3278</v>
      </c>
      <c r="F703" s="65" t="s">
        <v>841</v>
      </c>
      <c r="G703" s="106">
        <v>0.9</v>
      </c>
      <c r="H703" s="107" t="s">
        <v>3279</v>
      </c>
    </row>
    <row r="704" spans="1:8" ht="13.5" customHeight="1" x14ac:dyDescent="0.25">
      <c r="A704" s="24" t="s">
        <v>2080</v>
      </c>
      <c r="B704" s="38" t="s">
        <v>1665</v>
      </c>
      <c r="C704" s="100" t="s">
        <v>2081</v>
      </c>
      <c r="D704" s="25" t="s">
        <v>3281</v>
      </c>
      <c r="E704" s="25" t="s">
        <v>3278</v>
      </c>
      <c r="F704" s="65" t="s">
        <v>841</v>
      </c>
      <c r="G704" s="106">
        <v>0.9</v>
      </c>
      <c r="H704" s="107" t="s">
        <v>3279</v>
      </c>
    </row>
    <row r="705" spans="1:8" ht="13.5" customHeight="1" x14ac:dyDescent="0.25">
      <c r="A705" s="13" t="s">
        <v>2082</v>
      </c>
      <c r="B705" s="49" t="s">
        <v>1665</v>
      </c>
      <c r="C705" s="101" t="s">
        <v>2083</v>
      </c>
      <c r="D705" s="14" t="s">
        <v>3281</v>
      </c>
      <c r="E705" s="14" t="s">
        <v>3278</v>
      </c>
      <c r="F705" s="65" t="s">
        <v>841</v>
      </c>
      <c r="G705" s="106">
        <v>0.9</v>
      </c>
      <c r="H705" s="107" t="s">
        <v>3279</v>
      </c>
    </row>
    <row r="706" spans="1:8" ht="13.5" customHeight="1" x14ac:dyDescent="0.25">
      <c r="A706" s="24" t="s">
        <v>2084</v>
      </c>
      <c r="B706" s="38" t="s">
        <v>1665</v>
      </c>
      <c r="C706" s="100" t="s">
        <v>2085</v>
      </c>
      <c r="D706" s="25" t="s">
        <v>3281</v>
      </c>
      <c r="E706" s="25" t="s">
        <v>3278</v>
      </c>
      <c r="F706" s="65" t="s">
        <v>841</v>
      </c>
      <c r="G706" s="106">
        <v>0.9</v>
      </c>
      <c r="H706" s="107" t="s">
        <v>3279</v>
      </c>
    </row>
    <row r="707" spans="1:8" ht="13.5" customHeight="1" x14ac:dyDescent="0.25">
      <c r="A707" s="13" t="s">
        <v>2086</v>
      </c>
      <c r="B707" s="49" t="s">
        <v>1665</v>
      </c>
      <c r="C707" s="101" t="s">
        <v>2087</v>
      </c>
      <c r="D707" s="14" t="s">
        <v>3281</v>
      </c>
      <c r="E707" s="14" t="s">
        <v>3278</v>
      </c>
      <c r="F707" s="65" t="s">
        <v>841</v>
      </c>
      <c r="G707" s="106">
        <v>0.9</v>
      </c>
      <c r="H707" s="107" t="s">
        <v>3279</v>
      </c>
    </row>
    <row r="708" spans="1:8" ht="13.5" customHeight="1" x14ac:dyDescent="0.25">
      <c r="A708" s="24" t="s">
        <v>2088</v>
      </c>
      <c r="B708" s="38" t="s">
        <v>1665</v>
      </c>
      <c r="C708" s="100" t="s">
        <v>2089</v>
      </c>
      <c r="D708" s="25" t="s">
        <v>3281</v>
      </c>
      <c r="E708" s="25" t="s">
        <v>3278</v>
      </c>
      <c r="F708" s="65" t="s">
        <v>841</v>
      </c>
      <c r="G708" s="106">
        <v>0.9</v>
      </c>
      <c r="H708" s="107" t="s">
        <v>3279</v>
      </c>
    </row>
    <row r="709" spans="1:8" ht="13.5" customHeight="1" x14ac:dyDescent="0.25">
      <c r="A709" s="13" t="s">
        <v>2090</v>
      </c>
      <c r="B709" s="49" t="s">
        <v>1665</v>
      </c>
      <c r="C709" s="101" t="s">
        <v>2091</v>
      </c>
      <c r="D709" s="14" t="s">
        <v>3281</v>
      </c>
      <c r="E709" s="14" t="s">
        <v>3278</v>
      </c>
      <c r="F709" s="65" t="s">
        <v>841</v>
      </c>
      <c r="G709" s="106">
        <v>0.9</v>
      </c>
      <c r="H709" s="107" t="s">
        <v>3279</v>
      </c>
    </row>
    <row r="710" spans="1:8" ht="13.5" customHeight="1" x14ac:dyDescent="0.25">
      <c r="A710" s="24" t="s">
        <v>2092</v>
      </c>
      <c r="B710" s="38" t="s">
        <v>1665</v>
      </c>
      <c r="C710" s="100" t="s">
        <v>2093</v>
      </c>
      <c r="D710" s="25" t="s">
        <v>3281</v>
      </c>
      <c r="E710" s="25" t="s">
        <v>3278</v>
      </c>
      <c r="F710" s="65" t="s">
        <v>841</v>
      </c>
      <c r="G710" s="106">
        <v>0.9</v>
      </c>
      <c r="H710" s="107" t="s">
        <v>3279</v>
      </c>
    </row>
    <row r="711" spans="1:8" ht="13.5" customHeight="1" x14ac:dyDescent="0.25">
      <c r="A711" s="13" t="s">
        <v>2094</v>
      </c>
      <c r="B711" s="49" t="s">
        <v>1665</v>
      </c>
      <c r="C711" s="101" t="s">
        <v>2095</v>
      </c>
      <c r="D711" s="14" t="s">
        <v>3281</v>
      </c>
      <c r="E711" s="14" t="s">
        <v>3278</v>
      </c>
      <c r="F711" s="65" t="s">
        <v>841</v>
      </c>
      <c r="G711" s="106">
        <v>0.9</v>
      </c>
      <c r="H711" s="107" t="s">
        <v>3279</v>
      </c>
    </row>
    <row r="712" spans="1:8" ht="13.5" customHeight="1" x14ac:dyDescent="0.25">
      <c r="A712" s="24" t="s">
        <v>2096</v>
      </c>
      <c r="B712" s="38" t="s">
        <v>1665</v>
      </c>
      <c r="C712" s="100" t="s">
        <v>2097</v>
      </c>
      <c r="D712" s="25" t="s">
        <v>3281</v>
      </c>
      <c r="E712" s="25" t="s">
        <v>3278</v>
      </c>
      <c r="F712" s="65" t="s">
        <v>841</v>
      </c>
      <c r="G712" s="106">
        <v>0.9</v>
      </c>
      <c r="H712" s="107" t="s">
        <v>3279</v>
      </c>
    </row>
    <row r="713" spans="1:8" ht="13.5" customHeight="1" x14ac:dyDescent="0.25">
      <c r="A713" s="13" t="s">
        <v>2098</v>
      </c>
      <c r="B713" s="49" t="s">
        <v>1665</v>
      </c>
      <c r="C713" s="101" t="s">
        <v>2099</v>
      </c>
      <c r="D713" s="14" t="s">
        <v>3281</v>
      </c>
      <c r="E713" s="14" t="s">
        <v>3278</v>
      </c>
      <c r="F713" s="65" t="s">
        <v>841</v>
      </c>
      <c r="G713" s="106">
        <v>0.9</v>
      </c>
      <c r="H713" s="107" t="s">
        <v>3279</v>
      </c>
    </row>
    <row r="714" spans="1:8" ht="13.5" customHeight="1" x14ac:dyDescent="0.25">
      <c r="A714" s="24" t="s">
        <v>2100</v>
      </c>
      <c r="B714" s="38" t="s">
        <v>1665</v>
      </c>
      <c r="C714" s="100" t="s">
        <v>2101</v>
      </c>
      <c r="D714" s="25" t="s">
        <v>3281</v>
      </c>
      <c r="E714" s="25" t="s">
        <v>3278</v>
      </c>
      <c r="F714" s="65" t="s">
        <v>841</v>
      </c>
      <c r="G714" s="106">
        <v>0.9</v>
      </c>
      <c r="H714" s="107" t="s">
        <v>3279</v>
      </c>
    </row>
    <row r="715" spans="1:8" ht="13.5" customHeight="1" x14ac:dyDescent="0.25">
      <c r="A715" s="13" t="s">
        <v>2102</v>
      </c>
      <c r="B715" s="49" t="s">
        <v>1665</v>
      </c>
      <c r="C715" s="101" t="s">
        <v>2103</v>
      </c>
      <c r="D715" s="14" t="s">
        <v>3281</v>
      </c>
      <c r="E715" s="14" t="s">
        <v>3278</v>
      </c>
      <c r="F715" s="65" t="s">
        <v>841</v>
      </c>
      <c r="G715" s="106">
        <v>0.9</v>
      </c>
      <c r="H715" s="107" t="s">
        <v>3279</v>
      </c>
    </row>
    <row r="716" spans="1:8" ht="13.5" customHeight="1" x14ac:dyDescent="0.25">
      <c r="A716" s="24" t="s">
        <v>2104</v>
      </c>
      <c r="B716" s="38" t="s">
        <v>1665</v>
      </c>
      <c r="C716" s="100" t="s">
        <v>2105</v>
      </c>
      <c r="D716" s="25" t="s">
        <v>3281</v>
      </c>
      <c r="E716" s="25" t="s">
        <v>3278</v>
      </c>
      <c r="F716" s="65" t="s">
        <v>841</v>
      </c>
      <c r="G716" s="106">
        <v>0.9</v>
      </c>
      <c r="H716" s="107" t="s">
        <v>3279</v>
      </c>
    </row>
    <row r="717" spans="1:8" ht="13.5" customHeight="1" x14ac:dyDescent="0.25">
      <c r="A717" s="13" t="s">
        <v>2106</v>
      </c>
      <c r="B717" s="49" t="s">
        <v>1665</v>
      </c>
      <c r="C717" s="101" t="s">
        <v>2107</v>
      </c>
      <c r="D717" s="14" t="s">
        <v>3281</v>
      </c>
      <c r="E717" s="14" t="s">
        <v>3278</v>
      </c>
      <c r="F717" s="65" t="s">
        <v>841</v>
      </c>
      <c r="G717" s="106">
        <v>0.9</v>
      </c>
      <c r="H717" s="107" t="s">
        <v>3279</v>
      </c>
    </row>
    <row r="718" spans="1:8" ht="13.5" customHeight="1" x14ac:dyDescent="0.25">
      <c r="A718" s="24" t="s">
        <v>2108</v>
      </c>
      <c r="B718" s="38" t="s">
        <v>1665</v>
      </c>
      <c r="C718" s="100" t="s">
        <v>2109</v>
      </c>
      <c r="D718" s="25" t="s">
        <v>3281</v>
      </c>
      <c r="E718" s="25" t="s">
        <v>3278</v>
      </c>
      <c r="F718" s="65" t="s">
        <v>841</v>
      </c>
      <c r="G718" s="106">
        <v>0.9</v>
      </c>
      <c r="H718" s="107" t="s">
        <v>3279</v>
      </c>
    </row>
    <row r="719" spans="1:8" ht="13.5" customHeight="1" x14ac:dyDescent="0.25">
      <c r="A719" s="13" t="s">
        <v>2110</v>
      </c>
      <c r="B719" s="49" t="s">
        <v>1665</v>
      </c>
      <c r="C719" s="101" t="s">
        <v>2111</v>
      </c>
      <c r="D719" s="14" t="s">
        <v>3281</v>
      </c>
      <c r="E719" s="14" t="s">
        <v>3278</v>
      </c>
      <c r="F719" s="65" t="s">
        <v>841</v>
      </c>
      <c r="G719" s="106">
        <v>0.9</v>
      </c>
      <c r="H719" s="107" t="s">
        <v>3279</v>
      </c>
    </row>
    <row r="720" spans="1:8" ht="13.5" customHeight="1" x14ac:dyDescent="0.25">
      <c r="A720" s="24" t="s">
        <v>2112</v>
      </c>
      <c r="B720" s="38" t="s">
        <v>1665</v>
      </c>
      <c r="C720" s="100" t="s">
        <v>2113</v>
      </c>
      <c r="D720" s="25" t="s">
        <v>3281</v>
      </c>
      <c r="E720" s="25" t="s">
        <v>3278</v>
      </c>
      <c r="F720" s="65" t="s">
        <v>841</v>
      </c>
      <c r="G720" s="106">
        <v>0.9</v>
      </c>
      <c r="H720" s="107" t="s">
        <v>3279</v>
      </c>
    </row>
    <row r="721" spans="1:8" ht="13.5" customHeight="1" x14ac:dyDescent="0.25">
      <c r="A721" s="13" t="s">
        <v>2114</v>
      </c>
      <c r="B721" s="49" t="s">
        <v>1665</v>
      </c>
      <c r="C721" s="101" t="s">
        <v>2115</v>
      </c>
      <c r="D721" s="14" t="s">
        <v>3281</v>
      </c>
      <c r="E721" s="14" t="s">
        <v>3278</v>
      </c>
      <c r="F721" s="65" t="s">
        <v>841</v>
      </c>
      <c r="G721" s="106">
        <v>0.9</v>
      </c>
      <c r="H721" s="107" t="s">
        <v>3279</v>
      </c>
    </row>
    <row r="722" spans="1:8" ht="13.5" customHeight="1" x14ac:dyDescent="0.25">
      <c r="A722" s="24" t="s">
        <v>2116</v>
      </c>
      <c r="B722" s="38" t="s">
        <v>1665</v>
      </c>
      <c r="C722" s="100" t="s">
        <v>2117</v>
      </c>
      <c r="D722" s="25" t="s">
        <v>3281</v>
      </c>
      <c r="E722" s="25" t="s">
        <v>3278</v>
      </c>
      <c r="F722" s="65" t="s">
        <v>841</v>
      </c>
      <c r="G722" s="106">
        <v>0.9</v>
      </c>
      <c r="H722" s="107" t="s">
        <v>3279</v>
      </c>
    </row>
    <row r="723" spans="1:8" ht="13.5" customHeight="1" x14ac:dyDescent="0.25">
      <c r="A723" s="13" t="s">
        <v>2118</v>
      </c>
      <c r="B723" s="49" t="s">
        <v>1665</v>
      </c>
      <c r="C723" s="101" t="s">
        <v>2119</v>
      </c>
      <c r="D723" s="14" t="s">
        <v>3281</v>
      </c>
      <c r="E723" s="14" t="s">
        <v>3278</v>
      </c>
      <c r="F723" s="65" t="s">
        <v>841</v>
      </c>
      <c r="G723" s="106">
        <v>0.9</v>
      </c>
      <c r="H723" s="107" t="s">
        <v>3279</v>
      </c>
    </row>
    <row r="724" spans="1:8" ht="13.5" customHeight="1" x14ac:dyDescent="0.25">
      <c r="A724" s="24" t="s">
        <v>2120</v>
      </c>
      <c r="B724" s="38" t="s">
        <v>2121</v>
      </c>
      <c r="C724" s="100" t="s">
        <v>2122</v>
      </c>
      <c r="D724" s="25" t="s">
        <v>3282</v>
      </c>
      <c r="E724" s="25" t="s">
        <v>3283</v>
      </c>
      <c r="F724" s="64" t="s">
        <v>566</v>
      </c>
      <c r="G724" s="104">
        <v>1.1499999999999999</v>
      </c>
      <c r="H724" s="105" t="s">
        <v>3243</v>
      </c>
    </row>
    <row r="725" spans="1:8" ht="13.5" customHeight="1" x14ac:dyDescent="0.25">
      <c r="A725" s="13" t="s">
        <v>2124</v>
      </c>
      <c r="B725" s="49" t="s">
        <v>2121</v>
      </c>
      <c r="C725" s="101" t="s">
        <v>2125</v>
      </c>
      <c r="D725" s="14" t="s">
        <v>3282</v>
      </c>
      <c r="E725" s="14" t="s">
        <v>3283</v>
      </c>
      <c r="F725" s="64" t="s">
        <v>566</v>
      </c>
      <c r="G725" s="104">
        <v>1.1499999999999999</v>
      </c>
      <c r="H725" s="105" t="s">
        <v>3243</v>
      </c>
    </row>
    <row r="726" spans="1:8" ht="13.5" customHeight="1" x14ac:dyDescent="0.25">
      <c r="A726" s="24" t="s">
        <v>2126</v>
      </c>
      <c r="B726" s="38" t="s">
        <v>2121</v>
      </c>
      <c r="C726" s="100" t="s">
        <v>2127</v>
      </c>
      <c r="D726" s="25" t="s">
        <v>3282</v>
      </c>
      <c r="E726" s="25" t="s">
        <v>3283</v>
      </c>
      <c r="F726" s="64" t="s">
        <v>566</v>
      </c>
      <c r="G726" s="104">
        <v>1.1499999999999999</v>
      </c>
      <c r="H726" s="105" t="s">
        <v>3243</v>
      </c>
    </row>
    <row r="727" spans="1:8" ht="13.5" customHeight="1" x14ac:dyDescent="0.25">
      <c r="A727" s="13" t="s">
        <v>2128</v>
      </c>
      <c r="B727" s="49" t="s">
        <v>2121</v>
      </c>
      <c r="C727" s="101" t="s">
        <v>2129</v>
      </c>
      <c r="D727" s="14" t="s">
        <v>3282</v>
      </c>
      <c r="E727" s="14" t="s">
        <v>3283</v>
      </c>
      <c r="F727" s="64" t="s">
        <v>566</v>
      </c>
      <c r="G727" s="104">
        <v>1.1499999999999999</v>
      </c>
      <c r="H727" s="105" t="s">
        <v>3243</v>
      </c>
    </row>
    <row r="728" spans="1:8" ht="13.5" customHeight="1" x14ac:dyDescent="0.25">
      <c r="A728" s="24" t="s">
        <v>2130</v>
      </c>
      <c r="B728" s="38" t="s">
        <v>2121</v>
      </c>
      <c r="C728" s="100" t="s">
        <v>2131</v>
      </c>
      <c r="D728" s="25" t="s">
        <v>3282</v>
      </c>
      <c r="E728" s="25" t="s">
        <v>3283</v>
      </c>
      <c r="F728" s="64" t="s">
        <v>566</v>
      </c>
      <c r="G728" s="104">
        <v>1.1499999999999999</v>
      </c>
      <c r="H728" s="105" t="s">
        <v>3243</v>
      </c>
    </row>
    <row r="729" spans="1:8" ht="13.5" customHeight="1" x14ac:dyDescent="0.25">
      <c r="A729" s="13" t="s">
        <v>2132</v>
      </c>
      <c r="B729" s="49" t="s">
        <v>2121</v>
      </c>
      <c r="C729" s="101" t="s">
        <v>2133</v>
      </c>
      <c r="D729" s="14" t="s">
        <v>3282</v>
      </c>
      <c r="E729" s="14" t="s">
        <v>3283</v>
      </c>
      <c r="F729" s="64" t="s">
        <v>566</v>
      </c>
      <c r="G729" s="104">
        <v>1.1499999999999999</v>
      </c>
      <c r="H729" s="105" t="s">
        <v>3243</v>
      </c>
    </row>
    <row r="730" spans="1:8" ht="13.5" customHeight="1" x14ac:dyDescent="0.25">
      <c r="A730" s="24" t="s">
        <v>2134</v>
      </c>
      <c r="B730" s="38" t="s">
        <v>2121</v>
      </c>
      <c r="C730" s="100" t="s">
        <v>2135</v>
      </c>
      <c r="D730" s="25" t="s">
        <v>3282</v>
      </c>
      <c r="E730" s="25" t="s">
        <v>3283</v>
      </c>
      <c r="F730" s="64" t="s">
        <v>566</v>
      </c>
      <c r="G730" s="104">
        <v>1.1499999999999999</v>
      </c>
      <c r="H730" s="105" t="s">
        <v>3243</v>
      </c>
    </row>
    <row r="731" spans="1:8" ht="13.5" customHeight="1" x14ac:dyDescent="0.25">
      <c r="A731" s="13" t="s">
        <v>2136</v>
      </c>
      <c r="B731" s="49" t="s">
        <v>2121</v>
      </c>
      <c r="C731" s="101" t="s">
        <v>2137</v>
      </c>
      <c r="D731" s="14" t="s">
        <v>3282</v>
      </c>
      <c r="E731" s="14" t="s">
        <v>3283</v>
      </c>
      <c r="F731" s="64" t="s">
        <v>566</v>
      </c>
      <c r="G731" s="104">
        <v>1.1499999999999999</v>
      </c>
      <c r="H731" s="105" t="s">
        <v>3243</v>
      </c>
    </row>
    <row r="732" spans="1:8" ht="13.5" customHeight="1" x14ac:dyDescent="0.25">
      <c r="A732" s="24" t="s">
        <v>2138</v>
      </c>
      <c r="B732" s="38" t="s">
        <v>2121</v>
      </c>
      <c r="C732" s="100" t="s">
        <v>2139</v>
      </c>
      <c r="D732" s="25" t="s">
        <v>3282</v>
      </c>
      <c r="E732" s="25" t="s">
        <v>3283</v>
      </c>
      <c r="F732" s="64" t="s">
        <v>566</v>
      </c>
      <c r="G732" s="104">
        <v>1.1499999999999999</v>
      </c>
      <c r="H732" s="105" t="s">
        <v>3243</v>
      </c>
    </row>
    <row r="733" spans="1:8" ht="13.5" customHeight="1" x14ac:dyDescent="0.25">
      <c r="A733" s="13" t="s">
        <v>2140</v>
      </c>
      <c r="B733" s="49" t="s">
        <v>2121</v>
      </c>
      <c r="C733" s="101" t="s">
        <v>2141</v>
      </c>
      <c r="D733" s="14" t="s">
        <v>3282</v>
      </c>
      <c r="E733" s="14" t="s">
        <v>3283</v>
      </c>
      <c r="F733" s="64" t="s">
        <v>566</v>
      </c>
      <c r="G733" s="104">
        <v>1.1499999999999999</v>
      </c>
      <c r="H733" s="105" t="s">
        <v>3243</v>
      </c>
    </row>
    <row r="734" spans="1:8" ht="13.5" customHeight="1" x14ac:dyDescent="0.25">
      <c r="A734" s="24" t="s">
        <v>2142</v>
      </c>
      <c r="B734" s="38" t="s">
        <v>2121</v>
      </c>
      <c r="C734" s="100" t="s">
        <v>2143</v>
      </c>
      <c r="D734" s="25" t="s">
        <v>3282</v>
      </c>
      <c r="E734" s="25" t="s">
        <v>3283</v>
      </c>
      <c r="F734" s="64" t="s">
        <v>566</v>
      </c>
      <c r="G734" s="104">
        <v>1.1499999999999999</v>
      </c>
      <c r="H734" s="105" t="s">
        <v>3243</v>
      </c>
    </row>
    <row r="735" spans="1:8" ht="13.5" customHeight="1" x14ac:dyDescent="0.25">
      <c r="A735" s="13" t="s">
        <v>2144</v>
      </c>
      <c r="B735" s="49" t="s">
        <v>2121</v>
      </c>
      <c r="C735" s="101" t="s">
        <v>2145</v>
      </c>
      <c r="D735" s="14" t="s">
        <v>3282</v>
      </c>
      <c r="E735" s="14" t="s">
        <v>3283</v>
      </c>
      <c r="F735" s="64" t="s">
        <v>566</v>
      </c>
      <c r="G735" s="104">
        <v>1.1499999999999999</v>
      </c>
      <c r="H735" s="105" t="s">
        <v>3243</v>
      </c>
    </row>
    <row r="736" spans="1:8" ht="13.5" customHeight="1" x14ac:dyDescent="0.25">
      <c r="A736" s="24" t="s">
        <v>2146</v>
      </c>
      <c r="B736" s="38" t="s">
        <v>2121</v>
      </c>
      <c r="C736" s="100" t="s">
        <v>2147</v>
      </c>
      <c r="D736" s="25" t="s">
        <v>3282</v>
      </c>
      <c r="E736" s="25" t="s">
        <v>3283</v>
      </c>
      <c r="F736" s="64" t="s">
        <v>566</v>
      </c>
      <c r="G736" s="104">
        <v>1.1499999999999999</v>
      </c>
      <c r="H736" s="105" t="s">
        <v>3243</v>
      </c>
    </row>
    <row r="737" spans="1:8" ht="13.5" customHeight="1" x14ac:dyDescent="0.25">
      <c r="A737" s="13" t="s">
        <v>2148</v>
      </c>
      <c r="B737" s="49" t="s">
        <v>2121</v>
      </c>
      <c r="C737" s="101" t="s">
        <v>2149</v>
      </c>
      <c r="D737" s="14" t="s">
        <v>3282</v>
      </c>
      <c r="E737" s="14" t="s">
        <v>3283</v>
      </c>
      <c r="F737" s="64" t="s">
        <v>566</v>
      </c>
      <c r="G737" s="104">
        <v>1.1499999999999999</v>
      </c>
      <c r="H737" s="105" t="s">
        <v>3243</v>
      </c>
    </row>
    <row r="738" spans="1:8" ht="13.5" customHeight="1" x14ac:dyDescent="0.25">
      <c r="A738" s="24" t="s">
        <v>2150</v>
      </c>
      <c r="B738" s="38" t="s">
        <v>2121</v>
      </c>
      <c r="C738" s="100" t="s">
        <v>2151</v>
      </c>
      <c r="D738" s="25" t="s">
        <v>3282</v>
      </c>
      <c r="E738" s="25" t="s">
        <v>3283</v>
      </c>
      <c r="F738" s="64" t="s">
        <v>566</v>
      </c>
      <c r="G738" s="104">
        <v>1.1499999999999999</v>
      </c>
      <c r="H738" s="105" t="s">
        <v>3243</v>
      </c>
    </row>
    <row r="739" spans="1:8" ht="13.5" customHeight="1" x14ac:dyDescent="0.25">
      <c r="A739" s="13" t="s">
        <v>2152</v>
      </c>
      <c r="B739" s="49" t="s">
        <v>2121</v>
      </c>
      <c r="C739" s="101" t="s">
        <v>2153</v>
      </c>
      <c r="D739" s="14" t="s">
        <v>3282</v>
      </c>
      <c r="E739" s="14" t="s">
        <v>3283</v>
      </c>
      <c r="F739" s="64" t="s">
        <v>566</v>
      </c>
      <c r="G739" s="104">
        <v>1.1499999999999999</v>
      </c>
      <c r="H739" s="105" t="s">
        <v>3243</v>
      </c>
    </row>
    <row r="740" spans="1:8" ht="13.5" customHeight="1" x14ac:dyDescent="0.25">
      <c r="A740" s="24" t="s">
        <v>2154</v>
      </c>
      <c r="B740" s="38" t="s">
        <v>2121</v>
      </c>
      <c r="C740" s="100" t="s">
        <v>2155</v>
      </c>
      <c r="D740" s="25" t="s">
        <v>3282</v>
      </c>
      <c r="E740" s="25" t="s">
        <v>3283</v>
      </c>
      <c r="F740" s="64" t="s">
        <v>566</v>
      </c>
      <c r="G740" s="104">
        <v>1.1499999999999999</v>
      </c>
      <c r="H740" s="105" t="s">
        <v>3243</v>
      </c>
    </row>
    <row r="741" spans="1:8" ht="13.5" customHeight="1" x14ac:dyDescent="0.25">
      <c r="A741" s="13" t="s">
        <v>2156</v>
      </c>
      <c r="B741" s="49" t="s">
        <v>2121</v>
      </c>
      <c r="C741" s="101" t="s">
        <v>2157</v>
      </c>
      <c r="D741" s="14" t="s">
        <v>3282</v>
      </c>
      <c r="E741" s="14" t="s">
        <v>3283</v>
      </c>
      <c r="F741" s="64" t="s">
        <v>566</v>
      </c>
      <c r="G741" s="104">
        <v>1.1499999999999999</v>
      </c>
      <c r="H741" s="105" t="s">
        <v>3243</v>
      </c>
    </row>
    <row r="742" spans="1:8" ht="13.5" customHeight="1" x14ac:dyDescent="0.25">
      <c r="A742" s="24" t="s">
        <v>2158</v>
      </c>
      <c r="B742" s="38" t="s">
        <v>2121</v>
      </c>
      <c r="C742" s="100" t="s">
        <v>2159</v>
      </c>
      <c r="D742" s="25" t="s">
        <v>3282</v>
      </c>
      <c r="E742" s="25" t="s">
        <v>3283</v>
      </c>
      <c r="F742" s="64" t="s">
        <v>566</v>
      </c>
      <c r="G742" s="104">
        <v>1.1499999999999999</v>
      </c>
      <c r="H742" s="105" t="s">
        <v>3243</v>
      </c>
    </row>
    <row r="743" spans="1:8" ht="13.5" customHeight="1" x14ac:dyDescent="0.25">
      <c r="A743" s="13" t="s">
        <v>2160</v>
      </c>
      <c r="B743" s="49" t="s">
        <v>2121</v>
      </c>
      <c r="C743" s="101" t="s">
        <v>2161</v>
      </c>
      <c r="D743" s="14" t="s">
        <v>3282</v>
      </c>
      <c r="E743" s="14" t="s">
        <v>3283</v>
      </c>
      <c r="F743" s="64" t="s">
        <v>566</v>
      </c>
      <c r="G743" s="104">
        <v>1.1499999999999999</v>
      </c>
      <c r="H743" s="105" t="s">
        <v>3243</v>
      </c>
    </row>
    <row r="744" spans="1:8" ht="13.5" customHeight="1" x14ac:dyDescent="0.25">
      <c r="A744" s="24" t="s">
        <v>2162</v>
      </c>
      <c r="B744" s="38" t="s">
        <v>2121</v>
      </c>
      <c r="C744" s="100" t="s">
        <v>2163</v>
      </c>
      <c r="D744" s="25" t="s">
        <v>3282</v>
      </c>
      <c r="E744" s="25" t="s">
        <v>3283</v>
      </c>
      <c r="F744" s="64" t="s">
        <v>566</v>
      </c>
      <c r="G744" s="104">
        <v>1.1499999999999999</v>
      </c>
      <c r="H744" s="105" t="s">
        <v>3243</v>
      </c>
    </row>
    <row r="745" spans="1:8" ht="13.5" customHeight="1" x14ac:dyDescent="0.25">
      <c r="A745" s="13" t="s">
        <v>2164</v>
      </c>
      <c r="B745" s="49" t="s">
        <v>2121</v>
      </c>
      <c r="C745" s="101" t="s">
        <v>2165</v>
      </c>
      <c r="D745" s="14" t="s">
        <v>3282</v>
      </c>
      <c r="E745" s="14" t="s">
        <v>3283</v>
      </c>
      <c r="F745" s="64" t="s">
        <v>566</v>
      </c>
      <c r="G745" s="104">
        <v>1.1499999999999999</v>
      </c>
      <c r="H745" s="105" t="s">
        <v>3243</v>
      </c>
    </row>
    <row r="746" spans="1:8" ht="13.5" customHeight="1" x14ac:dyDescent="0.25">
      <c r="A746" s="24" t="s">
        <v>2166</v>
      </c>
      <c r="B746" s="38" t="s">
        <v>2121</v>
      </c>
      <c r="C746" s="100" t="s">
        <v>2167</v>
      </c>
      <c r="D746" s="25" t="s">
        <v>3282</v>
      </c>
      <c r="E746" s="25" t="s">
        <v>3283</v>
      </c>
      <c r="F746" s="64" t="s">
        <v>566</v>
      </c>
      <c r="G746" s="104">
        <v>1.1499999999999999</v>
      </c>
      <c r="H746" s="105" t="s">
        <v>3243</v>
      </c>
    </row>
    <row r="747" spans="1:8" ht="13.5" customHeight="1" x14ac:dyDescent="0.25">
      <c r="A747" s="13" t="s">
        <v>2168</v>
      </c>
      <c r="B747" s="49" t="s">
        <v>2121</v>
      </c>
      <c r="C747" s="101" t="s">
        <v>2169</v>
      </c>
      <c r="D747" s="14" t="s">
        <v>3284</v>
      </c>
      <c r="E747" s="14" t="s">
        <v>3283</v>
      </c>
      <c r="F747" s="64" t="s">
        <v>566</v>
      </c>
      <c r="G747" s="104">
        <v>1.1499999999999999</v>
      </c>
      <c r="H747" s="105" t="s">
        <v>3243</v>
      </c>
    </row>
    <row r="748" spans="1:8" ht="13.5" customHeight="1" x14ac:dyDescent="0.25">
      <c r="A748" s="24" t="s">
        <v>2171</v>
      </c>
      <c r="B748" s="38" t="s">
        <v>2121</v>
      </c>
      <c r="C748" s="100" t="s">
        <v>2172</v>
      </c>
      <c r="D748" s="25" t="s">
        <v>3284</v>
      </c>
      <c r="E748" s="25" t="s">
        <v>3283</v>
      </c>
      <c r="F748" s="64" t="s">
        <v>566</v>
      </c>
      <c r="G748" s="104">
        <v>1.1499999999999999</v>
      </c>
      <c r="H748" s="105" t="s">
        <v>3243</v>
      </c>
    </row>
    <row r="749" spans="1:8" ht="13.5" customHeight="1" x14ac:dyDescent="0.25">
      <c r="A749" s="13" t="s">
        <v>2173</v>
      </c>
      <c r="B749" s="49" t="s">
        <v>2121</v>
      </c>
      <c r="C749" s="101" t="s">
        <v>2174</v>
      </c>
      <c r="D749" s="14" t="s">
        <v>3284</v>
      </c>
      <c r="E749" s="14" t="s">
        <v>3283</v>
      </c>
      <c r="F749" s="64" t="s">
        <v>566</v>
      </c>
      <c r="G749" s="104">
        <v>1.1499999999999999</v>
      </c>
      <c r="H749" s="105" t="s">
        <v>3243</v>
      </c>
    </row>
    <row r="750" spans="1:8" ht="13.5" customHeight="1" x14ac:dyDescent="0.25">
      <c r="A750" s="24" t="s">
        <v>2175</v>
      </c>
      <c r="B750" s="38" t="s">
        <v>2121</v>
      </c>
      <c r="C750" s="100" t="s">
        <v>2176</v>
      </c>
      <c r="D750" s="25" t="s">
        <v>3284</v>
      </c>
      <c r="E750" s="25" t="s">
        <v>3283</v>
      </c>
      <c r="F750" s="64" t="s">
        <v>566</v>
      </c>
      <c r="G750" s="104">
        <v>1.1499999999999999</v>
      </c>
      <c r="H750" s="105" t="s">
        <v>3243</v>
      </c>
    </row>
    <row r="751" spans="1:8" ht="13.5" customHeight="1" x14ac:dyDescent="0.25">
      <c r="A751" s="13" t="s">
        <v>2177</v>
      </c>
      <c r="B751" s="49" t="s">
        <v>2121</v>
      </c>
      <c r="C751" s="101" t="s">
        <v>2178</v>
      </c>
      <c r="D751" s="14" t="s">
        <v>3284</v>
      </c>
      <c r="E751" s="14" t="s">
        <v>3283</v>
      </c>
      <c r="F751" s="64" t="s">
        <v>566</v>
      </c>
      <c r="G751" s="104">
        <v>1.1499999999999999</v>
      </c>
      <c r="H751" s="105" t="s">
        <v>3243</v>
      </c>
    </row>
    <row r="752" spans="1:8" ht="13.5" customHeight="1" x14ac:dyDescent="0.25">
      <c r="A752" s="24" t="s">
        <v>2179</v>
      </c>
      <c r="B752" s="38" t="s">
        <v>2121</v>
      </c>
      <c r="C752" s="100" t="s">
        <v>2180</v>
      </c>
      <c r="D752" s="25" t="s">
        <v>3284</v>
      </c>
      <c r="E752" s="25" t="s">
        <v>3283</v>
      </c>
      <c r="F752" s="64" t="s">
        <v>566</v>
      </c>
      <c r="G752" s="104">
        <v>1.1499999999999999</v>
      </c>
      <c r="H752" s="105" t="s">
        <v>3243</v>
      </c>
    </row>
    <row r="753" spans="1:8" ht="13.5" customHeight="1" x14ac:dyDescent="0.25">
      <c r="A753" s="13" t="s">
        <v>2181</v>
      </c>
      <c r="B753" s="49" t="s">
        <v>2121</v>
      </c>
      <c r="C753" s="101" t="s">
        <v>2182</v>
      </c>
      <c r="D753" s="14" t="s">
        <v>3284</v>
      </c>
      <c r="E753" s="14" t="s">
        <v>3283</v>
      </c>
      <c r="F753" s="64" t="s">
        <v>566</v>
      </c>
      <c r="G753" s="104">
        <v>1.1499999999999999</v>
      </c>
      <c r="H753" s="105" t="s">
        <v>3243</v>
      </c>
    </row>
    <row r="754" spans="1:8" ht="13.5" customHeight="1" x14ac:dyDescent="0.25">
      <c r="A754" s="24" t="s">
        <v>2183</v>
      </c>
      <c r="B754" s="38" t="s">
        <v>2121</v>
      </c>
      <c r="C754" s="100" t="s">
        <v>2184</v>
      </c>
      <c r="D754" s="25" t="s">
        <v>3284</v>
      </c>
      <c r="E754" s="25" t="s">
        <v>3283</v>
      </c>
      <c r="F754" s="64" t="s">
        <v>566</v>
      </c>
      <c r="G754" s="104">
        <v>1.1499999999999999</v>
      </c>
      <c r="H754" s="105" t="s">
        <v>3243</v>
      </c>
    </row>
    <row r="755" spans="1:8" ht="13.5" customHeight="1" x14ac:dyDescent="0.25">
      <c r="A755" s="13" t="s">
        <v>2185</v>
      </c>
      <c r="B755" s="49" t="s">
        <v>2121</v>
      </c>
      <c r="C755" s="101" t="s">
        <v>2186</v>
      </c>
      <c r="D755" s="14" t="s">
        <v>3284</v>
      </c>
      <c r="E755" s="14" t="s">
        <v>3283</v>
      </c>
      <c r="F755" s="64" t="s">
        <v>566</v>
      </c>
      <c r="G755" s="104">
        <v>1.1499999999999999</v>
      </c>
      <c r="H755" s="105" t="s">
        <v>3243</v>
      </c>
    </row>
    <row r="756" spans="1:8" ht="13.5" customHeight="1" x14ac:dyDescent="0.25">
      <c r="A756" s="24" t="s">
        <v>2187</v>
      </c>
      <c r="B756" s="38" t="s">
        <v>2121</v>
      </c>
      <c r="C756" s="100" t="s">
        <v>2188</v>
      </c>
      <c r="D756" s="25" t="s">
        <v>3284</v>
      </c>
      <c r="E756" s="25" t="s">
        <v>3283</v>
      </c>
      <c r="F756" s="64" t="s">
        <v>566</v>
      </c>
      <c r="G756" s="104">
        <v>1.1499999999999999</v>
      </c>
      <c r="H756" s="105" t="s">
        <v>3243</v>
      </c>
    </row>
    <row r="757" spans="1:8" ht="13.5" customHeight="1" x14ac:dyDescent="0.25">
      <c r="A757" s="13" t="s">
        <v>2189</v>
      </c>
      <c r="B757" s="49" t="s">
        <v>2121</v>
      </c>
      <c r="C757" s="101" t="s">
        <v>2190</v>
      </c>
      <c r="D757" s="14" t="s">
        <v>3284</v>
      </c>
      <c r="E757" s="14" t="s">
        <v>3283</v>
      </c>
      <c r="F757" s="64" t="s">
        <v>566</v>
      </c>
      <c r="G757" s="104">
        <v>1.1499999999999999</v>
      </c>
      <c r="H757" s="105" t="s">
        <v>3243</v>
      </c>
    </row>
    <row r="758" spans="1:8" ht="13.5" customHeight="1" x14ac:dyDescent="0.25">
      <c r="A758" s="24" t="s">
        <v>2191</v>
      </c>
      <c r="B758" s="38" t="s">
        <v>2121</v>
      </c>
      <c r="C758" s="100" t="s">
        <v>2192</v>
      </c>
      <c r="D758" s="25" t="s">
        <v>3284</v>
      </c>
      <c r="E758" s="25" t="s">
        <v>3283</v>
      </c>
      <c r="F758" s="64" t="s">
        <v>566</v>
      </c>
      <c r="G758" s="104">
        <v>1.1499999999999999</v>
      </c>
      <c r="H758" s="105" t="s">
        <v>3243</v>
      </c>
    </row>
    <row r="759" spans="1:8" ht="13.5" customHeight="1" x14ac:dyDescent="0.25">
      <c r="A759" s="13" t="s">
        <v>2193</v>
      </c>
      <c r="B759" s="49" t="s">
        <v>2121</v>
      </c>
      <c r="C759" s="101" t="s">
        <v>2194</v>
      </c>
      <c r="D759" s="14" t="s">
        <v>3284</v>
      </c>
      <c r="E759" s="14" t="s">
        <v>3283</v>
      </c>
      <c r="F759" s="64" t="s">
        <v>566</v>
      </c>
      <c r="G759" s="104">
        <v>1.1499999999999999</v>
      </c>
      <c r="H759" s="105" t="s">
        <v>3243</v>
      </c>
    </row>
    <row r="760" spans="1:8" ht="13.5" customHeight="1" x14ac:dyDescent="0.25">
      <c r="A760" s="24" t="s">
        <v>2195</v>
      </c>
      <c r="B760" s="38" t="s">
        <v>2121</v>
      </c>
      <c r="C760" s="100" t="s">
        <v>2196</v>
      </c>
      <c r="D760" s="25" t="s">
        <v>3284</v>
      </c>
      <c r="E760" s="25" t="s">
        <v>3283</v>
      </c>
      <c r="F760" s="64" t="s">
        <v>566</v>
      </c>
      <c r="G760" s="104">
        <v>1.1499999999999999</v>
      </c>
      <c r="H760" s="105" t="s">
        <v>3243</v>
      </c>
    </row>
    <row r="761" spans="1:8" ht="13.5" customHeight="1" x14ac:dyDescent="0.25">
      <c r="A761" s="13" t="s">
        <v>2197</v>
      </c>
      <c r="B761" s="49" t="s">
        <v>2121</v>
      </c>
      <c r="C761" s="101" t="s">
        <v>2198</v>
      </c>
      <c r="D761" s="14" t="s">
        <v>3284</v>
      </c>
      <c r="E761" s="14" t="s">
        <v>3283</v>
      </c>
      <c r="F761" s="64" t="s">
        <v>566</v>
      </c>
      <c r="G761" s="104">
        <v>1.1499999999999999</v>
      </c>
      <c r="H761" s="105" t="s">
        <v>3243</v>
      </c>
    </row>
    <row r="762" spans="1:8" ht="13.5" customHeight="1" x14ac:dyDescent="0.25">
      <c r="A762" s="24" t="s">
        <v>2199</v>
      </c>
      <c r="B762" s="38" t="s">
        <v>2121</v>
      </c>
      <c r="C762" s="100" t="s">
        <v>2200</v>
      </c>
      <c r="D762" s="25" t="s">
        <v>2201</v>
      </c>
      <c r="E762" s="25" t="s">
        <v>3283</v>
      </c>
      <c r="F762" s="64" t="s">
        <v>566</v>
      </c>
      <c r="G762" s="104">
        <v>1.1499999999999999</v>
      </c>
      <c r="H762" s="105" t="s">
        <v>3243</v>
      </c>
    </row>
    <row r="763" spans="1:8" ht="13.5" customHeight="1" x14ac:dyDescent="0.25">
      <c r="A763" s="13" t="s">
        <v>2202</v>
      </c>
      <c r="B763" s="49" t="s">
        <v>2121</v>
      </c>
      <c r="C763" s="101" t="s">
        <v>2203</v>
      </c>
      <c r="D763" s="14" t="s">
        <v>2201</v>
      </c>
      <c r="E763" s="14" t="s">
        <v>3283</v>
      </c>
      <c r="F763" s="64" t="s">
        <v>566</v>
      </c>
      <c r="G763" s="104">
        <v>1.1499999999999999</v>
      </c>
      <c r="H763" s="105" t="s">
        <v>3243</v>
      </c>
    </row>
    <row r="764" spans="1:8" ht="13.5" customHeight="1" x14ac:dyDescent="0.25">
      <c r="A764" s="24" t="s">
        <v>2204</v>
      </c>
      <c r="B764" s="38" t="s">
        <v>2121</v>
      </c>
      <c r="C764" s="100" t="s">
        <v>2205</v>
      </c>
      <c r="D764" s="25" t="s">
        <v>2201</v>
      </c>
      <c r="E764" s="25" t="s">
        <v>3283</v>
      </c>
      <c r="F764" s="64" t="s">
        <v>566</v>
      </c>
      <c r="G764" s="104">
        <v>1.1499999999999999</v>
      </c>
      <c r="H764" s="105" t="s">
        <v>3243</v>
      </c>
    </row>
    <row r="765" spans="1:8" ht="13.5" customHeight="1" x14ac:dyDescent="0.25">
      <c r="A765" s="13" t="s">
        <v>2206</v>
      </c>
      <c r="B765" s="49" t="s">
        <v>2121</v>
      </c>
      <c r="C765" s="101" t="s">
        <v>2207</v>
      </c>
      <c r="D765" s="14" t="s">
        <v>2201</v>
      </c>
      <c r="E765" s="14" t="s">
        <v>3283</v>
      </c>
      <c r="F765" s="64" t="s">
        <v>566</v>
      </c>
      <c r="G765" s="104">
        <v>1.1499999999999999</v>
      </c>
      <c r="H765" s="105" t="s">
        <v>3243</v>
      </c>
    </row>
    <row r="766" spans="1:8" ht="13.5" customHeight="1" x14ac:dyDescent="0.25">
      <c r="A766" s="24" t="s">
        <v>2208</v>
      </c>
      <c r="B766" s="38" t="s">
        <v>2121</v>
      </c>
      <c r="C766" s="100" t="s">
        <v>2209</v>
      </c>
      <c r="D766" s="25" t="s">
        <v>2201</v>
      </c>
      <c r="E766" s="25" t="s">
        <v>3283</v>
      </c>
      <c r="F766" s="64" t="s">
        <v>566</v>
      </c>
      <c r="G766" s="104">
        <v>1.1499999999999999</v>
      </c>
      <c r="H766" s="105" t="s">
        <v>3243</v>
      </c>
    </row>
    <row r="767" spans="1:8" ht="13.5" customHeight="1" x14ac:dyDescent="0.25">
      <c r="A767" s="13" t="s">
        <v>2210</v>
      </c>
      <c r="B767" s="49" t="s">
        <v>2121</v>
      </c>
      <c r="C767" s="101" t="s">
        <v>2211</v>
      </c>
      <c r="D767" s="14" t="s">
        <v>3285</v>
      </c>
      <c r="E767" s="14" t="s">
        <v>3283</v>
      </c>
      <c r="F767" s="40" t="s">
        <v>477</v>
      </c>
      <c r="G767" s="102">
        <v>1</v>
      </c>
      <c r="H767" s="105" t="s">
        <v>3243</v>
      </c>
    </row>
    <row r="768" spans="1:8" ht="13.5" customHeight="1" x14ac:dyDescent="0.25">
      <c r="A768" s="24" t="s">
        <v>2213</v>
      </c>
      <c r="B768" s="38" t="s">
        <v>2121</v>
      </c>
      <c r="C768" s="100" t="s">
        <v>2214</v>
      </c>
      <c r="D768" s="25" t="s">
        <v>3285</v>
      </c>
      <c r="E768" s="25" t="s">
        <v>3283</v>
      </c>
      <c r="F768" s="40" t="s">
        <v>477</v>
      </c>
      <c r="G768" s="102">
        <v>1</v>
      </c>
      <c r="H768" s="105" t="s">
        <v>3243</v>
      </c>
    </row>
    <row r="769" spans="1:8" ht="13.5" customHeight="1" x14ac:dyDescent="0.25">
      <c r="A769" s="13" t="s">
        <v>2215</v>
      </c>
      <c r="B769" s="49" t="s">
        <v>2121</v>
      </c>
      <c r="C769" s="101" t="s">
        <v>2216</v>
      </c>
      <c r="D769" s="14" t="s">
        <v>3285</v>
      </c>
      <c r="E769" s="14" t="s">
        <v>3283</v>
      </c>
      <c r="F769" s="40" t="s">
        <v>477</v>
      </c>
      <c r="G769" s="102">
        <v>1</v>
      </c>
      <c r="H769" s="105" t="s">
        <v>3243</v>
      </c>
    </row>
    <row r="770" spans="1:8" ht="13.5" customHeight="1" x14ac:dyDescent="0.25">
      <c r="A770" s="24" t="s">
        <v>2217</v>
      </c>
      <c r="B770" s="38" t="s">
        <v>2121</v>
      </c>
      <c r="C770" s="100" t="s">
        <v>2218</v>
      </c>
      <c r="D770" s="25" t="s">
        <v>3285</v>
      </c>
      <c r="E770" s="25" t="s">
        <v>3283</v>
      </c>
      <c r="F770" s="40" t="s">
        <v>477</v>
      </c>
      <c r="G770" s="102">
        <v>1</v>
      </c>
      <c r="H770" s="105" t="s">
        <v>3243</v>
      </c>
    </row>
    <row r="771" spans="1:8" ht="13.5" customHeight="1" x14ac:dyDescent="0.25">
      <c r="A771" s="13" t="s">
        <v>2219</v>
      </c>
      <c r="B771" s="49" t="s">
        <v>2121</v>
      </c>
      <c r="C771" s="101" t="s">
        <v>2220</v>
      </c>
      <c r="D771" s="14" t="s">
        <v>3285</v>
      </c>
      <c r="E771" s="14" t="s">
        <v>3283</v>
      </c>
      <c r="F771" s="40" t="s">
        <v>477</v>
      </c>
      <c r="G771" s="102">
        <v>1</v>
      </c>
      <c r="H771" s="105" t="s">
        <v>3243</v>
      </c>
    </row>
    <row r="772" spans="1:8" ht="13.5" customHeight="1" x14ac:dyDescent="0.25">
      <c r="A772" s="24" t="s">
        <v>2221</v>
      </c>
      <c r="B772" s="38" t="s">
        <v>2121</v>
      </c>
      <c r="C772" s="100" t="s">
        <v>2222</v>
      </c>
      <c r="D772" s="25" t="s">
        <v>3285</v>
      </c>
      <c r="E772" s="25" t="s">
        <v>3283</v>
      </c>
      <c r="F772" s="40" t="s">
        <v>477</v>
      </c>
      <c r="G772" s="102">
        <v>1</v>
      </c>
      <c r="H772" s="105" t="s">
        <v>3243</v>
      </c>
    </row>
    <row r="773" spans="1:8" ht="13.5" customHeight="1" x14ac:dyDescent="0.25">
      <c r="A773" s="13" t="s">
        <v>2223</v>
      </c>
      <c r="B773" s="49" t="s">
        <v>2121</v>
      </c>
      <c r="C773" s="101" t="s">
        <v>2224</v>
      </c>
      <c r="D773" s="14" t="s">
        <v>3285</v>
      </c>
      <c r="E773" s="14" t="s">
        <v>3283</v>
      </c>
      <c r="F773" s="40" t="s">
        <v>477</v>
      </c>
      <c r="G773" s="102">
        <v>1</v>
      </c>
      <c r="H773" s="105" t="s">
        <v>3243</v>
      </c>
    </row>
    <row r="774" spans="1:8" ht="13.5" customHeight="1" x14ac:dyDescent="0.25">
      <c r="A774" s="24" t="s">
        <v>2225</v>
      </c>
      <c r="B774" s="38" t="s">
        <v>2121</v>
      </c>
      <c r="C774" s="100" t="s">
        <v>2226</v>
      </c>
      <c r="D774" s="25" t="s">
        <v>3285</v>
      </c>
      <c r="E774" s="25" t="s">
        <v>3283</v>
      </c>
      <c r="F774" s="40" t="s">
        <v>477</v>
      </c>
      <c r="G774" s="102">
        <v>1</v>
      </c>
      <c r="H774" s="105" t="s">
        <v>3243</v>
      </c>
    </row>
    <row r="775" spans="1:8" ht="13.5" customHeight="1" x14ac:dyDescent="0.25">
      <c r="A775" s="13" t="s">
        <v>2227</v>
      </c>
      <c r="B775" s="49" t="s">
        <v>2121</v>
      </c>
      <c r="C775" s="101" t="s">
        <v>2228</v>
      </c>
      <c r="D775" s="14" t="s">
        <v>3285</v>
      </c>
      <c r="E775" s="14" t="s">
        <v>3283</v>
      </c>
      <c r="F775" s="40" t="s">
        <v>477</v>
      </c>
      <c r="G775" s="102">
        <v>1</v>
      </c>
      <c r="H775" s="105" t="s">
        <v>3243</v>
      </c>
    </row>
    <row r="776" spans="1:8" ht="13.5" customHeight="1" x14ac:dyDescent="0.25">
      <c r="A776" s="24" t="s">
        <v>2229</v>
      </c>
      <c r="B776" s="38" t="s">
        <v>2121</v>
      </c>
      <c r="C776" s="100" t="s">
        <v>2230</v>
      </c>
      <c r="D776" s="25" t="s">
        <v>3285</v>
      </c>
      <c r="E776" s="25" t="s">
        <v>3283</v>
      </c>
      <c r="F776" s="40" t="s">
        <v>477</v>
      </c>
      <c r="G776" s="102">
        <v>1</v>
      </c>
      <c r="H776" s="105" t="s">
        <v>3243</v>
      </c>
    </row>
    <row r="777" spans="1:8" ht="13.5" customHeight="1" x14ac:dyDescent="0.25">
      <c r="A777" s="13" t="s">
        <v>2231</v>
      </c>
      <c r="B777" s="49" t="s">
        <v>2121</v>
      </c>
      <c r="C777" s="101" t="s">
        <v>2232</v>
      </c>
      <c r="D777" s="14" t="s">
        <v>3285</v>
      </c>
      <c r="E777" s="14" t="s">
        <v>3283</v>
      </c>
      <c r="F777" s="40" t="s">
        <v>477</v>
      </c>
      <c r="G777" s="102">
        <v>1</v>
      </c>
      <c r="H777" s="105" t="s">
        <v>3243</v>
      </c>
    </row>
    <row r="778" spans="1:8" ht="13.5" customHeight="1" x14ac:dyDescent="0.25">
      <c r="A778" s="24" t="s">
        <v>2233</v>
      </c>
      <c r="B778" s="38" t="s">
        <v>2121</v>
      </c>
      <c r="C778" s="100" t="s">
        <v>2234</v>
      </c>
      <c r="D778" s="25" t="s">
        <v>3285</v>
      </c>
      <c r="E778" s="25" t="s">
        <v>3283</v>
      </c>
      <c r="F778" s="40" t="s">
        <v>477</v>
      </c>
      <c r="G778" s="102">
        <v>1</v>
      </c>
      <c r="H778" s="105" t="s">
        <v>3243</v>
      </c>
    </row>
    <row r="779" spans="1:8" ht="13.5" customHeight="1" x14ac:dyDescent="0.25">
      <c r="A779" s="13" t="s">
        <v>2235</v>
      </c>
      <c r="B779" s="49" t="s">
        <v>2121</v>
      </c>
      <c r="C779" s="101" t="s">
        <v>2236</v>
      </c>
      <c r="D779" s="14" t="s">
        <v>3285</v>
      </c>
      <c r="E779" s="14" t="s">
        <v>3283</v>
      </c>
      <c r="F779" s="40" t="s">
        <v>477</v>
      </c>
      <c r="G779" s="102">
        <v>1</v>
      </c>
      <c r="H779" s="105" t="s">
        <v>3243</v>
      </c>
    </row>
    <row r="780" spans="1:8" ht="13.5" customHeight="1" x14ac:dyDescent="0.25">
      <c r="A780" s="24" t="s">
        <v>2237</v>
      </c>
      <c r="B780" s="38" t="s">
        <v>2121</v>
      </c>
      <c r="C780" s="100" t="s">
        <v>2238</v>
      </c>
      <c r="D780" s="25" t="s">
        <v>3285</v>
      </c>
      <c r="E780" s="25" t="s">
        <v>3283</v>
      </c>
      <c r="F780" s="40" t="s">
        <v>477</v>
      </c>
      <c r="G780" s="102">
        <v>1</v>
      </c>
      <c r="H780" s="105" t="s">
        <v>3243</v>
      </c>
    </row>
    <row r="781" spans="1:8" ht="13.5" customHeight="1" x14ac:dyDescent="0.25">
      <c r="A781" s="13" t="s">
        <v>2239</v>
      </c>
      <c r="B781" s="49" t="s">
        <v>2121</v>
      </c>
      <c r="C781" s="101" t="s">
        <v>2240</v>
      </c>
      <c r="D781" s="14" t="s">
        <v>3285</v>
      </c>
      <c r="E781" s="14" t="s">
        <v>3283</v>
      </c>
      <c r="F781" s="40" t="s">
        <v>477</v>
      </c>
      <c r="G781" s="102">
        <v>1</v>
      </c>
      <c r="H781" s="105" t="s">
        <v>3243</v>
      </c>
    </row>
    <row r="782" spans="1:8" ht="13.5" customHeight="1" x14ac:dyDescent="0.25">
      <c r="A782" s="24" t="s">
        <v>2241</v>
      </c>
      <c r="B782" s="38" t="s">
        <v>2121</v>
      </c>
      <c r="C782" s="100" t="s">
        <v>2242</v>
      </c>
      <c r="D782" s="25" t="s">
        <v>3285</v>
      </c>
      <c r="E782" s="25" t="s">
        <v>3283</v>
      </c>
      <c r="F782" s="40" t="s">
        <v>477</v>
      </c>
      <c r="G782" s="102">
        <v>1</v>
      </c>
      <c r="H782" s="105" t="s">
        <v>3243</v>
      </c>
    </row>
    <row r="783" spans="1:8" ht="13.5" customHeight="1" x14ac:dyDescent="0.25">
      <c r="A783" s="13" t="s">
        <v>2243</v>
      </c>
      <c r="B783" s="49" t="s">
        <v>2121</v>
      </c>
      <c r="C783" s="101" t="s">
        <v>2244</v>
      </c>
      <c r="D783" s="14" t="s">
        <v>3285</v>
      </c>
      <c r="E783" s="14" t="s">
        <v>3283</v>
      </c>
      <c r="F783" s="40" t="s">
        <v>477</v>
      </c>
      <c r="G783" s="102">
        <v>1</v>
      </c>
      <c r="H783" s="105" t="s">
        <v>3243</v>
      </c>
    </row>
    <row r="784" spans="1:8" ht="13.5" customHeight="1" x14ac:dyDescent="0.25">
      <c r="A784" s="24" t="s">
        <v>2245</v>
      </c>
      <c r="B784" s="38" t="s">
        <v>2121</v>
      </c>
      <c r="C784" s="100" t="s">
        <v>2246</v>
      </c>
      <c r="D784" s="25" t="s">
        <v>3285</v>
      </c>
      <c r="E784" s="25" t="s">
        <v>3283</v>
      </c>
      <c r="F784" s="40" t="s">
        <v>477</v>
      </c>
      <c r="G784" s="102">
        <v>1</v>
      </c>
      <c r="H784" s="105" t="s">
        <v>3243</v>
      </c>
    </row>
    <row r="785" spans="1:8" ht="13.5" customHeight="1" x14ac:dyDescent="0.25">
      <c r="A785" s="13" t="s">
        <v>2247</v>
      </c>
      <c r="B785" s="49" t="s">
        <v>2121</v>
      </c>
      <c r="C785" s="101" t="s">
        <v>2248</v>
      </c>
      <c r="D785" s="14" t="s">
        <v>3285</v>
      </c>
      <c r="E785" s="14" t="s">
        <v>3283</v>
      </c>
      <c r="F785" s="40" t="s">
        <v>477</v>
      </c>
      <c r="G785" s="102">
        <v>1</v>
      </c>
      <c r="H785" s="105" t="s">
        <v>3243</v>
      </c>
    </row>
    <row r="786" spans="1:8" ht="13.5" customHeight="1" x14ac:dyDescent="0.25">
      <c r="A786" s="24" t="s">
        <v>2249</v>
      </c>
      <c r="B786" s="38" t="s">
        <v>2121</v>
      </c>
      <c r="C786" s="100" t="s">
        <v>2250</v>
      </c>
      <c r="D786" s="25" t="s">
        <v>3285</v>
      </c>
      <c r="E786" s="25" t="s">
        <v>3283</v>
      </c>
      <c r="F786" s="40" t="s">
        <v>477</v>
      </c>
      <c r="G786" s="102">
        <v>1</v>
      </c>
      <c r="H786" s="105" t="s">
        <v>3243</v>
      </c>
    </row>
    <row r="787" spans="1:8" ht="13.5" customHeight="1" x14ac:dyDescent="0.25">
      <c r="A787" s="13" t="s">
        <v>2251</v>
      </c>
      <c r="B787" s="49" t="s">
        <v>2121</v>
      </c>
      <c r="C787" s="101" t="s">
        <v>2252</v>
      </c>
      <c r="D787" s="14" t="s">
        <v>3285</v>
      </c>
      <c r="E787" s="14" t="s">
        <v>3283</v>
      </c>
      <c r="F787" s="40" t="s">
        <v>477</v>
      </c>
      <c r="G787" s="102">
        <v>1</v>
      </c>
      <c r="H787" s="105" t="s">
        <v>3243</v>
      </c>
    </row>
    <row r="788" spans="1:8" ht="13.5" customHeight="1" x14ac:dyDescent="0.25">
      <c r="A788" s="24" t="s">
        <v>2253</v>
      </c>
      <c r="B788" s="38" t="s">
        <v>2121</v>
      </c>
      <c r="C788" s="100" t="s">
        <v>2254</v>
      </c>
      <c r="D788" s="25" t="s">
        <v>3285</v>
      </c>
      <c r="E788" s="25" t="s">
        <v>3283</v>
      </c>
      <c r="F788" s="40" t="s">
        <v>477</v>
      </c>
      <c r="G788" s="102">
        <v>1</v>
      </c>
      <c r="H788" s="105" t="s">
        <v>3243</v>
      </c>
    </row>
    <row r="789" spans="1:8" ht="13.5" customHeight="1" x14ac:dyDescent="0.25">
      <c r="A789" s="13" t="s">
        <v>2255</v>
      </c>
      <c r="B789" s="49" t="s">
        <v>2121</v>
      </c>
      <c r="C789" s="101" t="s">
        <v>2256</v>
      </c>
      <c r="D789" s="14" t="s">
        <v>3285</v>
      </c>
      <c r="E789" s="14" t="s">
        <v>3283</v>
      </c>
      <c r="F789" s="40" t="s">
        <v>477</v>
      </c>
      <c r="G789" s="102">
        <v>1</v>
      </c>
      <c r="H789" s="105" t="s">
        <v>3243</v>
      </c>
    </row>
    <row r="790" spans="1:8" ht="13.5" customHeight="1" x14ac:dyDescent="0.25">
      <c r="A790" s="24" t="s">
        <v>2257</v>
      </c>
      <c r="B790" s="38" t="s">
        <v>2121</v>
      </c>
      <c r="C790" s="100" t="s">
        <v>2258</v>
      </c>
      <c r="D790" s="25" t="s">
        <v>3286</v>
      </c>
      <c r="E790" s="25" t="s">
        <v>3283</v>
      </c>
      <c r="F790" s="40" t="s">
        <v>477</v>
      </c>
      <c r="G790" s="102">
        <v>1</v>
      </c>
      <c r="H790" s="105" t="s">
        <v>3243</v>
      </c>
    </row>
    <row r="791" spans="1:8" ht="13.5" customHeight="1" x14ac:dyDescent="0.25">
      <c r="A791" s="13" t="s">
        <v>2260</v>
      </c>
      <c r="B791" s="49" t="s">
        <v>2121</v>
      </c>
      <c r="C791" s="101" t="s">
        <v>2261</v>
      </c>
      <c r="D791" s="14" t="s">
        <v>3286</v>
      </c>
      <c r="E791" s="14" t="s">
        <v>3283</v>
      </c>
      <c r="F791" s="40" t="s">
        <v>477</v>
      </c>
      <c r="G791" s="102">
        <v>1</v>
      </c>
      <c r="H791" s="105" t="s">
        <v>3243</v>
      </c>
    </row>
    <row r="792" spans="1:8" ht="13.5" customHeight="1" x14ac:dyDescent="0.25">
      <c r="A792" s="24" t="s">
        <v>2262</v>
      </c>
      <c r="B792" s="38" t="s">
        <v>2121</v>
      </c>
      <c r="C792" s="100" t="s">
        <v>2263</v>
      </c>
      <c r="D792" s="25" t="s">
        <v>3286</v>
      </c>
      <c r="E792" s="25" t="s">
        <v>3283</v>
      </c>
      <c r="F792" s="40" t="s">
        <v>477</v>
      </c>
      <c r="G792" s="102">
        <v>1</v>
      </c>
      <c r="H792" s="105" t="s">
        <v>3243</v>
      </c>
    </row>
    <row r="793" spans="1:8" ht="13.5" customHeight="1" x14ac:dyDescent="0.25">
      <c r="A793" s="13" t="s">
        <v>2264</v>
      </c>
      <c r="B793" s="49" t="s">
        <v>2121</v>
      </c>
      <c r="C793" s="101" t="s">
        <v>2265</v>
      </c>
      <c r="D793" s="14" t="s">
        <v>3286</v>
      </c>
      <c r="E793" s="14" t="s">
        <v>3283</v>
      </c>
      <c r="F793" s="40" t="s">
        <v>477</v>
      </c>
      <c r="G793" s="102">
        <v>1</v>
      </c>
      <c r="H793" s="105" t="s">
        <v>3243</v>
      </c>
    </row>
    <row r="794" spans="1:8" ht="13.5" customHeight="1" x14ac:dyDescent="0.25">
      <c r="A794" s="24" t="s">
        <v>2266</v>
      </c>
      <c r="B794" s="38" t="s">
        <v>2267</v>
      </c>
      <c r="C794" s="100" t="s">
        <v>2268</v>
      </c>
      <c r="D794" s="25" t="s">
        <v>2269</v>
      </c>
      <c r="E794" s="25" t="s">
        <v>3287</v>
      </c>
      <c r="F794" s="65" t="s">
        <v>841</v>
      </c>
      <c r="G794" s="106">
        <v>0.9</v>
      </c>
      <c r="H794" s="103" t="s">
        <v>3239</v>
      </c>
    </row>
    <row r="795" spans="1:8" ht="13.5" customHeight="1" x14ac:dyDescent="0.25">
      <c r="A795" s="13" t="s">
        <v>2270</v>
      </c>
      <c r="B795" s="49" t="s">
        <v>2267</v>
      </c>
      <c r="C795" s="101" t="s">
        <v>2271</v>
      </c>
      <c r="D795" s="14" t="s">
        <v>2269</v>
      </c>
      <c r="E795" s="14" t="s">
        <v>3287</v>
      </c>
      <c r="F795" s="65" t="s">
        <v>841</v>
      </c>
      <c r="G795" s="106">
        <v>0.9</v>
      </c>
      <c r="H795" s="103" t="s">
        <v>3239</v>
      </c>
    </row>
    <row r="796" spans="1:8" ht="13.5" customHeight="1" x14ac:dyDescent="0.25">
      <c r="A796" s="24" t="s">
        <v>2272</v>
      </c>
      <c r="B796" s="38" t="s">
        <v>2267</v>
      </c>
      <c r="C796" s="100" t="s">
        <v>2273</v>
      </c>
      <c r="D796" s="25" t="s">
        <v>2269</v>
      </c>
      <c r="E796" s="25" t="s">
        <v>3287</v>
      </c>
      <c r="F796" s="65" t="s">
        <v>841</v>
      </c>
      <c r="G796" s="106">
        <v>0.9</v>
      </c>
      <c r="H796" s="103" t="s">
        <v>3239</v>
      </c>
    </row>
    <row r="797" spans="1:8" ht="13.5" customHeight="1" x14ac:dyDescent="0.25">
      <c r="A797" s="13" t="s">
        <v>2274</v>
      </c>
      <c r="B797" s="49" t="s">
        <v>2267</v>
      </c>
      <c r="C797" s="101" t="s">
        <v>2275</v>
      </c>
      <c r="D797" s="14" t="s">
        <v>2269</v>
      </c>
      <c r="E797" s="14" t="s">
        <v>3287</v>
      </c>
      <c r="F797" s="65" t="s">
        <v>841</v>
      </c>
      <c r="G797" s="106">
        <v>0.9</v>
      </c>
      <c r="H797" s="103" t="s">
        <v>3239</v>
      </c>
    </row>
    <row r="798" spans="1:8" ht="13.5" customHeight="1" x14ac:dyDescent="0.25">
      <c r="A798" s="24" t="s">
        <v>2276</v>
      </c>
      <c r="B798" s="38" t="s">
        <v>2267</v>
      </c>
      <c r="C798" s="100" t="s">
        <v>2277</v>
      </c>
      <c r="D798" s="25" t="s">
        <v>2269</v>
      </c>
      <c r="E798" s="25" t="s">
        <v>3287</v>
      </c>
      <c r="F798" s="65" t="s">
        <v>841</v>
      </c>
      <c r="G798" s="106">
        <v>0.9</v>
      </c>
      <c r="H798" s="103" t="s">
        <v>3239</v>
      </c>
    </row>
    <row r="799" spans="1:8" ht="13.5" customHeight="1" x14ac:dyDescent="0.25">
      <c r="A799" s="13" t="s">
        <v>2278</v>
      </c>
      <c r="B799" s="49" t="s">
        <v>2267</v>
      </c>
      <c r="C799" s="101" t="s">
        <v>2279</v>
      </c>
      <c r="D799" s="14" t="s">
        <v>2269</v>
      </c>
      <c r="E799" s="14" t="s">
        <v>3287</v>
      </c>
      <c r="F799" s="65" t="s">
        <v>841</v>
      </c>
      <c r="G799" s="106">
        <v>0.9</v>
      </c>
      <c r="H799" s="103" t="s">
        <v>3239</v>
      </c>
    </row>
    <row r="800" spans="1:8" ht="13.5" customHeight="1" x14ac:dyDescent="0.25">
      <c r="A800" s="24" t="s">
        <v>2280</v>
      </c>
      <c r="B800" s="38" t="s">
        <v>2267</v>
      </c>
      <c r="C800" s="100" t="s">
        <v>2281</v>
      </c>
      <c r="D800" s="25" t="s">
        <v>2269</v>
      </c>
      <c r="E800" s="25" t="s">
        <v>3287</v>
      </c>
      <c r="F800" s="65" t="s">
        <v>841</v>
      </c>
      <c r="G800" s="106">
        <v>0.9</v>
      </c>
      <c r="H800" s="103" t="s">
        <v>3239</v>
      </c>
    </row>
    <row r="801" spans="1:8" ht="13.5" customHeight="1" x14ac:dyDescent="0.25">
      <c r="A801" s="13" t="s">
        <v>2282</v>
      </c>
      <c r="B801" s="49" t="s">
        <v>2267</v>
      </c>
      <c r="C801" s="101" t="s">
        <v>2283</v>
      </c>
      <c r="D801" s="14" t="s">
        <v>2284</v>
      </c>
      <c r="E801" s="14" t="s">
        <v>3287</v>
      </c>
      <c r="F801" s="40" t="s">
        <v>477</v>
      </c>
      <c r="G801" s="102">
        <v>1</v>
      </c>
      <c r="H801" s="103" t="s">
        <v>3239</v>
      </c>
    </row>
    <row r="802" spans="1:8" ht="13.5" customHeight="1" x14ac:dyDescent="0.25">
      <c r="A802" s="24" t="s">
        <v>2285</v>
      </c>
      <c r="B802" s="38" t="s">
        <v>2267</v>
      </c>
      <c r="C802" s="100" t="s">
        <v>2286</v>
      </c>
      <c r="D802" s="25" t="s">
        <v>2284</v>
      </c>
      <c r="E802" s="25" t="s">
        <v>3287</v>
      </c>
      <c r="F802" s="40" t="s">
        <v>477</v>
      </c>
      <c r="G802" s="102">
        <v>1</v>
      </c>
      <c r="H802" s="103" t="s">
        <v>3239</v>
      </c>
    </row>
    <row r="803" spans="1:8" ht="13.5" customHeight="1" x14ac:dyDescent="0.25">
      <c r="A803" s="13" t="s">
        <v>2287</v>
      </c>
      <c r="B803" s="49" t="s">
        <v>2267</v>
      </c>
      <c r="C803" s="101" t="s">
        <v>2288</v>
      </c>
      <c r="D803" s="14" t="s">
        <v>2284</v>
      </c>
      <c r="E803" s="14" t="s">
        <v>3287</v>
      </c>
      <c r="F803" s="40" t="s">
        <v>477</v>
      </c>
      <c r="G803" s="102">
        <v>1</v>
      </c>
      <c r="H803" s="103" t="s">
        <v>3239</v>
      </c>
    </row>
    <row r="804" spans="1:8" ht="13.5" customHeight="1" x14ac:dyDescent="0.25">
      <c r="A804" s="24" t="s">
        <v>2289</v>
      </c>
      <c r="B804" s="38" t="s">
        <v>2267</v>
      </c>
      <c r="C804" s="100" t="s">
        <v>2290</v>
      </c>
      <c r="D804" s="25" t="s">
        <v>2284</v>
      </c>
      <c r="E804" s="25" t="s">
        <v>3287</v>
      </c>
      <c r="F804" s="40" t="s">
        <v>477</v>
      </c>
      <c r="G804" s="102">
        <v>1</v>
      </c>
      <c r="H804" s="103" t="s">
        <v>3239</v>
      </c>
    </row>
    <row r="805" spans="1:8" ht="13.5" customHeight="1" x14ac:dyDescent="0.25">
      <c r="A805" s="13" t="s">
        <v>2291</v>
      </c>
      <c r="B805" s="49" t="s">
        <v>2267</v>
      </c>
      <c r="C805" s="101" t="s">
        <v>2292</v>
      </c>
      <c r="D805" s="14" t="s">
        <v>2284</v>
      </c>
      <c r="E805" s="14" t="s">
        <v>3287</v>
      </c>
      <c r="F805" s="40" t="s">
        <v>477</v>
      </c>
      <c r="G805" s="102">
        <v>1</v>
      </c>
      <c r="H805" s="103" t="s">
        <v>3239</v>
      </c>
    </row>
    <row r="806" spans="1:8" ht="13.5" customHeight="1" x14ac:dyDescent="0.25">
      <c r="A806" s="24" t="s">
        <v>2293</v>
      </c>
      <c r="B806" s="38" t="s">
        <v>2267</v>
      </c>
      <c r="C806" s="100" t="s">
        <v>2294</v>
      </c>
      <c r="D806" s="25" t="s">
        <v>2284</v>
      </c>
      <c r="E806" s="25" t="s">
        <v>3287</v>
      </c>
      <c r="F806" s="40" t="s">
        <v>477</v>
      </c>
      <c r="G806" s="102">
        <v>1</v>
      </c>
      <c r="H806" s="103" t="s">
        <v>3239</v>
      </c>
    </row>
    <row r="807" spans="1:8" ht="13.5" customHeight="1" x14ac:dyDescent="0.25">
      <c r="A807" s="13" t="s">
        <v>2295</v>
      </c>
      <c r="B807" s="49" t="s">
        <v>2267</v>
      </c>
      <c r="C807" s="101" t="s">
        <v>2296</v>
      </c>
      <c r="D807" s="14" t="s">
        <v>2284</v>
      </c>
      <c r="E807" s="14" t="s">
        <v>3287</v>
      </c>
      <c r="F807" s="40" t="s">
        <v>477</v>
      </c>
      <c r="G807" s="102">
        <v>1</v>
      </c>
      <c r="H807" s="103" t="s">
        <v>3239</v>
      </c>
    </row>
    <row r="808" spans="1:8" ht="13.5" customHeight="1" x14ac:dyDescent="0.25">
      <c r="A808" s="24" t="s">
        <v>2297</v>
      </c>
      <c r="B808" s="38" t="s">
        <v>2267</v>
      </c>
      <c r="C808" s="100" t="s">
        <v>2298</v>
      </c>
      <c r="D808" s="25" t="s">
        <v>2284</v>
      </c>
      <c r="E808" s="25" t="s">
        <v>3287</v>
      </c>
      <c r="F808" s="40" t="s">
        <v>477</v>
      </c>
      <c r="G808" s="102">
        <v>1</v>
      </c>
      <c r="H808" s="103" t="s">
        <v>3239</v>
      </c>
    </row>
    <row r="809" spans="1:8" ht="13.5" customHeight="1" x14ac:dyDescent="0.25">
      <c r="A809" s="13" t="s">
        <v>2299</v>
      </c>
      <c r="B809" s="49" t="s">
        <v>2267</v>
      </c>
      <c r="C809" s="101" t="s">
        <v>2300</v>
      </c>
      <c r="D809" s="14" t="s">
        <v>2284</v>
      </c>
      <c r="E809" s="14" t="s">
        <v>3287</v>
      </c>
      <c r="F809" s="40" t="s">
        <v>477</v>
      </c>
      <c r="G809" s="102">
        <v>1</v>
      </c>
      <c r="H809" s="103" t="s">
        <v>3239</v>
      </c>
    </row>
    <row r="810" spans="1:8" ht="13.5" customHeight="1" x14ac:dyDescent="0.25">
      <c r="A810" s="24" t="s">
        <v>2301</v>
      </c>
      <c r="B810" s="38" t="s">
        <v>2302</v>
      </c>
      <c r="C810" s="100" t="s">
        <v>2303</v>
      </c>
      <c r="D810" s="25" t="s">
        <v>3288</v>
      </c>
      <c r="E810" s="25" t="s">
        <v>3289</v>
      </c>
      <c r="F810" s="65" t="s">
        <v>841</v>
      </c>
      <c r="G810" s="106">
        <v>0.9</v>
      </c>
      <c r="H810" s="103" t="s">
        <v>3239</v>
      </c>
    </row>
    <row r="811" spans="1:8" ht="13.5" customHeight="1" x14ac:dyDescent="0.25">
      <c r="A811" s="13" t="s">
        <v>2305</v>
      </c>
      <c r="B811" s="49" t="s">
        <v>2302</v>
      </c>
      <c r="C811" s="101" t="s">
        <v>2306</v>
      </c>
      <c r="D811" s="14" t="s">
        <v>3288</v>
      </c>
      <c r="E811" s="14" t="s">
        <v>3289</v>
      </c>
      <c r="F811" s="65" t="s">
        <v>841</v>
      </c>
      <c r="G811" s="106">
        <v>0.9</v>
      </c>
      <c r="H811" s="103" t="s">
        <v>3239</v>
      </c>
    </row>
    <row r="812" spans="1:8" ht="13.5" customHeight="1" x14ac:dyDescent="0.25">
      <c r="A812" s="24" t="s">
        <v>2307</v>
      </c>
      <c r="B812" s="38" t="s">
        <v>2302</v>
      </c>
      <c r="C812" s="100" t="s">
        <v>2308</v>
      </c>
      <c r="D812" s="25" t="s">
        <v>3288</v>
      </c>
      <c r="E812" s="25" t="s">
        <v>3289</v>
      </c>
      <c r="F812" s="65" t="s">
        <v>841</v>
      </c>
      <c r="G812" s="106">
        <v>0.9</v>
      </c>
      <c r="H812" s="103" t="s">
        <v>3239</v>
      </c>
    </row>
    <row r="813" spans="1:8" ht="13.5" customHeight="1" x14ac:dyDescent="0.25">
      <c r="A813" s="13" t="s">
        <v>2309</v>
      </c>
      <c r="B813" s="49" t="s">
        <v>2302</v>
      </c>
      <c r="C813" s="101" t="s">
        <v>2310</v>
      </c>
      <c r="D813" s="14" t="s">
        <v>3288</v>
      </c>
      <c r="E813" s="14" t="s">
        <v>3289</v>
      </c>
      <c r="F813" s="65" t="s">
        <v>841</v>
      </c>
      <c r="G813" s="106">
        <v>0.9</v>
      </c>
      <c r="H813" s="103" t="s">
        <v>3239</v>
      </c>
    </row>
    <row r="814" spans="1:8" ht="13.5" customHeight="1" x14ac:dyDescent="0.25">
      <c r="A814" s="24" t="s">
        <v>2311</v>
      </c>
      <c r="B814" s="38" t="s">
        <v>2302</v>
      </c>
      <c r="C814" s="100" t="s">
        <v>2312</v>
      </c>
      <c r="D814" s="25" t="s">
        <v>3288</v>
      </c>
      <c r="E814" s="25" t="s">
        <v>3289</v>
      </c>
      <c r="F814" s="65" t="s">
        <v>841</v>
      </c>
      <c r="G814" s="106">
        <v>0.9</v>
      </c>
      <c r="H814" s="103" t="s">
        <v>3239</v>
      </c>
    </row>
    <row r="815" spans="1:8" ht="13.5" customHeight="1" x14ac:dyDescent="0.25">
      <c r="A815" s="13" t="s">
        <v>2313</v>
      </c>
      <c r="B815" s="49" t="s">
        <v>2302</v>
      </c>
      <c r="C815" s="101" t="s">
        <v>2314</v>
      </c>
      <c r="D815" s="14" t="s">
        <v>3288</v>
      </c>
      <c r="E815" s="14" t="s">
        <v>3289</v>
      </c>
      <c r="F815" s="65" t="s">
        <v>841</v>
      </c>
      <c r="G815" s="106">
        <v>0.9</v>
      </c>
      <c r="H815" s="103" t="s">
        <v>3239</v>
      </c>
    </row>
    <row r="816" spans="1:8" ht="13.5" customHeight="1" x14ac:dyDescent="0.25">
      <c r="A816" s="24" t="s">
        <v>2315</v>
      </c>
      <c r="B816" s="38" t="s">
        <v>2302</v>
      </c>
      <c r="C816" s="100" t="s">
        <v>2316</v>
      </c>
      <c r="D816" s="25" t="s">
        <v>3288</v>
      </c>
      <c r="E816" s="25" t="s">
        <v>3289</v>
      </c>
      <c r="F816" s="65" t="s">
        <v>841</v>
      </c>
      <c r="G816" s="106">
        <v>0.9</v>
      </c>
      <c r="H816" s="103" t="s">
        <v>3239</v>
      </c>
    </row>
    <row r="817" spans="1:8" ht="13.5" customHeight="1" x14ac:dyDescent="0.25">
      <c r="A817" s="13" t="s">
        <v>2317</v>
      </c>
      <c r="B817" s="49" t="s">
        <v>2302</v>
      </c>
      <c r="C817" s="101" t="s">
        <v>2318</v>
      </c>
      <c r="D817" s="14" t="s">
        <v>3288</v>
      </c>
      <c r="E817" s="14" t="s">
        <v>3289</v>
      </c>
      <c r="F817" s="65" t="s">
        <v>841</v>
      </c>
      <c r="G817" s="106">
        <v>0.9</v>
      </c>
      <c r="H817" s="103" t="s">
        <v>3239</v>
      </c>
    </row>
    <row r="818" spans="1:8" ht="13.5" customHeight="1" x14ac:dyDescent="0.25">
      <c r="A818" s="24" t="s">
        <v>2319</v>
      </c>
      <c r="B818" s="38" t="s">
        <v>2302</v>
      </c>
      <c r="C818" s="100" t="s">
        <v>2320</v>
      </c>
      <c r="D818" s="25" t="s">
        <v>3288</v>
      </c>
      <c r="E818" s="25" t="s">
        <v>3289</v>
      </c>
      <c r="F818" s="65" t="s">
        <v>841</v>
      </c>
      <c r="G818" s="106">
        <v>0.9</v>
      </c>
      <c r="H818" s="103" t="s">
        <v>3239</v>
      </c>
    </row>
    <row r="819" spans="1:8" ht="13.5" customHeight="1" x14ac:dyDescent="0.25">
      <c r="A819" s="13" t="s">
        <v>2321</v>
      </c>
      <c r="B819" s="49" t="s">
        <v>2302</v>
      </c>
      <c r="C819" s="101" t="s">
        <v>2322</v>
      </c>
      <c r="D819" s="14" t="s">
        <v>3288</v>
      </c>
      <c r="E819" s="14" t="s">
        <v>3289</v>
      </c>
      <c r="F819" s="65" t="s">
        <v>841</v>
      </c>
      <c r="G819" s="106">
        <v>0.9</v>
      </c>
      <c r="H819" s="103" t="s">
        <v>3239</v>
      </c>
    </row>
    <row r="820" spans="1:8" ht="13.5" customHeight="1" x14ac:dyDescent="0.25">
      <c r="A820" s="24" t="s">
        <v>2323</v>
      </c>
      <c r="B820" s="38" t="s">
        <v>2302</v>
      </c>
      <c r="C820" s="100" t="s">
        <v>2324</v>
      </c>
      <c r="D820" s="25" t="s">
        <v>3290</v>
      </c>
      <c r="E820" s="25" t="s">
        <v>3289</v>
      </c>
      <c r="F820" s="65" t="s">
        <v>841</v>
      </c>
      <c r="G820" s="106">
        <v>0.9</v>
      </c>
      <c r="H820" s="103" t="s">
        <v>3239</v>
      </c>
    </row>
    <row r="821" spans="1:8" ht="13.5" customHeight="1" x14ac:dyDescent="0.25">
      <c r="A821" s="13" t="s">
        <v>2326</v>
      </c>
      <c r="B821" s="49" t="s">
        <v>2302</v>
      </c>
      <c r="C821" s="101" t="s">
        <v>2327</v>
      </c>
      <c r="D821" s="14" t="s">
        <v>3290</v>
      </c>
      <c r="E821" s="14" t="s">
        <v>3289</v>
      </c>
      <c r="F821" s="65" t="s">
        <v>841</v>
      </c>
      <c r="G821" s="106">
        <v>0.9</v>
      </c>
      <c r="H821" s="103" t="s">
        <v>3239</v>
      </c>
    </row>
    <row r="822" spans="1:8" ht="13.5" customHeight="1" x14ac:dyDescent="0.25">
      <c r="A822" s="24" t="s">
        <v>2328</v>
      </c>
      <c r="B822" s="38" t="s">
        <v>2302</v>
      </c>
      <c r="C822" s="100" t="s">
        <v>2329</v>
      </c>
      <c r="D822" s="25" t="s">
        <v>3290</v>
      </c>
      <c r="E822" s="25" t="s">
        <v>3289</v>
      </c>
      <c r="F822" s="65" t="s">
        <v>841</v>
      </c>
      <c r="G822" s="106">
        <v>0.9</v>
      </c>
      <c r="H822" s="103" t="s">
        <v>3239</v>
      </c>
    </row>
    <row r="823" spans="1:8" ht="13.5" customHeight="1" x14ac:dyDescent="0.25">
      <c r="A823" s="13" t="s">
        <v>2330</v>
      </c>
      <c r="B823" s="49" t="s">
        <v>2302</v>
      </c>
      <c r="C823" s="101" t="s">
        <v>2331</v>
      </c>
      <c r="D823" s="14" t="s">
        <v>3290</v>
      </c>
      <c r="E823" s="14" t="s">
        <v>3289</v>
      </c>
      <c r="F823" s="65" t="s">
        <v>841</v>
      </c>
      <c r="G823" s="106">
        <v>0.9</v>
      </c>
      <c r="H823" s="103" t="s">
        <v>3239</v>
      </c>
    </row>
    <row r="824" spans="1:8" ht="13.5" customHeight="1" x14ac:dyDescent="0.25">
      <c r="A824" s="24" t="s">
        <v>2332</v>
      </c>
      <c r="B824" s="38" t="s">
        <v>2302</v>
      </c>
      <c r="C824" s="100" t="s">
        <v>2333</v>
      </c>
      <c r="D824" s="25" t="s">
        <v>3290</v>
      </c>
      <c r="E824" s="25" t="s">
        <v>3289</v>
      </c>
      <c r="F824" s="65" t="s">
        <v>841</v>
      </c>
      <c r="G824" s="106">
        <v>0.9</v>
      </c>
      <c r="H824" s="103" t="s">
        <v>3239</v>
      </c>
    </row>
    <row r="825" spans="1:8" ht="13.5" customHeight="1" x14ac:dyDescent="0.25">
      <c r="A825" s="13" t="s">
        <v>2334</v>
      </c>
      <c r="B825" s="49" t="s">
        <v>2302</v>
      </c>
      <c r="C825" s="101" t="s">
        <v>2335</v>
      </c>
      <c r="D825" s="14" t="s">
        <v>3290</v>
      </c>
      <c r="E825" s="14" t="s">
        <v>3289</v>
      </c>
      <c r="F825" s="65" t="s">
        <v>841</v>
      </c>
      <c r="G825" s="106">
        <v>0.9</v>
      </c>
      <c r="H825" s="103" t="s">
        <v>3239</v>
      </c>
    </row>
    <row r="826" spans="1:8" ht="13.5" customHeight="1" x14ac:dyDescent="0.25">
      <c r="A826" s="24" t="s">
        <v>2336</v>
      </c>
      <c r="B826" s="38" t="s">
        <v>2302</v>
      </c>
      <c r="C826" s="100" t="s">
        <v>2337</v>
      </c>
      <c r="D826" s="25" t="s">
        <v>3290</v>
      </c>
      <c r="E826" s="25" t="s">
        <v>3289</v>
      </c>
      <c r="F826" s="65" t="s">
        <v>841</v>
      </c>
      <c r="G826" s="106">
        <v>0.9</v>
      </c>
      <c r="H826" s="103" t="s">
        <v>3239</v>
      </c>
    </row>
    <row r="827" spans="1:8" ht="13.5" customHeight="1" x14ac:dyDescent="0.25">
      <c r="A827" s="13" t="s">
        <v>2338</v>
      </c>
      <c r="B827" s="49" t="s">
        <v>2302</v>
      </c>
      <c r="C827" s="101" t="s">
        <v>2339</v>
      </c>
      <c r="D827" s="14" t="s">
        <v>3290</v>
      </c>
      <c r="E827" s="14" t="s">
        <v>3289</v>
      </c>
      <c r="F827" s="65" t="s">
        <v>841</v>
      </c>
      <c r="G827" s="106">
        <v>0.9</v>
      </c>
      <c r="H827" s="103" t="s">
        <v>3239</v>
      </c>
    </row>
    <row r="828" spans="1:8" ht="13.5" customHeight="1" x14ac:dyDescent="0.25">
      <c r="A828" s="24" t="s">
        <v>2340</v>
      </c>
      <c r="B828" s="38" t="s">
        <v>2302</v>
      </c>
      <c r="C828" s="100" t="s">
        <v>2341</v>
      </c>
      <c r="D828" s="25" t="s">
        <v>3290</v>
      </c>
      <c r="E828" s="25" t="s">
        <v>3289</v>
      </c>
      <c r="F828" s="65" t="s">
        <v>841</v>
      </c>
      <c r="G828" s="106">
        <v>0.9</v>
      </c>
      <c r="H828" s="103" t="s">
        <v>3239</v>
      </c>
    </row>
    <row r="829" spans="1:8" ht="13.5" customHeight="1" x14ac:dyDescent="0.25">
      <c r="A829" s="13" t="s">
        <v>2342</v>
      </c>
      <c r="B829" s="49" t="s">
        <v>2302</v>
      </c>
      <c r="C829" s="101" t="s">
        <v>2343</v>
      </c>
      <c r="D829" s="14" t="s">
        <v>3291</v>
      </c>
      <c r="E829" s="14" t="s">
        <v>3289</v>
      </c>
      <c r="F829" s="65" t="s">
        <v>841</v>
      </c>
      <c r="G829" s="106">
        <v>0.9</v>
      </c>
      <c r="H829" s="103" t="s">
        <v>3239</v>
      </c>
    </row>
    <row r="830" spans="1:8" ht="13.5" customHeight="1" x14ac:dyDescent="0.25">
      <c r="A830" s="24" t="s">
        <v>2345</v>
      </c>
      <c r="B830" s="38" t="s">
        <v>2302</v>
      </c>
      <c r="C830" s="100" t="s">
        <v>2346</v>
      </c>
      <c r="D830" s="25" t="s">
        <v>3291</v>
      </c>
      <c r="E830" s="25" t="s">
        <v>3289</v>
      </c>
      <c r="F830" s="65" t="s">
        <v>841</v>
      </c>
      <c r="G830" s="106">
        <v>0.9</v>
      </c>
      <c r="H830" s="103" t="s">
        <v>3239</v>
      </c>
    </row>
    <row r="831" spans="1:8" ht="13.5" customHeight="1" x14ac:dyDescent="0.25">
      <c r="A831" s="13" t="s">
        <v>2347</v>
      </c>
      <c r="B831" s="49" t="s">
        <v>2302</v>
      </c>
      <c r="C831" s="101" t="s">
        <v>2348</v>
      </c>
      <c r="D831" s="14" t="s">
        <v>3291</v>
      </c>
      <c r="E831" s="14" t="s">
        <v>3289</v>
      </c>
      <c r="F831" s="65" t="s">
        <v>841</v>
      </c>
      <c r="G831" s="106">
        <v>0.9</v>
      </c>
      <c r="H831" s="103" t="s">
        <v>3239</v>
      </c>
    </row>
    <row r="832" spans="1:8" ht="13.5" customHeight="1" x14ac:dyDescent="0.25">
      <c r="A832" s="24" t="s">
        <v>2349</v>
      </c>
      <c r="B832" s="38" t="s">
        <v>2302</v>
      </c>
      <c r="C832" s="100" t="s">
        <v>2350</v>
      </c>
      <c r="D832" s="25" t="s">
        <v>3291</v>
      </c>
      <c r="E832" s="25" t="s">
        <v>3289</v>
      </c>
      <c r="F832" s="65" t="s">
        <v>841</v>
      </c>
      <c r="G832" s="106">
        <v>0.9</v>
      </c>
      <c r="H832" s="103" t="s">
        <v>3239</v>
      </c>
    </row>
    <row r="833" spans="1:8" ht="13.5" customHeight="1" x14ac:dyDescent="0.25">
      <c r="A833" s="13" t="s">
        <v>2351</v>
      </c>
      <c r="B833" s="49" t="s">
        <v>2302</v>
      </c>
      <c r="C833" s="101" t="s">
        <v>2352</v>
      </c>
      <c r="D833" s="14" t="s">
        <v>2353</v>
      </c>
      <c r="E833" s="14" t="s">
        <v>3289</v>
      </c>
      <c r="F833" s="40" t="s">
        <v>477</v>
      </c>
      <c r="G833" s="102">
        <v>1</v>
      </c>
      <c r="H833" s="103" t="s">
        <v>3239</v>
      </c>
    </row>
    <row r="834" spans="1:8" ht="13.5" customHeight="1" x14ac:dyDescent="0.25">
      <c r="A834" s="24" t="s">
        <v>2354</v>
      </c>
      <c r="B834" s="38" t="s">
        <v>2302</v>
      </c>
      <c r="C834" s="100" t="s">
        <v>2355</v>
      </c>
      <c r="D834" s="25" t="s">
        <v>2353</v>
      </c>
      <c r="E834" s="25" t="s">
        <v>3289</v>
      </c>
      <c r="F834" s="40" t="s">
        <v>477</v>
      </c>
      <c r="G834" s="102">
        <v>1</v>
      </c>
      <c r="H834" s="103" t="s">
        <v>3239</v>
      </c>
    </row>
    <row r="835" spans="1:8" ht="13.5" customHeight="1" x14ac:dyDescent="0.25">
      <c r="A835" s="13" t="s">
        <v>2356</v>
      </c>
      <c r="B835" s="49" t="s">
        <v>2302</v>
      </c>
      <c r="C835" s="101" t="s">
        <v>2357</v>
      </c>
      <c r="D835" s="14" t="s">
        <v>2353</v>
      </c>
      <c r="E835" s="14" t="s">
        <v>3289</v>
      </c>
      <c r="F835" s="40" t="s">
        <v>477</v>
      </c>
      <c r="G835" s="102">
        <v>1</v>
      </c>
      <c r="H835" s="103" t="s">
        <v>3239</v>
      </c>
    </row>
    <row r="836" spans="1:8" ht="13.5" customHeight="1" x14ac:dyDescent="0.25">
      <c r="A836" s="24" t="s">
        <v>2358</v>
      </c>
      <c r="B836" s="38" t="s">
        <v>2302</v>
      </c>
      <c r="C836" s="100" t="s">
        <v>2359</v>
      </c>
      <c r="D836" s="25" t="s">
        <v>2353</v>
      </c>
      <c r="E836" s="25" t="s">
        <v>3289</v>
      </c>
      <c r="F836" s="40" t="s">
        <v>477</v>
      </c>
      <c r="G836" s="102">
        <v>1</v>
      </c>
      <c r="H836" s="103" t="s">
        <v>3239</v>
      </c>
    </row>
    <row r="837" spans="1:8" ht="13.5" customHeight="1" x14ac:dyDescent="0.25">
      <c r="A837" s="13" t="s">
        <v>2360</v>
      </c>
      <c r="B837" s="49" t="s">
        <v>2302</v>
      </c>
      <c r="C837" s="101" t="s">
        <v>2361</v>
      </c>
      <c r="D837" s="14" t="s">
        <v>2353</v>
      </c>
      <c r="E837" s="14" t="s">
        <v>3289</v>
      </c>
      <c r="F837" s="40" t="s">
        <v>477</v>
      </c>
      <c r="G837" s="102">
        <v>1</v>
      </c>
      <c r="H837" s="103" t="s">
        <v>3239</v>
      </c>
    </row>
    <row r="838" spans="1:8" ht="13.5" customHeight="1" x14ac:dyDescent="0.25">
      <c r="A838" s="24" t="s">
        <v>2362</v>
      </c>
      <c r="B838" s="38" t="s">
        <v>2302</v>
      </c>
      <c r="C838" s="100" t="s">
        <v>2363</v>
      </c>
      <c r="D838" s="25" t="s">
        <v>2353</v>
      </c>
      <c r="E838" s="25" t="s">
        <v>3289</v>
      </c>
      <c r="F838" s="40" t="s">
        <v>477</v>
      </c>
      <c r="G838" s="102">
        <v>1</v>
      </c>
      <c r="H838" s="103" t="s">
        <v>3239</v>
      </c>
    </row>
    <row r="839" spans="1:8" ht="13.5" customHeight="1" x14ac:dyDescent="0.25">
      <c r="A839" s="13" t="s">
        <v>2364</v>
      </c>
      <c r="B839" s="49" t="s">
        <v>2302</v>
      </c>
      <c r="C839" s="101" t="s">
        <v>2365</v>
      </c>
      <c r="D839" s="14" t="s">
        <v>2353</v>
      </c>
      <c r="E839" s="14" t="s">
        <v>3289</v>
      </c>
      <c r="F839" s="40" t="s">
        <v>477</v>
      </c>
      <c r="G839" s="102">
        <v>1</v>
      </c>
      <c r="H839" s="103" t="s">
        <v>3239</v>
      </c>
    </row>
    <row r="840" spans="1:8" ht="13.5" customHeight="1" x14ac:dyDescent="0.25">
      <c r="A840" s="24" t="s">
        <v>2366</v>
      </c>
      <c r="B840" s="38" t="s">
        <v>2302</v>
      </c>
      <c r="C840" s="100" t="s">
        <v>2367</v>
      </c>
      <c r="D840" s="25" t="s">
        <v>2353</v>
      </c>
      <c r="E840" s="25" t="s">
        <v>3289</v>
      </c>
      <c r="F840" s="40" t="s">
        <v>477</v>
      </c>
      <c r="G840" s="102">
        <v>1</v>
      </c>
      <c r="H840" s="103" t="s">
        <v>3239</v>
      </c>
    </row>
    <row r="841" spans="1:8" ht="13.5" customHeight="1" x14ac:dyDescent="0.25">
      <c r="A841" s="13" t="s">
        <v>2368</v>
      </c>
      <c r="B841" s="49" t="s">
        <v>2302</v>
      </c>
      <c r="C841" s="101" t="s">
        <v>2369</v>
      </c>
      <c r="D841" s="14" t="s">
        <v>2353</v>
      </c>
      <c r="E841" s="14" t="s">
        <v>3289</v>
      </c>
      <c r="F841" s="40" t="s">
        <v>477</v>
      </c>
      <c r="G841" s="102">
        <v>1</v>
      </c>
      <c r="H841" s="103" t="s">
        <v>3239</v>
      </c>
    </row>
    <row r="842" spans="1:8" ht="13.5" customHeight="1" x14ac:dyDescent="0.25">
      <c r="A842" s="24" t="s">
        <v>2370</v>
      </c>
      <c r="B842" s="38" t="s">
        <v>2302</v>
      </c>
      <c r="C842" s="100" t="s">
        <v>2371</v>
      </c>
      <c r="D842" s="25" t="s">
        <v>2353</v>
      </c>
      <c r="E842" s="25" t="s">
        <v>3289</v>
      </c>
      <c r="F842" s="40" t="s">
        <v>477</v>
      </c>
      <c r="G842" s="102">
        <v>1</v>
      </c>
      <c r="H842" s="103" t="s">
        <v>3239</v>
      </c>
    </row>
    <row r="843" spans="1:8" ht="13.5" customHeight="1" x14ac:dyDescent="0.25">
      <c r="A843" s="13" t="s">
        <v>2372</v>
      </c>
      <c r="B843" s="49" t="s">
        <v>2302</v>
      </c>
      <c r="C843" s="101" t="s">
        <v>2373</v>
      </c>
      <c r="D843" s="14" t="s">
        <v>2353</v>
      </c>
      <c r="E843" s="14" t="s">
        <v>3289</v>
      </c>
      <c r="F843" s="40" t="s">
        <v>477</v>
      </c>
      <c r="G843" s="102">
        <v>1</v>
      </c>
      <c r="H843" s="103" t="s">
        <v>3239</v>
      </c>
    </row>
    <row r="844" spans="1:8" ht="13.5" customHeight="1" x14ac:dyDescent="0.25">
      <c r="A844" s="24" t="s">
        <v>2374</v>
      </c>
      <c r="B844" s="38" t="s">
        <v>2302</v>
      </c>
      <c r="C844" s="100" t="s">
        <v>2375</v>
      </c>
      <c r="D844" s="25" t="s">
        <v>2353</v>
      </c>
      <c r="E844" s="25" t="s">
        <v>3289</v>
      </c>
      <c r="F844" s="40" t="s">
        <v>477</v>
      </c>
      <c r="G844" s="102">
        <v>1</v>
      </c>
      <c r="H844" s="103" t="s">
        <v>3239</v>
      </c>
    </row>
    <row r="845" spans="1:8" ht="13.5" customHeight="1" x14ac:dyDescent="0.25">
      <c r="A845" s="13" t="s">
        <v>2376</v>
      </c>
      <c r="B845" s="49" t="s">
        <v>2302</v>
      </c>
      <c r="C845" s="101" t="s">
        <v>2377</v>
      </c>
      <c r="D845" s="14" t="s">
        <v>2353</v>
      </c>
      <c r="E845" s="14" t="s">
        <v>3289</v>
      </c>
      <c r="F845" s="40" t="s">
        <v>477</v>
      </c>
      <c r="G845" s="102">
        <v>1</v>
      </c>
      <c r="H845" s="103" t="s">
        <v>3239</v>
      </c>
    </row>
    <row r="846" spans="1:8" ht="13.5" customHeight="1" x14ac:dyDescent="0.25">
      <c r="A846" s="24" t="s">
        <v>2378</v>
      </c>
      <c r="B846" s="38" t="s">
        <v>2302</v>
      </c>
      <c r="C846" s="100" t="s">
        <v>2379</v>
      </c>
      <c r="D846" s="25" t="s">
        <v>2353</v>
      </c>
      <c r="E846" s="25" t="s">
        <v>3289</v>
      </c>
      <c r="F846" s="40" t="s">
        <v>477</v>
      </c>
      <c r="G846" s="102">
        <v>1</v>
      </c>
      <c r="H846" s="103" t="s">
        <v>3239</v>
      </c>
    </row>
    <row r="847" spans="1:8" ht="13.5" customHeight="1" x14ac:dyDescent="0.25">
      <c r="A847" s="13" t="s">
        <v>2380</v>
      </c>
      <c r="B847" s="49" t="s">
        <v>2302</v>
      </c>
      <c r="C847" s="101" t="s">
        <v>2381</v>
      </c>
      <c r="D847" s="14" t="s">
        <v>3292</v>
      </c>
      <c r="E847" s="14" t="s">
        <v>3289</v>
      </c>
      <c r="F847" s="65" t="s">
        <v>841</v>
      </c>
      <c r="G847" s="106">
        <v>0.9</v>
      </c>
      <c r="H847" s="103" t="s">
        <v>3239</v>
      </c>
    </row>
    <row r="848" spans="1:8" ht="13.5" customHeight="1" x14ac:dyDescent="0.25">
      <c r="A848" s="24" t="s">
        <v>2383</v>
      </c>
      <c r="B848" s="38" t="s">
        <v>2302</v>
      </c>
      <c r="C848" s="100" t="s">
        <v>2384</v>
      </c>
      <c r="D848" s="25" t="s">
        <v>3292</v>
      </c>
      <c r="E848" s="25" t="s">
        <v>3289</v>
      </c>
      <c r="F848" s="65" t="s">
        <v>841</v>
      </c>
      <c r="G848" s="106">
        <v>0.9</v>
      </c>
      <c r="H848" s="103" t="s">
        <v>3239</v>
      </c>
    </row>
    <row r="849" spans="1:8" ht="13.5" customHeight="1" x14ac:dyDescent="0.25">
      <c r="A849" s="13" t="s">
        <v>2385</v>
      </c>
      <c r="B849" s="49" t="s">
        <v>2302</v>
      </c>
      <c r="C849" s="101" t="s">
        <v>2386</v>
      </c>
      <c r="D849" s="14" t="s">
        <v>3292</v>
      </c>
      <c r="E849" s="14" t="s">
        <v>3289</v>
      </c>
      <c r="F849" s="65" t="s">
        <v>841</v>
      </c>
      <c r="G849" s="106">
        <v>0.9</v>
      </c>
      <c r="H849" s="103" t="s">
        <v>3239</v>
      </c>
    </row>
    <row r="850" spans="1:8" ht="13.5" customHeight="1" x14ac:dyDescent="0.25">
      <c r="A850" s="24" t="s">
        <v>2387</v>
      </c>
      <c r="B850" s="38" t="s">
        <v>2302</v>
      </c>
      <c r="C850" s="100" t="s">
        <v>2388</v>
      </c>
      <c r="D850" s="25" t="s">
        <v>3292</v>
      </c>
      <c r="E850" s="25" t="s">
        <v>3289</v>
      </c>
      <c r="F850" s="65" t="s">
        <v>841</v>
      </c>
      <c r="G850" s="106">
        <v>0.9</v>
      </c>
      <c r="H850" s="103" t="s">
        <v>3239</v>
      </c>
    </row>
    <row r="851" spans="1:8" ht="13.5" customHeight="1" x14ac:dyDescent="0.25">
      <c r="A851" s="13" t="s">
        <v>2389</v>
      </c>
      <c r="B851" s="49" t="s">
        <v>2302</v>
      </c>
      <c r="C851" s="101" t="s">
        <v>2390</v>
      </c>
      <c r="D851" s="14" t="s">
        <v>3292</v>
      </c>
      <c r="E851" s="14" t="s">
        <v>3289</v>
      </c>
      <c r="F851" s="65" t="s">
        <v>841</v>
      </c>
      <c r="G851" s="106">
        <v>0.9</v>
      </c>
      <c r="H851" s="103" t="s">
        <v>3239</v>
      </c>
    </row>
    <row r="852" spans="1:8" ht="13.5" customHeight="1" x14ac:dyDescent="0.25">
      <c r="A852" s="24" t="s">
        <v>2391</v>
      </c>
      <c r="B852" s="38" t="s">
        <v>2302</v>
      </c>
      <c r="C852" s="100" t="s">
        <v>2392</v>
      </c>
      <c r="D852" s="25" t="s">
        <v>3292</v>
      </c>
      <c r="E852" s="25" t="s">
        <v>3289</v>
      </c>
      <c r="F852" s="65" t="s">
        <v>841</v>
      </c>
      <c r="G852" s="106">
        <v>0.9</v>
      </c>
      <c r="H852" s="103" t="s">
        <v>3239</v>
      </c>
    </row>
    <row r="853" spans="1:8" ht="13.5" customHeight="1" x14ac:dyDescent="0.25">
      <c r="A853" s="13" t="s">
        <v>2393</v>
      </c>
      <c r="B853" s="49" t="s">
        <v>2302</v>
      </c>
      <c r="C853" s="101" t="s">
        <v>2394</v>
      </c>
      <c r="D853" s="14" t="s">
        <v>3293</v>
      </c>
      <c r="E853" s="14" t="s">
        <v>3289</v>
      </c>
      <c r="F853" s="65" t="s">
        <v>841</v>
      </c>
      <c r="G853" s="106">
        <v>0.9</v>
      </c>
      <c r="H853" s="103" t="s">
        <v>3239</v>
      </c>
    </row>
    <row r="854" spans="1:8" ht="13.5" customHeight="1" x14ac:dyDescent="0.25">
      <c r="A854" s="24" t="s">
        <v>2396</v>
      </c>
      <c r="B854" s="38" t="s">
        <v>2302</v>
      </c>
      <c r="C854" s="100" t="s">
        <v>2397</v>
      </c>
      <c r="D854" s="25" t="s">
        <v>3293</v>
      </c>
      <c r="E854" s="25" t="s">
        <v>3289</v>
      </c>
      <c r="F854" s="65" t="s">
        <v>841</v>
      </c>
      <c r="G854" s="106">
        <v>0.9</v>
      </c>
      <c r="H854" s="103" t="s">
        <v>3239</v>
      </c>
    </row>
    <row r="855" spans="1:8" ht="13.5" customHeight="1" x14ac:dyDescent="0.25">
      <c r="A855" s="13" t="s">
        <v>2398</v>
      </c>
      <c r="B855" s="49" t="s">
        <v>2302</v>
      </c>
      <c r="C855" s="101" t="s">
        <v>2399</v>
      </c>
      <c r="D855" s="14" t="s">
        <v>3293</v>
      </c>
      <c r="E855" s="14" t="s">
        <v>3289</v>
      </c>
      <c r="F855" s="65" t="s">
        <v>841</v>
      </c>
      <c r="G855" s="106">
        <v>0.9</v>
      </c>
      <c r="H855" s="103" t="s">
        <v>3239</v>
      </c>
    </row>
    <row r="856" spans="1:8" ht="13.5" customHeight="1" x14ac:dyDescent="0.25">
      <c r="A856" s="24" t="s">
        <v>2400</v>
      </c>
      <c r="B856" s="38" t="s">
        <v>2302</v>
      </c>
      <c r="C856" s="100" t="s">
        <v>2401</v>
      </c>
      <c r="D856" s="25" t="s">
        <v>3293</v>
      </c>
      <c r="E856" s="25" t="s">
        <v>3289</v>
      </c>
      <c r="F856" s="65" t="s">
        <v>841</v>
      </c>
      <c r="G856" s="106">
        <v>0.9</v>
      </c>
      <c r="H856" s="103" t="s">
        <v>3239</v>
      </c>
    </row>
    <row r="857" spans="1:8" ht="13.5" customHeight="1" x14ac:dyDescent="0.25">
      <c r="A857" s="13" t="s">
        <v>2402</v>
      </c>
      <c r="B857" s="49" t="s">
        <v>2403</v>
      </c>
      <c r="C857" s="101" t="s">
        <v>2404</v>
      </c>
      <c r="D857" s="14" t="s">
        <v>3294</v>
      </c>
      <c r="E857" s="14" t="s">
        <v>3295</v>
      </c>
      <c r="F857" s="65" t="s">
        <v>841</v>
      </c>
      <c r="G857" s="106">
        <v>0.9</v>
      </c>
      <c r="H857" s="103" t="s">
        <v>3239</v>
      </c>
    </row>
    <row r="858" spans="1:8" ht="13.5" customHeight="1" x14ac:dyDescent="0.25">
      <c r="A858" s="24" t="s">
        <v>2406</v>
      </c>
      <c r="B858" s="38" t="s">
        <v>2403</v>
      </c>
      <c r="C858" s="100" t="s">
        <v>2407</v>
      </c>
      <c r="D858" s="25" t="s">
        <v>3294</v>
      </c>
      <c r="E858" s="25" t="s">
        <v>3295</v>
      </c>
      <c r="F858" s="65" t="s">
        <v>841</v>
      </c>
      <c r="G858" s="106">
        <v>0.9</v>
      </c>
      <c r="H858" s="103" t="s">
        <v>3239</v>
      </c>
    </row>
    <row r="859" spans="1:8" ht="13.5" customHeight="1" x14ac:dyDescent="0.25">
      <c r="A859" s="13" t="s">
        <v>2408</v>
      </c>
      <c r="B859" s="49" t="s">
        <v>2403</v>
      </c>
      <c r="C859" s="101" t="s">
        <v>2409</v>
      </c>
      <c r="D859" s="14" t="s">
        <v>3294</v>
      </c>
      <c r="E859" s="14" t="s">
        <v>3295</v>
      </c>
      <c r="F859" s="65" t="s">
        <v>841</v>
      </c>
      <c r="G859" s="106">
        <v>0.9</v>
      </c>
      <c r="H859" s="103" t="s">
        <v>3239</v>
      </c>
    </row>
    <row r="860" spans="1:8" ht="13.5" customHeight="1" x14ac:dyDescent="0.25">
      <c r="A860" s="24" t="s">
        <v>2410</v>
      </c>
      <c r="B860" s="38" t="s">
        <v>2403</v>
      </c>
      <c r="C860" s="100" t="s">
        <v>2411</v>
      </c>
      <c r="D860" s="25" t="s">
        <v>3294</v>
      </c>
      <c r="E860" s="25" t="s">
        <v>3295</v>
      </c>
      <c r="F860" s="65" t="s">
        <v>841</v>
      </c>
      <c r="G860" s="106">
        <v>0.9</v>
      </c>
      <c r="H860" s="103" t="s">
        <v>3239</v>
      </c>
    </row>
    <row r="861" spans="1:8" ht="13.5" customHeight="1" x14ac:dyDescent="0.25">
      <c r="A861" s="13" t="s">
        <v>2412</v>
      </c>
      <c r="B861" s="49" t="s">
        <v>2403</v>
      </c>
      <c r="C861" s="101" t="s">
        <v>2413</v>
      </c>
      <c r="D861" s="14" t="s">
        <v>3294</v>
      </c>
      <c r="E861" s="14" t="s">
        <v>3295</v>
      </c>
      <c r="F861" s="65" t="s">
        <v>841</v>
      </c>
      <c r="G861" s="106">
        <v>0.9</v>
      </c>
      <c r="H861" s="103" t="s">
        <v>3239</v>
      </c>
    </row>
    <row r="862" spans="1:8" ht="13.5" customHeight="1" x14ac:dyDescent="0.25">
      <c r="A862" s="24" t="s">
        <v>2414</v>
      </c>
      <c r="B862" s="38" t="s">
        <v>2403</v>
      </c>
      <c r="C862" s="100" t="s">
        <v>2415</v>
      </c>
      <c r="D862" s="25" t="s">
        <v>3294</v>
      </c>
      <c r="E862" s="25" t="s">
        <v>3295</v>
      </c>
      <c r="F862" s="65" t="s">
        <v>841</v>
      </c>
      <c r="G862" s="106">
        <v>0.9</v>
      </c>
      <c r="H862" s="103" t="s">
        <v>3239</v>
      </c>
    </row>
    <row r="863" spans="1:8" ht="13.5" customHeight="1" x14ac:dyDescent="0.25">
      <c r="A863" s="13" t="s">
        <v>2416</v>
      </c>
      <c r="B863" s="49" t="s">
        <v>2403</v>
      </c>
      <c r="C863" s="101" t="s">
        <v>2417</v>
      </c>
      <c r="D863" s="14" t="s">
        <v>3294</v>
      </c>
      <c r="E863" s="14" t="s">
        <v>3295</v>
      </c>
      <c r="F863" s="65" t="s">
        <v>841</v>
      </c>
      <c r="G863" s="106">
        <v>0.9</v>
      </c>
      <c r="H863" s="103" t="s">
        <v>3239</v>
      </c>
    </row>
    <row r="864" spans="1:8" ht="13.5" customHeight="1" x14ac:dyDescent="0.25">
      <c r="A864" s="24" t="s">
        <v>2418</v>
      </c>
      <c r="B864" s="38" t="s">
        <v>2403</v>
      </c>
      <c r="C864" s="100" t="s">
        <v>2419</v>
      </c>
      <c r="D864" s="25" t="s">
        <v>3294</v>
      </c>
      <c r="E864" s="25" t="s">
        <v>3295</v>
      </c>
      <c r="F864" s="65" t="s">
        <v>841</v>
      </c>
      <c r="G864" s="106">
        <v>0.9</v>
      </c>
      <c r="H864" s="103" t="s">
        <v>3239</v>
      </c>
    </row>
    <row r="865" spans="1:8" ht="13.5" customHeight="1" x14ac:dyDescent="0.25">
      <c r="A865" s="13" t="s">
        <v>2420</v>
      </c>
      <c r="B865" s="49" t="s">
        <v>2403</v>
      </c>
      <c r="C865" s="101" t="s">
        <v>2421</v>
      </c>
      <c r="D865" s="14" t="s">
        <v>3294</v>
      </c>
      <c r="E865" s="14" t="s">
        <v>3295</v>
      </c>
      <c r="F865" s="65" t="s">
        <v>841</v>
      </c>
      <c r="G865" s="106">
        <v>0.9</v>
      </c>
      <c r="H865" s="103" t="s">
        <v>3239</v>
      </c>
    </row>
    <row r="866" spans="1:8" ht="13.5" customHeight="1" x14ac:dyDescent="0.25">
      <c r="A866" s="24" t="s">
        <v>2422</v>
      </c>
      <c r="B866" s="38" t="s">
        <v>2403</v>
      </c>
      <c r="C866" s="100" t="s">
        <v>2423</v>
      </c>
      <c r="D866" s="25" t="s">
        <v>3294</v>
      </c>
      <c r="E866" s="25" t="s">
        <v>3295</v>
      </c>
      <c r="F866" s="65" t="s">
        <v>841</v>
      </c>
      <c r="G866" s="106">
        <v>0.9</v>
      </c>
      <c r="H866" s="103" t="s">
        <v>3239</v>
      </c>
    </row>
    <row r="867" spans="1:8" ht="13.5" customHeight="1" x14ac:dyDescent="0.25">
      <c r="A867" s="13" t="s">
        <v>2424</v>
      </c>
      <c r="B867" s="49" t="s">
        <v>2403</v>
      </c>
      <c r="C867" s="101" t="s">
        <v>2425</v>
      </c>
      <c r="D867" s="14" t="s">
        <v>3294</v>
      </c>
      <c r="E867" s="14" t="s">
        <v>3295</v>
      </c>
      <c r="F867" s="65" t="s">
        <v>841</v>
      </c>
      <c r="G867" s="106">
        <v>0.9</v>
      </c>
      <c r="H867" s="103" t="s">
        <v>3239</v>
      </c>
    </row>
    <row r="868" spans="1:8" ht="13.5" customHeight="1" x14ac:dyDescent="0.25">
      <c r="A868" s="24" t="s">
        <v>2426</v>
      </c>
      <c r="B868" s="38" t="s">
        <v>2403</v>
      </c>
      <c r="C868" s="100" t="s">
        <v>2427</v>
      </c>
      <c r="D868" s="25" t="s">
        <v>3294</v>
      </c>
      <c r="E868" s="25" t="s">
        <v>3295</v>
      </c>
      <c r="F868" s="65" t="s">
        <v>841</v>
      </c>
      <c r="G868" s="106">
        <v>0.9</v>
      </c>
      <c r="H868" s="103" t="s">
        <v>3239</v>
      </c>
    </row>
    <row r="869" spans="1:8" ht="13.5" customHeight="1" x14ac:dyDescent="0.25">
      <c r="A869" s="13" t="s">
        <v>2428</v>
      </c>
      <c r="B869" s="49" t="s">
        <v>2403</v>
      </c>
      <c r="C869" s="101" t="s">
        <v>2429</v>
      </c>
      <c r="D869" s="14" t="s">
        <v>3294</v>
      </c>
      <c r="E869" s="14" t="s">
        <v>3295</v>
      </c>
      <c r="F869" s="65" t="s">
        <v>841</v>
      </c>
      <c r="G869" s="106">
        <v>0.9</v>
      </c>
      <c r="H869" s="103" t="s">
        <v>3239</v>
      </c>
    </row>
    <row r="870" spans="1:8" ht="13.5" customHeight="1" x14ac:dyDescent="0.25">
      <c r="A870" s="24" t="s">
        <v>2430</v>
      </c>
      <c r="B870" s="38" t="s">
        <v>2403</v>
      </c>
      <c r="C870" s="100" t="s">
        <v>2431</v>
      </c>
      <c r="D870" s="25" t="s">
        <v>3294</v>
      </c>
      <c r="E870" s="25" t="s">
        <v>3295</v>
      </c>
      <c r="F870" s="65" t="s">
        <v>841</v>
      </c>
      <c r="G870" s="106">
        <v>0.9</v>
      </c>
      <c r="H870" s="103" t="s">
        <v>3239</v>
      </c>
    </row>
    <row r="871" spans="1:8" ht="13.5" customHeight="1" x14ac:dyDescent="0.25">
      <c r="A871" s="13" t="s">
        <v>2432</v>
      </c>
      <c r="B871" s="49" t="s">
        <v>2403</v>
      </c>
      <c r="C871" s="101" t="s">
        <v>2433</v>
      </c>
      <c r="D871" s="14" t="s">
        <v>3294</v>
      </c>
      <c r="E871" s="14" t="s">
        <v>3295</v>
      </c>
      <c r="F871" s="65" t="s">
        <v>841</v>
      </c>
      <c r="G871" s="106">
        <v>0.9</v>
      </c>
      <c r="H871" s="103" t="s">
        <v>3239</v>
      </c>
    </row>
    <row r="872" spans="1:8" ht="13.5" customHeight="1" x14ac:dyDescent="0.25">
      <c r="A872" s="24" t="s">
        <v>2434</v>
      </c>
      <c r="B872" s="38" t="s">
        <v>2403</v>
      </c>
      <c r="C872" s="100" t="s">
        <v>2435</v>
      </c>
      <c r="D872" s="25" t="s">
        <v>3294</v>
      </c>
      <c r="E872" s="25" t="s">
        <v>3295</v>
      </c>
      <c r="F872" s="65" t="s">
        <v>841</v>
      </c>
      <c r="G872" s="106">
        <v>0.9</v>
      </c>
      <c r="H872" s="103" t="s">
        <v>3239</v>
      </c>
    </row>
    <row r="873" spans="1:8" ht="13.5" customHeight="1" x14ac:dyDescent="0.25">
      <c r="A873" s="13" t="s">
        <v>2436</v>
      </c>
      <c r="B873" s="49" t="s">
        <v>2403</v>
      </c>
      <c r="C873" s="101" t="s">
        <v>2437</v>
      </c>
      <c r="D873" s="14" t="s">
        <v>3294</v>
      </c>
      <c r="E873" s="14" t="s">
        <v>3295</v>
      </c>
      <c r="F873" s="65" t="s">
        <v>841</v>
      </c>
      <c r="G873" s="106">
        <v>0.9</v>
      </c>
      <c r="H873" s="103" t="s">
        <v>3239</v>
      </c>
    </row>
    <row r="874" spans="1:8" ht="13.5" customHeight="1" x14ac:dyDescent="0.25">
      <c r="A874" s="24" t="s">
        <v>2438</v>
      </c>
      <c r="B874" s="38" t="s">
        <v>2403</v>
      </c>
      <c r="C874" s="100" t="s">
        <v>2439</v>
      </c>
      <c r="D874" s="25" t="s">
        <v>3294</v>
      </c>
      <c r="E874" s="25" t="s">
        <v>3295</v>
      </c>
      <c r="F874" s="65" t="s">
        <v>841</v>
      </c>
      <c r="G874" s="106">
        <v>0.9</v>
      </c>
      <c r="H874" s="103" t="s">
        <v>3239</v>
      </c>
    </row>
    <row r="875" spans="1:8" ht="13.5" customHeight="1" x14ac:dyDescent="0.25">
      <c r="A875" s="13" t="s">
        <v>2440</v>
      </c>
      <c r="B875" s="49" t="s">
        <v>2403</v>
      </c>
      <c r="C875" s="101" t="s">
        <v>2441</v>
      </c>
      <c r="D875" s="14" t="s">
        <v>3294</v>
      </c>
      <c r="E875" s="14" t="s">
        <v>3295</v>
      </c>
      <c r="F875" s="65" t="s">
        <v>841</v>
      </c>
      <c r="G875" s="106">
        <v>0.9</v>
      </c>
      <c r="H875" s="103" t="s">
        <v>3239</v>
      </c>
    </row>
    <row r="876" spans="1:8" ht="13.5" customHeight="1" x14ac:dyDescent="0.25">
      <c r="A876" s="24" t="s">
        <v>2442</v>
      </c>
      <c r="B876" s="38" t="s">
        <v>2403</v>
      </c>
      <c r="C876" s="100" t="s">
        <v>2443</v>
      </c>
      <c r="D876" s="25" t="s">
        <v>3294</v>
      </c>
      <c r="E876" s="25" t="s">
        <v>3295</v>
      </c>
      <c r="F876" s="65" t="s">
        <v>841</v>
      </c>
      <c r="G876" s="106">
        <v>0.9</v>
      </c>
      <c r="H876" s="103" t="s">
        <v>3239</v>
      </c>
    </row>
    <row r="877" spans="1:8" ht="13.5" customHeight="1" x14ac:dyDescent="0.25">
      <c r="A877" s="13" t="s">
        <v>2444</v>
      </c>
      <c r="B877" s="49" t="s">
        <v>2403</v>
      </c>
      <c r="C877" s="101" t="s">
        <v>2445</v>
      </c>
      <c r="D877" s="14" t="s">
        <v>3294</v>
      </c>
      <c r="E877" s="14" t="s">
        <v>3295</v>
      </c>
      <c r="F877" s="65" t="s">
        <v>841</v>
      </c>
      <c r="G877" s="106">
        <v>0.9</v>
      </c>
      <c r="H877" s="103" t="s">
        <v>3239</v>
      </c>
    </row>
    <row r="878" spans="1:8" ht="13.5" customHeight="1" x14ac:dyDescent="0.25">
      <c r="A878" s="24" t="s">
        <v>2446</v>
      </c>
      <c r="B878" s="38" t="s">
        <v>2403</v>
      </c>
      <c r="C878" s="100" t="s">
        <v>2447</v>
      </c>
      <c r="D878" s="25" t="s">
        <v>3294</v>
      </c>
      <c r="E878" s="25" t="s">
        <v>3295</v>
      </c>
      <c r="F878" s="65" t="s">
        <v>841</v>
      </c>
      <c r="G878" s="106">
        <v>0.9</v>
      </c>
      <c r="H878" s="103" t="s">
        <v>3239</v>
      </c>
    </row>
    <row r="879" spans="1:8" ht="13.5" customHeight="1" x14ac:dyDescent="0.25">
      <c r="A879" s="13" t="s">
        <v>2448</v>
      </c>
      <c r="B879" s="49" t="s">
        <v>2403</v>
      </c>
      <c r="C879" s="101" t="s">
        <v>2449</v>
      </c>
      <c r="D879" s="14" t="s">
        <v>3294</v>
      </c>
      <c r="E879" s="14" t="s">
        <v>3295</v>
      </c>
      <c r="F879" s="65" t="s">
        <v>841</v>
      </c>
      <c r="G879" s="106">
        <v>0.9</v>
      </c>
      <c r="H879" s="103" t="s">
        <v>3239</v>
      </c>
    </row>
    <row r="880" spans="1:8" ht="13.5" customHeight="1" x14ac:dyDescent="0.25">
      <c r="A880" s="24" t="s">
        <v>2450</v>
      </c>
      <c r="B880" s="38" t="s">
        <v>2403</v>
      </c>
      <c r="C880" s="100" t="s">
        <v>2451</v>
      </c>
      <c r="D880" s="25" t="s">
        <v>3294</v>
      </c>
      <c r="E880" s="25" t="s">
        <v>3295</v>
      </c>
      <c r="F880" s="65" t="s">
        <v>841</v>
      </c>
      <c r="G880" s="106">
        <v>0.9</v>
      </c>
      <c r="H880" s="103" t="s">
        <v>3239</v>
      </c>
    </row>
    <row r="881" spans="1:8" ht="13.5" customHeight="1" x14ac:dyDescent="0.25">
      <c r="A881" s="13" t="s">
        <v>2452</v>
      </c>
      <c r="B881" s="49" t="s">
        <v>2403</v>
      </c>
      <c r="C881" s="101" t="s">
        <v>2453</v>
      </c>
      <c r="D881" s="14" t="s">
        <v>3294</v>
      </c>
      <c r="E881" s="14" t="s">
        <v>3295</v>
      </c>
      <c r="F881" s="65" t="s">
        <v>841</v>
      </c>
      <c r="G881" s="106">
        <v>0.9</v>
      </c>
      <c r="H881" s="103" t="s">
        <v>3239</v>
      </c>
    </row>
    <row r="882" spans="1:8" ht="13.5" customHeight="1" x14ac:dyDescent="0.25">
      <c r="A882" s="24" t="s">
        <v>2454</v>
      </c>
      <c r="B882" s="38" t="s">
        <v>2403</v>
      </c>
      <c r="C882" s="100" t="s">
        <v>2455</v>
      </c>
      <c r="D882" s="25" t="s">
        <v>3294</v>
      </c>
      <c r="E882" s="25" t="s">
        <v>3295</v>
      </c>
      <c r="F882" s="65" t="s">
        <v>841</v>
      </c>
      <c r="G882" s="106">
        <v>0.9</v>
      </c>
      <c r="H882" s="103" t="s">
        <v>3239</v>
      </c>
    </row>
    <row r="883" spans="1:8" ht="13.5" customHeight="1" x14ac:dyDescent="0.25">
      <c r="A883" s="13" t="s">
        <v>2456</v>
      </c>
      <c r="B883" s="49" t="s">
        <v>2403</v>
      </c>
      <c r="C883" s="101" t="s">
        <v>2457</v>
      </c>
      <c r="D883" s="14" t="s">
        <v>3294</v>
      </c>
      <c r="E883" s="14" t="s">
        <v>3295</v>
      </c>
      <c r="F883" s="65" t="s">
        <v>841</v>
      </c>
      <c r="G883" s="106">
        <v>0.9</v>
      </c>
      <c r="H883" s="103" t="s">
        <v>3239</v>
      </c>
    </row>
    <row r="884" spans="1:8" ht="13.5" customHeight="1" x14ac:dyDescent="0.25">
      <c r="A884" s="24" t="s">
        <v>2458</v>
      </c>
      <c r="B884" s="38" t="s">
        <v>2403</v>
      </c>
      <c r="C884" s="100" t="s">
        <v>2459</v>
      </c>
      <c r="D884" s="25" t="s">
        <v>3294</v>
      </c>
      <c r="E884" s="25" t="s">
        <v>3295</v>
      </c>
      <c r="F884" s="65" t="s">
        <v>841</v>
      </c>
      <c r="G884" s="106">
        <v>0.9</v>
      </c>
      <c r="H884" s="103" t="s">
        <v>3239</v>
      </c>
    </row>
    <row r="885" spans="1:8" ht="13.5" customHeight="1" x14ac:dyDescent="0.25">
      <c r="A885" s="13" t="s">
        <v>2460</v>
      </c>
      <c r="B885" s="49" t="s">
        <v>2403</v>
      </c>
      <c r="C885" s="101" t="s">
        <v>2461</v>
      </c>
      <c r="D885" s="14" t="s">
        <v>3294</v>
      </c>
      <c r="E885" s="14" t="s">
        <v>3295</v>
      </c>
      <c r="F885" s="65" t="s">
        <v>841</v>
      </c>
      <c r="G885" s="106">
        <v>0.9</v>
      </c>
      <c r="H885" s="103" t="s">
        <v>3239</v>
      </c>
    </row>
    <row r="886" spans="1:8" ht="13.5" customHeight="1" x14ac:dyDescent="0.25">
      <c r="A886" s="24" t="s">
        <v>2462</v>
      </c>
      <c r="B886" s="38" t="s">
        <v>2403</v>
      </c>
      <c r="C886" s="100" t="s">
        <v>2463</v>
      </c>
      <c r="D886" s="25" t="s">
        <v>3294</v>
      </c>
      <c r="E886" s="25" t="s">
        <v>3295</v>
      </c>
      <c r="F886" s="65" t="s">
        <v>841</v>
      </c>
      <c r="G886" s="106">
        <v>0.9</v>
      </c>
      <c r="H886" s="103" t="s">
        <v>3239</v>
      </c>
    </row>
    <row r="887" spans="1:8" ht="13.5" customHeight="1" x14ac:dyDescent="0.25">
      <c r="A887" s="13" t="s">
        <v>2464</v>
      </c>
      <c r="B887" s="49" t="s">
        <v>2403</v>
      </c>
      <c r="C887" s="101" t="s">
        <v>2465</v>
      </c>
      <c r="D887" s="14" t="s">
        <v>3294</v>
      </c>
      <c r="E887" s="14" t="s">
        <v>3295</v>
      </c>
      <c r="F887" s="65" t="s">
        <v>841</v>
      </c>
      <c r="G887" s="106">
        <v>0.9</v>
      </c>
      <c r="H887" s="103" t="s">
        <v>3239</v>
      </c>
    </row>
    <row r="888" spans="1:8" ht="13.5" customHeight="1" x14ac:dyDescent="0.25">
      <c r="A888" s="24" t="s">
        <v>2466</v>
      </c>
      <c r="B888" s="38" t="s">
        <v>2403</v>
      </c>
      <c r="C888" s="100" t="s">
        <v>2467</v>
      </c>
      <c r="D888" s="25" t="s">
        <v>3294</v>
      </c>
      <c r="E888" s="25" t="s">
        <v>3295</v>
      </c>
      <c r="F888" s="65" t="s">
        <v>841</v>
      </c>
      <c r="G888" s="106">
        <v>0.9</v>
      </c>
      <c r="H888" s="103" t="s">
        <v>3239</v>
      </c>
    </row>
    <row r="889" spans="1:8" ht="13.5" customHeight="1" x14ac:dyDescent="0.25">
      <c r="A889" s="13" t="s">
        <v>2468</v>
      </c>
      <c r="B889" s="49" t="s">
        <v>2403</v>
      </c>
      <c r="C889" s="101" t="s">
        <v>2469</v>
      </c>
      <c r="D889" s="14" t="s">
        <v>3294</v>
      </c>
      <c r="E889" s="14" t="s">
        <v>3295</v>
      </c>
      <c r="F889" s="65" t="s">
        <v>841</v>
      </c>
      <c r="G889" s="106">
        <v>0.9</v>
      </c>
      <c r="H889" s="103" t="s">
        <v>3239</v>
      </c>
    </row>
    <row r="890" spans="1:8" ht="13.5" customHeight="1" x14ac:dyDescent="0.25">
      <c r="A890" s="24" t="s">
        <v>2470</v>
      </c>
      <c r="B890" s="38" t="s">
        <v>2403</v>
      </c>
      <c r="C890" s="100" t="s">
        <v>2471</v>
      </c>
      <c r="D890" s="25" t="s">
        <v>3294</v>
      </c>
      <c r="E890" s="25" t="s">
        <v>3295</v>
      </c>
      <c r="F890" s="65" t="s">
        <v>841</v>
      </c>
      <c r="G890" s="106">
        <v>0.9</v>
      </c>
      <c r="H890" s="103" t="s">
        <v>3239</v>
      </c>
    </row>
    <row r="891" spans="1:8" ht="13.5" customHeight="1" x14ac:dyDescent="0.25">
      <c r="A891" s="13" t="s">
        <v>2472</v>
      </c>
      <c r="B891" s="49" t="s">
        <v>2403</v>
      </c>
      <c r="C891" s="101" t="s">
        <v>2473</v>
      </c>
      <c r="D891" s="14" t="s">
        <v>3294</v>
      </c>
      <c r="E891" s="14" t="s">
        <v>3295</v>
      </c>
      <c r="F891" s="65" t="s">
        <v>841</v>
      </c>
      <c r="G891" s="106">
        <v>0.9</v>
      </c>
      <c r="H891" s="103" t="s">
        <v>3239</v>
      </c>
    </row>
    <row r="892" spans="1:8" ht="13.5" customHeight="1" x14ac:dyDescent="0.25">
      <c r="A892" s="24" t="s">
        <v>2474</v>
      </c>
      <c r="B892" s="38" t="s">
        <v>2403</v>
      </c>
      <c r="C892" s="100" t="s">
        <v>2475</v>
      </c>
      <c r="D892" s="25" t="s">
        <v>3294</v>
      </c>
      <c r="E892" s="25" t="s">
        <v>3295</v>
      </c>
      <c r="F892" s="65" t="s">
        <v>841</v>
      </c>
      <c r="G892" s="106">
        <v>0.9</v>
      </c>
      <c r="H892" s="103" t="s">
        <v>3239</v>
      </c>
    </row>
    <row r="893" spans="1:8" ht="13.5" customHeight="1" x14ac:dyDescent="0.25">
      <c r="A893" s="13" t="s">
        <v>2476</v>
      </c>
      <c r="B893" s="49" t="s">
        <v>2403</v>
      </c>
      <c r="C893" s="101" t="s">
        <v>2477</v>
      </c>
      <c r="D893" s="14" t="s">
        <v>3296</v>
      </c>
      <c r="E893" s="14" t="s">
        <v>3295</v>
      </c>
      <c r="F893" s="65" t="s">
        <v>841</v>
      </c>
      <c r="G893" s="106">
        <v>0.9</v>
      </c>
      <c r="H893" s="103" t="s">
        <v>3239</v>
      </c>
    </row>
    <row r="894" spans="1:8" ht="13.5" customHeight="1" x14ac:dyDescent="0.25">
      <c r="A894" s="24" t="s">
        <v>2479</v>
      </c>
      <c r="B894" s="38" t="s">
        <v>2403</v>
      </c>
      <c r="C894" s="100" t="s">
        <v>2480</v>
      </c>
      <c r="D894" s="25" t="s">
        <v>3296</v>
      </c>
      <c r="E894" s="25" t="s">
        <v>3295</v>
      </c>
      <c r="F894" s="65" t="s">
        <v>841</v>
      </c>
      <c r="G894" s="106">
        <v>0.9</v>
      </c>
      <c r="H894" s="103" t="s">
        <v>3239</v>
      </c>
    </row>
    <row r="895" spans="1:8" ht="13.5" customHeight="1" x14ac:dyDescent="0.25">
      <c r="A895" s="13" t="s">
        <v>2481</v>
      </c>
      <c r="B895" s="49" t="s">
        <v>2403</v>
      </c>
      <c r="C895" s="101" t="s">
        <v>2482</v>
      </c>
      <c r="D895" s="14" t="s">
        <v>3296</v>
      </c>
      <c r="E895" s="14" t="s">
        <v>3295</v>
      </c>
      <c r="F895" s="65" t="s">
        <v>841</v>
      </c>
      <c r="G895" s="106">
        <v>0.9</v>
      </c>
      <c r="H895" s="103" t="s">
        <v>3239</v>
      </c>
    </row>
    <row r="896" spans="1:8" ht="13.5" customHeight="1" x14ac:dyDescent="0.25">
      <c r="A896" s="24" t="s">
        <v>2483</v>
      </c>
      <c r="B896" s="38" t="s">
        <v>2403</v>
      </c>
      <c r="C896" s="100" t="s">
        <v>2484</v>
      </c>
      <c r="D896" s="25" t="s">
        <v>3296</v>
      </c>
      <c r="E896" s="25" t="s">
        <v>3295</v>
      </c>
      <c r="F896" s="65" t="s">
        <v>841</v>
      </c>
      <c r="G896" s="106">
        <v>0.9</v>
      </c>
      <c r="H896" s="103" t="s">
        <v>3239</v>
      </c>
    </row>
    <row r="897" spans="1:8" ht="13.5" customHeight="1" x14ac:dyDescent="0.25">
      <c r="A897" s="13" t="s">
        <v>2485</v>
      </c>
      <c r="B897" s="49" t="s">
        <v>2403</v>
      </c>
      <c r="C897" s="101" t="s">
        <v>2486</v>
      </c>
      <c r="D897" s="14" t="s">
        <v>3296</v>
      </c>
      <c r="E897" s="14" t="s">
        <v>3295</v>
      </c>
      <c r="F897" s="65" t="s">
        <v>841</v>
      </c>
      <c r="G897" s="106">
        <v>0.9</v>
      </c>
      <c r="H897" s="103" t="s">
        <v>3239</v>
      </c>
    </row>
    <row r="898" spans="1:8" ht="13.5" customHeight="1" x14ac:dyDescent="0.25">
      <c r="A898" s="24" t="s">
        <v>2487</v>
      </c>
      <c r="B898" s="38" t="s">
        <v>2403</v>
      </c>
      <c r="C898" s="100" t="s">
        <v>2488</v>
      </c>
      <c r="D898" s="25" t="s">
        <v>3296</v>
      </c>
      <c r="E898" s="25" t="s">
        <v>3295</v>
      </c>
      <c r="F898" s="65" t="s">
        <v>841</v>
      </c>
      <c r="G898" s="106">
        <v>0.9</v>
      </c>
      <c r="H898" s="103" t="s">
        <v>3239</v>
      </c>
    </row>
    <row r="899" spans="1:8" ht="13.5" customHeight="1" x14ac:dyDescent="0.25">
      <c r="A899" s="13" t="s">
        <v>2489</v>
      </c>
      <c r="B899" s="49" t="s">
        <v>2403</v>
      </c>
      <c r="C899" s="101" t="s">
        <v>2490</v>
      </c>
      <c r="D899" s="14" t="s">
        <v>3296</v>
      </c>
      <c r="E899" s="14" t="s">
        <v>3295</v>
      </c>
      <c r="F899" s="65" t="s">
        <v>841</v>
      </c>
      <c r="G899" s="106">
        <v>0.9</v>
      </c>
      <c r="H899" s="103" t="s">
        <v>3239</v>
      </c>
    </row>
    <row r="900" spans="1:8" ht="13.5" customHeight="1" x14ac:dyDescent="0.25">
      <c r="A900" s="24" t="s">
        <v>2491</v>
      </c>
      <c r="B900" s="38" t="s">
        <v>2403</v>
      </c>
      <c r="C900" s="100" t="s">
        <v>2492</v>
      </c>
      <c r="D900" s="25" t="s">
        <v>3296</v>
      </c>
      <c r="E900" s="25" t="s">
        <v>3295</v>
      </c>
      <c r="F900" s="65" t="s">
        <v>841</v>
      </c>
      <c r="G900" s="106">
        <v>0.9</v>
      </c>
      <c r="H900" s="103" t="s">
        <v>3239</v>
      </c>
    </row>
    <row r="901" spans="1:8" ht="13.5" customHeight="1" x14ac:dyDescent="0.25">
      <c r="A901" s="13" t="s">
        <v>2493</v>
      </c>
      <c r="B901" s="49" t="s">
        <v>2403</v>
      </c>
      <c r="C901" s="101" t="s">
        <v>2494</v>
      </c>
      <c r="D901" s="14" t="s">
        <v>3297</v>
      </c>
      <c r="E901" s="14" t="s">
        <v>3295</v>
      </c>
      <c r="F901" s="65" t="s">
        <v>841</v>
      </c>
      <c r="G901" s="106">
        <v>0.9</v>
      </c>
      <c r="H901" s="103" t="s">
        <v>3239</v>
      </c>
    </row>
    <row r="902" spans="1:8" ht="13.5" customHeight="1" x14ac:dyDescent="0.25">
      <c r="A902" s="24" t="s">
        <v>2496</v>
      </c>
      <c r="B902" s="38" t="s">
        <v>2403</v>
      </c>
      <c r="C902" s="100" t="s">
        <v>2497</v>
      </c>
      <c r="D902" s="25" t="s">
        <v>3297</v>
      </c>
      <c r="E902" s="25" t="s">
        <v>3295</v>
      </c>
      <c r="F902" s="65" t="s">
        <v>841</v>
      </c>
      <c r="G902" s="106">
        <v>0.9</v>
      </c>
      <c r="H902" s="103" t="s">
        <v>3239</v>
      </c>
    </row>
    <row r="903" spans="1:8" ht="13.5" customHeight="1" x14ac:dyDescent="0.25">
      <c r="A903" s="13" t="s">
        <v>2498</v>
      </c>
      <c r="B903" s="49" t="s">
        <v>2403</v>
      </c>
      <c r="C903" s="101" t="s">
        <v>2499</v>
      </c>
      <c r="D903" s="14" t="s">
        <v>3297</v>
      </c>
      <c r="E903" s="14" t="s">
        <v>3295</v>
      </c>
      <c r="F903" s="65" t="s">
        <v>841</v>
      </c>
      <c r="G903" s="106">
        <v>0.9</v>
      </c>
      <c r="H903" s="103" t="s">
        <v>3239</v>
      </c>
    </row>
    <row r="904" spans="1:8" ht="13.5" customHeight="1" x14ac:dyDescent="0.25">
      <c r="A904" s="24" t="s">
        <v>2500</v>
      </c>
      <c r="B904" s="38" t="s">
        <v>2403</v>
      </c>
      <c r="C904" s="100" t="s">
        <v>2501</v>
      </c>
      <c r="D904" s="25" t="s">
        <v>3297</v>
      </c>
      <c r="E904" s="25" t="s">
        <v>3295</v>
      </c>
      <c r="F904" s="65" t="s">
        <v>841</v>
      </c>
      <c r="G904" s="106">
        <v>0.9</v>
      </c>
      <c r="H904" s="103" t="s">
        <v>3239</v>
      </c>
    </row>
    <row r="905" spans="1:8" ht="13.5" customHeight="1" x14ac:dyDescent="0.25">
      <c r="A905" s="13" t="s">
        <v>2502</v>
      </c>
      <c r="B905" s="49" t="s">
        <v>2403</v>
      </c>
      <c r="C905" s="101" t="s">
        <v>2503</v>
      </c>
      <c r="D905" s="14" t="s">
        <v>3297</v>
      </c>
      <c r="E905" s="14" t="s">
        <v>3295</v>
      </c>
      <c r="F905" s="65" t="s">
        <v>841</v>
      </c>
      <c r="G905" s="106">
        <v>0.9</v>
      </c>
      <c r="H905" s="103" t="s">
        <v>3239</v>
      </c>
    </row>
    <row r="906" spans="1:8" ht="13.5" customHeight="1" x14ac:dyDescent="0.25">
      <c r="A906" s="24" t="s">
        <v>2504</v>
      </c>
      <c r="B906" s="38" t="s">
        <v>2403</v>
      </c>
      <c r="C906" s="100" t="s">
        <v>2505</v>
      </c>
      <c r="D906" s="25" t="s">
        <v>3297</v>
      </c>
      <c r="E906" s="25" t="s">
        <v>3295</v>
      </c>
      <c r="F906" s="65" t="s">
        <v>841</v>
      </c>
      <c r="G906" s="106">
        <v>0.9</v>
      </c>
      <c r="H906" s="103" t="s">
        <v>3239</v>
      </c>
    </row>
    <row r="907" spans="1:8" ht="13.5" customHeight="1" x14ac:dyDescent="0.25">
      <c r="A907" s="13" t="s">
        <v>2506</v>
      </c>
      <c r="B907" s="49" t="s">
        <v>2403</v>
      </c>
      <c r="C907" s="101" t="s">
        <v>2507</v>
      </c>
      <c r="D907" s="14" t="s">
        <v>3297</v>
      </c>
      <c r="E907" s="14" t="s">
        <v>3295</v>
      </c>
      <c r="F907" s="65" t="s">
        <v>841</v>
      </c>
      <c r="G907" s="106">
        <v>0.9</v>
      </c>
      <c r="H907" s="103" t="s">
        <v>3239</v>
      </c>
    </row>
    <row r="908" spans="1:8" ht="13.5" customHeight="1" x14ac:dyDescent="0.25">
      <c r="A908" s="24" t="s">
        <v>2508</v>
      </c>
      <c r="B908" s="38" t="s">
        <v>2403</v>
      </c>
      <c r="C908" s="100" t="s">
        <v>2509</v>
      </c>
      <c r="D908" s="25" t="s">
        <v>3297</v>
      </c>
      <c r="E908" s="25" t="s">
        <v>3295</v>
      </c>
      <c r="F908" s="65" t="s">
        <v>841</v>
      </c>
      <c r="G908" s="106">
        <v>0.9</v>
      </c>
      <c r="H908" s="103" t="s">
        <v>3239</v>
      </c>
    </row>
    <row r="909" spans="1:8" ht="13.5" customHeight="1" x14ac:dyDescent="0.25">
      <c r="A909" s="13" t="s">
        <v>2510</v>
      </c>
      <c r="B909" s="49" t="s">
        <v>2403</v>
      </c>
      <c r="C909" s="101" t="s">
        <v>2511</v>
      </c>
      <c r="D909" s="14" t="s">
        <v>3297</v>
      </c>
      <c r="E909" s="14" t="s">
        <v>3295</v>
      </c>
      <c r="F909" s="65" t="s">
        <v>841</v>
      </c>
      <c r="G909" s="106">
        <v>0.9</v>
      </c>
      <c r="H909" s="103" t="s">
        <v>3239</v>
      </c>
    </row>
    <row r="910" spans="1:8" ht="13.5" customHeight="1" x14ac:dyDescent="0.25">
      <c r="A910" s="24" t="s">
        <v>2512</v>
      </c>
      <c r="B910" s="38" t="s">
        <v>2403</v>
      </c>
      <c r="C910" s="100" t="s">
        <v>2513</v>
      </c>
      <c r="D910" s="25" t="s">
        <v>3297</v>
      </c>
      <c r="E910" s="25" t="s">
        <v>3295</v>
      </c>
      <c r="F910" s="65" t="s">
        <v>841</v>
      </c>
      <c r="G910" s="106">
        <v>0.9</v>
      </c>
      <c r="H910" s="103" t="s">
        <v>3239</v>
      </c>
    </row>
    <row r="911" spans="1:8" ht="13.5" customHeight="1" x14ac:dyDescent="0.25">
      <c r="A911" s="13" t="s">
        <v>2514</v>
      </c>
      <c r="B911" s="49" t="s">
        <v>2403</v>
      </c>
      <c r="C911" s="101" t="s">
        <v>2515</v>
      </c>
      <c r="D911" s="14" t="s">
        <v>3297</v>
      </c>
      <c r="E911" s="14" t="s">
        <v>3295</v>
      </c>
      <c r="F911" s="65" t="s">
        <v>841</v>
      </c>
      <c r="G911" s="106">
        <v>0.9</v>
      </c>
      <c r="H911" s="103" t="s">
        <v>3239</v>
      </c>
    </row>
    <row r="912" spans="1:8" ht="13.5" customHeight="1" x14ac:dyDescent="0.25">
      <c r="A912" s="24" t="s">
        <v>2516</v>
      </c>
      <c r="B912" s="38" t="s">
        <v>2403</v>
      </c>
      <c r="C912" s="100" t="s">
        <v>2517</v>
      </c>
      <c r="D912" s="25" t="s">
        <v>3297</v>
      </c>
      <c r="E912" s="25" t="s">
        <v>3295</v>
      </c>
      <c r="F912" s="65" t="s">
        <v>841</v>
      </c>
      <c r="G912" s="106">
        <v>0.9</v>
      </c>
      <c r="H912" s="103" t="s">
        <v>3239</v>
      </c>
    </row>
    <row r="913" spans="1:8" ht="13.5" customHeight="1" x14ac:dyDescent="0.25">
      <c r="A913" s="13" t="s">
        <v>2518</v>
      </c>
      <c r="B913" s="49" t="s">
        <v>2403</v>
      </c>
      <c r="C913" s="101" t="s">
        <v>2519</v>
      </c>
      <c r="D913" s="14" t="s">
        <v>3297</v>
      </c>
      <c r="E913" s="14" t="s">
        <v>3295</v>
      </c>
      <c r="F913" s="65" t="s">
        <v>841</v>
      </c>
      <c r="G913" s="106">
        <v>0.9</v>
      </c>
      <c r="H913" s="103" t="s">
        <v>3239</v>
      </c>
    </row>
    <row r="914" spans="1:8" ht="13.5" customHeight="1" x14ac:dyDescent="0.25">
      <c r="A914" s="24" t="s">
        <v>2520</v>
      </c>
      <c r="B914" s="38" t="s">
        <v>2403</v>
      </c>
      <c r="C914" s="100" t="s">
        <v>2521</v>
      </c>
      <c r="D914" s="25" t="s">
        <v>3297</v>
      </c>
      <c r="E914" s="25" t="s">
        <v>3295</v>
      </c>
      <c r="F914" s="65" t="s">
        <v>841</v>
      </c>
      <c r="G914" s="106">
        <v>0.9</v>
      </c>
      <c r="H914" s="103" t="s">
        <v>3239</v>
      </c>
    </row>
    <row r="915" spans="1:8" ht="13.5" customHeight="1" x14ac:dyDescent="0.25">
      <c r="A915" s="13" t="s">
        <v>2522</v>
      </c>
      <c r="B915" s="49" t="s">
        <v>2403</v>
      </c>
      <c r="C915" s="101" t="s">
        <v>2523</v>
      </c>
      <c r="D915" s="14" t="s">
        <v>3297</v>
      </c>
      <c r="E915" s="14" t="s">
        <v>3295</v>
      </c>
      <c r="F915" s="65" t="s">
        <v>841</v>
      </c>
      <c r="G915" s="106">
        <v>0.9</v>
      </c>
      <c r="H915" s="103" t="s">
        <v>3239</v>
      </c>
    </row>
    <row r="916" spans="1:8" ht="13.5" customHeight="1" x14ac:dyDescent="0.25">
      <c r="A916" s="24" t="s">
        <v>2524</v>
      </c>
      <c r="B916" s="38" t="s">
        <v>2403</v>
      </c>
      <c r="C916" s="100" t="s">
        <v>2525</v>
      </c>
      <c r="D916" s="25" t="s">
        <v>3297</v>
      </c>
      <c r="E916" s="25" t="s">
        <v>3295</v>
      </c>
      <c r="F916" s="65" t="s">
        <v>841</v>
      </c>
      <c r="G916" s="106">
        <v>0.9</v>
      </c>
      <c r="H916" s="103" t="s">
        <v>3239</v>
      </c>
    </row>
    <row r="917" spans="1:8" ht="13.5" customHeight="1" x14ac:dyDescent="0.25">
      <c r="A917" s="13" t="s">
        <v>2526</v>
      </c>
      <c r="B917" s="49" t="s">
        <v>2403</v>
      </c>
      <c r="C917" s="101" t="s">
        <v>2527</v>
      </c>
      <c r="D917" s="14" t="s">
        <v>3297</v>
      </c>
      <c r="E917" s="14" t="s">
        <v>3295</v>
      </c>
      <c r="F917" s="65" t="s">
        <v>841</v>
      </c>
      <c r="G917" s="106">
        <v>0.9</v>
      </c>
      <c r="H917" s="103" t="s">
        <v>3239</v>
      </c>
    </row>
    <row r="918" spans="1:8" ht="13.5" customHeight="1" x14ac:dyDescent="0.25">
      <c r="A918" s="24" t="s">
        <v>2528</v>
      </c>
      <c r="B918" s="38" t="s">
        <v>2403</v>
      </c>
      <c r="C918" s="100" t="s">
        <v>2529</v>
      </c>
      <c r="D918" s="25" t="s">
        <v>3297</v>
      </c>
      <c r="E918" s="25" t="s">
        <v>3295</v>
      </c>
      <c r="F918" s="65" t="s">
        <v>841</v>
      </c>
      <c r="G918" s="106">
        <v>0.9</v>
      </c>
      <c r="H918" s="103" t="s">
        <v>3239</v>
      </c>
    </row>
    <row r="919" spans="1:8" ht="13.5" customHeight="1" x14ac:dyDescent="0.25">
      <c r="A919" s="13" t="s">
        <v>2530</v>
      </c>
      <c r="B919" s="49" t="s">
        <v>2403</v>
      </c>
      <c r="C919" s="101" t="s">
        <v>2531</v>
      </c>
      <c r="D919" s="14" t="s">
        <v>3297</v>
      </c>
      <c r="E919" s="14" t="s">
        <v>3295</v>
      </c>
      <c r="F919" s="65" t="s">
        <v>841</v>
      </c>
      <c r="G919" s="106">
        <v>0.9</v>
      </c>
      <c r="H919" s="103" t="s">
        <v>3239</v>
      </c>
    </row>
    <row r="920" spans="1:8" ht="13.5" customHeight="1" x14ac:dyDescent="0.25">
      <c r="A920" s="24" t="s">
        <v>2532</v>
      </c>
      <c r="B920" s="38" t="s">
        <v>2403</v>
      </c>
      <c r="C920" s="100" t="s">
        <v>2533</v>
      </c>
      <c r="D920" s="25" t="s">
        <v>3297</v>
      </c>
      <c r="E920" s="25" t="s">
        <v>3295</v>
      </c>
      <c r="F920" s="65" t="s">
        <v>841</v>
      </c>
      <c r="G920" s="106">
        <v>0.9</v>
      </c>
      <c r="H920" s="103" t="s">
        <v>3239</v>
      </c>
    </row>
    <row r="921" spans="1:8" ht="13.5" customHeight="1" x14ac:dyDescent="0.25">
      <c r="A921" s="13" t="s">
        <v>2534</v>
      </c>
      <c r="B921" s="49" t="s">
        <v>2403</v>
      </c>
      <c r="C921" s="101" t="s">
        <v>2535</v>
      </c>
      <c r="D921" s="14" t="s">
        <v>3297</v>
      </c>
      <c r="E921" s="14" t="s">
        <v>3295</v>
      </c>
      <c r="F921" s="65" t="s">
        <v>841</v>
      </c>
      <c r="G921" s="106">
        <v>0.9</v>
      </c>
      <c r="H921" s="103" t="s">
        <v>3239</v>
      </c>
    </row>
    <row r="922" spans="1:8" ht="13.5" customHeight="1" x14ac:dyDescent="0.25">
      <c r="A922" s="24" t="s">
        <v>2536</v>
      </c>
      <c r="B922" s="38" t="s">
        <v>2537</v>
      </c>
      <c r="C922" s="100" t="s">
        <v>2538</v>
      </c>
      <c r="D922" s="25" t="s">
        <v>3298</v>
      </c>
      <c r="E922" s="25" t="s">
        <v>3298</v>
      </c>
      <c r="F922" s="65" t="s">
        <v>841</v>
      </c>
      <c r="G922" s="106">
        <v>0.9</v>
      </c>
      <c r="H922" s="103" t="s">
        <v>3239</v>
      </c>
    </row>
    <row r="923" spans="1:8" ht="13.5" customHeight="1" x14ac:dyDescent="0.25">
      <c r="A923" s="13" t="s">
        <v>2540</v>
      </c>
      <c r="B923" s="49" t="s">
        <v>2537</v>
      </c>
      <c r="C923" s="101" t="s">
        <v>2541</v>
      </c>
      <c r="D923" s="14" t="s">
        <v>3298</v>
      </c>
      <c r="E923" s="14" t="s">
        <v>3298</v>
      </c>
      <c r="F923" s="65" t="s">
        <v>841</v>
      </c>
      <c r="G923" s="106">
        <v>0.9</v>
      </c>
      <c r="H923" s="103" t="s">
        <v>3239</v>
      </c>
    </row>
    <row r="924" spans="1:8" ht="13.5" customHeight="1" x14ac:dyDescent="0.25">
      <c r="A924" s="24" t="s">
        <v>2542</v>
      </c>
      <c r="B924" s="38" t="s">
        <v>2537</v>
      </c>
      <c r="C924" s="100" t="s">
        <v>2543</v>
      </c>
      <c r="D924" s="25" t="s">
        <v>3298</v>
      </c>
      <c r="E924" s="25" t="s">
        <v>3298</v>
      </c>
      <c r="F924" s="65" t="s">
        <v>841</v>
      </c>
      <c r="G924" s="106">
        <v>0.9</v>
      </c>
      <c r="H924" s="103" t="s">
        <v>3239</v>
      </c>
    </row>
    <row r="925" spans="1:8" ht="13.5" customHeight="1" x14ac:dyDescent="0.25">
      <c r="A925" s="13" t="s">
        <v>2544</v>
      </c>
      <c r="B925" s="49" t="s">
        <v>2537</v>
      </c>
      <c r="C925" s="101" t="s">
        <v>2545</v>
      </c>
      <c r="D925" s="14" t="s">
        <v>3298</v>
      </c>
      <c r="E925" s="14" t="s">
        <v>3298</v>
      </c>
      <c r="F925" s="65" t="s">
        <v>841</v>
      </c>
      <c r="G925" s="106">
        <v>0.9</v>
      </c>
      <c r="H925" s="103" t="s">
        <v>3239</v>
      </c>
    </row>
    <row r="926" spans="1:8" ht="13.5" customHeight="1" x14ac:dyDescent="0.25">
      <c r="A926" s="24" t="s">
        <v>2546</v>
      </c>
      <c r="B926" s="38" t="s">
        <v>2537</v>
      </c>
      <c r="C926" s="100" t="s">
        <v>2547</v>
      </c>
      <c r="D926" s="25" t="s">
        <v>3298</v>
      </c>
      <c r="E926" s="25" t="s">
        <v>3298</v>
      </c>
      <c r="F926" s="65" t="s">
        <v>841</v>
      </c>
      <c r="G926" s="106">
        <v>0.9</v>
      </c>
      <c r="H926" s="103" t="s">
        <v>3239</v>
      </c>
    </row>
    <row r="927" spans="1:8" ht="13.5" customHeight="1" x14ac:dyDescent="0.25">
      <c r="A927" s="13" t="s">
        <v>2548</v>
      </c>
      <c r="B927" s="49" t="s">
        <v>2537</v>
      </c>
      <c r="C927" s="101" t="s">
        <v>2549</v>
      </c>
      <c r="D927" s="14" t="s">
        <v>3298</v>
      </c>
      <c r="E927" s="14" t="s">
        <v>3298</v>
      </c>
      <c r="F927" s="65" t="s">
        <v>841</v>
      </c>
      <c r="G927" s="106">
        <v>0.9</v>
      </c>
      <c r="H927" s="103" t="s">
        <v>3239</v>
      </c>
    </row>
    <row r="928" spans="1:8" ht="13.5" customHeight="1" x14ac:dyDescent="0.25">
      <c r="A928" s="24" t="s">
        <v>2550</v>
      </c>
      <c r="B928" s="38" t="s">
        <v>2551</v>
      </c>
      <c r="C928" s="100" t="s">
        <v>2552</v>
      </c>
      <c r="D928" s="25" t="s">
        <v>3299</v>
      </c>
      <c r="E928" s="25" t="s">
        <v>3300</v>
      </c>
      <c r="F928" s="65" t="s">
        <v>841</v>
      </c>
      <c r="G928" s="106">
        <v>0.9</v>
      </c>
      <c r="H928" s="103" t="s">
        <v>3239</v>
      </c>
    </row>
    <row r="929" spans="1:8" ht="13.5" customHeight="1" x14ac:dyDescent="0.25">
      <c r="A929" s="13" t="s">
        <v>2554</v>
      </c>
      <c r="B929" s="49" t="s">
        <v>2551</v>
      </c>
      <c r="C929" s="101" t="s">
        <v>2555</v>
      </c>
      <c r="D929" s="14" t="s">
        <v>3299</v>
      </c>
      <c r="E929" s="14" t="s">
        <v>3300</v>
      </c>
      <c r="F929" s="65" t="s">
        <v>841</v>
      </c>
      <c r="G929" s="106">
        <v>0.9</v>
      </c>
      <c r="H929" s="103" t="s">
        <v>3239</v>
      </c>
    </row>
    <row r="930" spans="1:8" ht="13.5" customHeight="1" x14ac:dyDescent="0.25">
      <c r="A930" s="24" t="s">
        <v>2556</v>
      </c>
      <c r="B930" s="38" t="s">
        <v>2551</v>
      </c>
      <c r="C930" s="100" t="s">
        <v>2557</v>
      </c>
      <c r="D930" s="25" t="s">
        <v>3299</v>
      </c>
      <c r="E930" s="25" t="s">
        <v>3300</v>
      </c>
      <c r="F930" s="65" t="s">
        <v>841</v>
      </c>
      <c r="G930" s="106">
        <v>0.9</v>
      </c>
      <c r="H930" s="103" t="s">
        <v>3239</v>
      </c>
    </row>
    <row r="931" spans="1:8" ht="13.5" customHeight="1" x14ac:dyDescent="0.25">
      <c r="A931" s="13" t="s">
        <v>2558</v>
      </c>
      <c r="B931" s="49" t="s">
        <v>2551</v>
      </c>
      <c r="C931" s="101" t="s">
        <v>2559</v>
      </c>
      <c r="D931" s="14" t="s">
        <v>3299</v>
      </c>
      <c r="E931" s="14" t="s">
        <v>3300</v>
      </c>
      <c r="F931" s="65" t="s">
        <v>841</v>
      </c>
      <c r="G931" s="106">
        <v>0.9</v>
      </c>
      <c r="H931" s="103" t="s">
        <v>3239</v>
      </c>
    </row>
    <row r="932" spans="1:8" ht="13.5" customHeight="1" x14ac:dyDescent="0.25">
      <c r="A932" s="24" t="s">
        <v>2560</v>
      </c>
      <c r="B932" s="38" t="s">
        <v>2551</v>
      </c>
      <c r="C932" s="100" t="s">
        <v>2561</v>
      </c>
      <c r="D932" s="25" t="s">
        <v>3299</v>
      </c>
      <c r="E932" s="25" t="s">
        <v>3300</v>
      </c>
      <c r="F932" s="65" t="s">
        <v>841</v>
      </c>
      <c r="G932" s="106">
        <v>0.9</v>
      </c>
      <c r="H932" s="103" t="s">
        <v>3239</v>
      </c>
    </row>
    <row r="933" spans="1:8" ht="13.5" customHeight="1" x14ac:dyDescent="0.25">
      <c r="A933" s="13" t="s">
        <v>2562</v>
      </c>
      <c r="B933" s="49" t="s">
        <v>2551</v>
      </c>
      <c r="C933" s="101" t="s">
        <v>2563</v>
      </c>
      <c r="D933" s="14" t="s">
        <v>3299</v>
      </c>
      <c r="E933" s="14" t="s">
        <v>3300</v>
      </c>
      <c r="F933" s="65" t="s">
        <v>841</v>
      </c>
      <c r="G933" s="106">
        <v>0.9</v>
      </c>
      <c r="H933" s="103" t="s">
        <v>3239</v>
      </c>
    </row>
    <row r="934" spans="1:8" ht="13.5" customHeight="1" x14ac:dyDescent="0.25">
      <c r="A934" s="24" t="s">
        <v>2564</v>
      </c>
      <c r="B934" s="38" t="s">
        <v>2551</v>
      </c>
      <c r="C934" s="100" t="s">
        <v>2565</v>
      </c>
      <c r="D934" s="25" t="s">
        <v>3301</v>
      </c>
      <c r="E934" s="25" t="s">
        <v>3300</v>
      </c>
      <c r="F934" s="65" t="s">
        <v>841</v>
      </c>
      <c r="G934" s="106">
        <v>0.9</v>
      </c>
      <c r="H934" s="103" t="s">
        <v>3239</v>
      </c>
    </row>
    <row r="935" spans="1:8" ht="13.5" customHeight="1" x14ac:dyDescent="0.25">
      <c r="A935" s="13" t="s">
        <v>2566</v>
      </c>
      <c r="B935" s="49" t="s">
        <v>2551</v>
      </c>
      <c r="C935" s="101" t="s">
        <v>2567</v>
      </c>
      <c r="D935" s="14" t="s">
        <v>3302</v>
      </c>
      <c r="E935" s="14" t="s">
        <v>3300</v>
      </c>
      <c r="F935" s="40" t="s">
        <v>477</v>
      </c>
      <c r="G935" s="102">
        <v>1</v>
      </c>
      <c r="H935" s="103" t="s">
        <v>3239</v>
      </c>
    </row>
    <row r="936" spans="1:8" ht="13.5" customHeight="1" x14ac:dyDescent="0.25">
      <c r="A936" s="24" t="s">
        <v>2569</v>
      </c>
      <c r="B936" s="38" t="s">
        <v>2551</v>
      </c>
      <c r="C936" s="100" t="s">
        <v>2570</v>
      </c>
      <c r="D936" s="25" t="s">
        <v>3302</v>
      </c>
      <c r="E936" s="25" t="s">
        <v>3300</v>
      </c>
      <c r="F936" s="40" t="s">
        <v>477</v>
      </c>
      <c r="G936" s="102">
        <v>1</v>
      </c>
      <c r="H936" s="103" t="s">
        <v>3239</v>
      </c>
    </row>
    <row r="937" spans="1:8" ht="13.5" customHeight="1" x14ac:dyDescent="0.25">
      <c r="A937" s="13" t="s">
        <v>2571</v>
      </c>
      <c r="B937" s="49" t="s">
        <v>2551</v>
      </c>
      <c r="C937" s="101" t="s">
        <v>2572</v>
      </c>
      <c r="D937" s="14" t="s">
        <v>3302</v>
      </c>
      <c r="E937" s="14" t="s">
        <v>3300</v>
      </c>
      <c r="F937" s="40" t="s">
        <v>477</v>
      </c>
      <c r="G937" s="102">
        <v>1</v>
      </c>
      <c r="H937" s="103" t="s">
        <v>3239</v>
      </c>
    </row>
    <row r="938" spans="1:8" ht="13.5" customHeight="1" x14ac:dyDescent="0.25">
      <c r="A938" s="24" t="s">
        <v>2573</v>
      </c>
      <c r="B938" s="38" t="s">
        <v>2551</v>
      </c>
      <c r="C938" s="100" t="s">
        <v>2574</v>
      </c>
      <c r="D938" s="25" t="s">
        <v>3302</v>
      </c>
      <c r="E938" s="25" t="s">
        <v>3300</v>
      </c>
      <c r="F938" s="40" t="s">
        <v>477</v>
      </c>
      <c r="G938" s="102">
        <v>1</v>
      </c>
      <c r="H938" s="103" t="s">
        <v>3239</v>
      </c>
    </row>
    <row r="939" spans="1:8" ht="13.5" customHeight="1" x14ac:dyDescent="0.25">
      <c r="A939" s="13" t="s">
        <v>2575</v>
      </c>
      <c r="B939" s="49" t="s">
        <v>2551</v>
      </c>
      <c r="C939" s="101" t="s">
        <v>2576</v>
      </c>
      <c r="D939" s="14" t="s">
        <v>3302</v>
      </c>
      <c r="E939" s="14" t="s">
        <v>3300</v>
      </c>
      <c r="F939" s="40" t="s">
        <v>477</v>
      </c>
      <c r="G939" s="102">
        <v>1</v>
      </c>
      <c r="H939" s="103" t="s">
        <v>3239</v>
      </c>
    </row>
    <row r="940" spans="1:8" ht="13.5" customHeight="1" x14ac:dyDescent="0.25">
      <c r="A940" s="24" t="s">
        <v>2577</v>
      </c>
      <c r="B940" s="38" t="s">
        <v>2551</v>
      </c>
      <c r="C940" s="100" t="s">
        <v>2578</v>
      </c>
      <c r="D940" s="25" t="s">
        <v>3302</v>
      </c>
      <c r="E940" s="25" t="s">
        <v>3300</v>
      </c>
      <c r="F940" s="40" t="s">
        <v>477</v>
      </c>
      <c r="G940" s="102">
        <v>1</v>
      </c>
      <c r="H940" s="103" t="s">
        <v>3239</v>
      </c>
    </row>
    <row r="941" spans="1:8" ht="13.5" customHeight="1" x14ac:dyDescent="0.25">
      <c r="A941" s="13" t="s">
        <v>2579</v>
      </c>
      <c r="B941" s="49" t="s">
        <v>2551</v>
      </c>
      <c r="C941" s="101" t="s">
        <v>2580</v>
      </c>
      <c r="D941" s="14" t="s">
        <v>3302</v>
      </c>
      <c r="E941" s="14" t="s">
        <v>3300</v>
      </c>
      <c r="F941" s="40" t="s">
        <v>477</v>
      </c>
      <c r="G941" s="102">
        <v>1</v>
      </c>
      <c r="H941" s="103" t="s">
        <v>3239</v>
      </c>
    </row>
    <row r="942" spans="1:8" ht="13.5" customHeight="1" x14ac:dyDescent="0.25">
      <c r="A942" s="24" t="s">
        <v>2581</v>
      </c>
      <c r="B942" s="38" t="s">
        <v>2551</v>
      </c>
      <c r="C942" s="100" t="s">
        <v>2582</v>
      </c>
      <c r="D942" s="25" t="s">
        <v>3302</v>
      </c>
      <c r="E942" s="25" t="s">
        <v>3300</v>
      </c>
      <c r="F942" s="40" t="s">
        <v>477</v>
      </c>
      <c r="G942" s="102">
        <v>1</v>
      </c>
      <c r="H942" s="103" t="s">
        <v>3239</v>
      </c>
    </row>
    <row r="943" spans="1:8" ht="13.5" customHeight="1" x14ac:dyDescent="0.25">
      <c r="A943" s="13" t="s">
        <v>2583</v>
      </c>
      <c r="B943" s="49" t="s">
        <v>2551</v>
      </c>
      <c r="C943" s="101" t="s">
        <v>2584</v>
      </c>
      <c r="D943" s="14" t="s">
        <v>3303</v>
      </c>
      <c r="E943" s="14" t="s">
        <v>3300</v>
      </c>
      <c r="F943" s="40" t="s">
        <v>477</v>
      </c>
      <c r="G943" s="102">
        <v>1</v>
      </c>
      <c r="H943" s="103" t="s">
        <v>3239</v>
      </c>
    </row>
    <row r="944" spans="1:8" ht="13.5" customHeight="1" x14ac:dyDescent="0.25">
      <c r="A944" s="24" t="s">
        <v>2586</v>
      </c>
      <c r="B944" s="38" t="s">
        <v>2551</v>
      </c>
      <c r="C944" s="100" t="s">
        <v>2587</v>
      </c>
      <c r="D944" s="25" t="s">
        <v>3303</v>
      </c>
      <c r="E944" s="25" t="s">
        <v>3300</v>
      </c>
      <c r="F944" s="40" t="s">
        <v>477</v>
      </c>
      <c r="G944" s="102">
        <v>1</v>
      </c>
      <c r="H944" s="103" t="s">
        <v>3239</v>
      </c>
    </row>
    <row r="945" spans="1:8" ht="13.5" customHeight="1" x14ac:dyDescent="0.25">
      <c r="A945" s="13" t="s">
        <v>2588</v>
      </c>
      <c r="B945" s="49" t="s">
        <v>2551</v>
      </c>
      <c r="C945" s="101" t="s">
        <v>2589</v>
      </c>
      <c r="D945" s="14" t="s">
        <v>3304</v>
      </c>
      <c r="E945" s="14" t="s">
        <v>3300</v>
      </c>
      <c r="F945" s="65" t="s">
        <v>841</v>
      </c>
      <c r="G945" s="106">
        <v>0.9</v>
      </c>
      <c r="H945" s="103" t="s">
        <v>3239</v>
      </c>
    </row>
    <row r="946" spans="1:8" ht="13.5" customHeight="1" x14ac:dyDescent="0.25">
      <c r="A946" s="24" t="s">
        <v>2591</v>
      </c>
      <c r="B946" s="38" t="s">
        <v>2551</v>
      </c>
      <c r="C946" s="100" t="s">
        <v>2592</v>
      </c>
      <c r="D946" s="25" t="s">
        <v>3304</v>
      </c>
      <c r="E946" s="25" t="s">
        <v>3300</v>
      </c>
      <c r="F946" s="65" t="s">
        <v>841</v>
      </c>
      <c r="G946" s="106">
        <v>0.9</v>
      </c>
      <c r="H946" s="103" t="s">
        <v>3239</v>
      </c>
    </row>
    <row r="947" spans="1:8" ht="13.5" customHeight="1" x14ac:dyDescent="0.25">
      <c r="A947" s="13" t="s">
        <v>2593</v>
      </c>
      <c r="B947" s="49" t="s">
        <v>2551</v>
      </c>
      <c r="C947" s="101" t="s">
        <v>2594</v>
      </c>
      <c r="D947" s="14" t="s">
        <v>3304</v>
      </c>
      <c r="E947" s="14" t="s">
        <v>3300</v>
      </c>
      <c r="F947" s="65" t="s">
        <v>841</v>
      </c>
      <c r="G947" s="106">
        <v>0.9</v>
      </c>
      <c r="H947" s="103" t="s">
        <v>3239</v>
      </c>
    </row>
    <row r="948" spans="1:8" ht="13.5" customHeight="1" x14ac:dyDescent="0.25">
      <c r="A948" s="24" t="s">
        <v>2595</v>
      </c>
      <c r="B948" s="38" t="s">
        <v>2551</v>
      </c>
      <c r="C948" s="100" t="s">
        <v>2596</v>
      </c>
      <c r="D948" s="25" t="s">
        <v>3304</v>
      </c>
      <c r="E948" s="25" t="s">
        <v>3300</v>
      </c>
      <c r="F948" s="65" t="s">
        <v>841</v>
      </c>
      <c r="G948" s="106">
        <v>0.9</v>
      </c>
      <c r="H948" s="103" t="s">
        <v>3239</v>
      </c>
    </row>
    <row r="949" spans="1:8" ht="13.5" customHeight="1" x14ac:dyDescent="0.25">
      <c r="A949" s="13" t="s">
        <v>2597</v>
      </c>
      <c r="B949" s="49" t="s">
        <v>2551</v>
      </c>
      <c r="C949" s="101" t="s">
        <v>2598</v>
      </c>
      <c r="D949" s="14" t="s">
        <v>3304</v>
      </c>
      <c r="E949" s="14" t="s">
        <v>3300</v>
      </c>
      <c r="F949" s="65" t="s">
        <v>841</v>
      </c>
      <c r="G949" s="106">
        <v>0.9</v>
      </c>
      <c r="H949" s="103" t="s">
        <v>3239</v>
      </c>
    </row>
    <row r="950" spans="1:8" ht="13.5" customHeight="1" x14ac:dyDescent="0.25">
      <c r="A950" s="24" t="s">
        <v>2599</v>
      </c>
      <c r="B950" s="38" t="s">
        <v>2551</v>
      </c>
      <c r="C950" s="100" t="s">
        <v>2600</v>
      </c>
      <c r="D950" s="25" t="s">
        <v>3304</v>
      </c>
      <c r="E950" s="25" t="s">
        <v>3300</v>
      </c>
      <c r="F950" s="65" t="s">
        <v>841</v>
      </c>
      <c r="G950" s="106">
        <v>0.9</v>
      </c>
      <c r="H950" s="103" t="s">
        <v>3239</v>
      </c>
    </row>
    <row r="951" spans="1:8" ht="13.5" customHeight="1" x14ac:dyDescent="0.25">
      <c r="A951" s="13" t="s">
        <v>2601</v>
      </c>
      <c r="B951" s="49" t="s">
        <v>2551</v>
      </c>
      <c r="C951" s="101" t="s">
        <v>2602</v>
      </c>
      <c r="D951" s="14" t="s">
        <v>3304</v>
      </c>
      <c r="E951" s="14" t="s">
        <v>3300</v>
      </c>
      <c r="F951" s="65" t="s">
        <v>841</v>
      </c>
      <c r="G951" s="106">
        <v>0.9</v>
      </c>
      <c r="H951" s="103" t="s">
        <v>3239</v>
      </c>
    </row>
    <row r="952" spans="1:8" ht="13.5" customHeight="1" x14ac:dyDescent="0.25">
      <c r="A952" s="24" t="s">
        <v>2603</v>
      </c>
      <c r="B952" s="38" t="s">
        <v>2551</v>
      </c>
      <c r="C952" s="100" t="s">
        <v>2604</v>
      </c>
      <c r="D952" s="25" t="s">
        <v>3304</v>
      </c>
      <c r="E952" s="25" t="s">
        <v>3300</v>
      </c>
      <c r="F952" s="65" t="s">
        <v>841</v>
      </c>
      <c r="G952" s="106">
        <v>0.9</v>
      </c>
      <c r="H952" s="103" t="s">
        <v>3239</v>
      </c>
    </row>
    <row r="953" spans="1:8" ht="13.5" customHeight="1" x14ac:dyDescent="0.25">
      <c r="A953" s="13" t="s">
        <v>2605</v>
      </c>
      <c r="B953" s="49" t="s">
        <v>2551</v>
      </c>
      <c r="C953" s="101" t="s">
        <v>2606</v>
      </c>
      <c r="D953" s="14" t="s">
        <v>3305</v>
      </c>
      <c r="E953" s="14" t="s">
        <v>3300</v>
      </c>
      <c r="F953" s="65" t="s">
        <v>841</v>
      </c>
      <c r="G953" s="106">
        <v>0.9</v>
      </c>
      <c r="H953" s="103" t="s">
        <v>3239</v>
      </c>
    </row>
    <row r="954" spans="1:8" ht="13.5" customHeight="1" x14ac:dyDescent="0.25">
      <c r="A954" s="24" t="s">
        <v>2608</v>
      </c>
      <c r="B954" s="38" t="s">
        <v>2551</v>
      </c>
      <c r="C954" s="100" t="s">
        <v>2609</v>
      </c>
      <c r="D954" s="25" t="s">
        <v>3305</v>
      </c>
      <c r="E954" s="25" t="s">
        <v>3300</v>
      </c>
      <c r="F954" s="65" t="s">
        <v>841</v>
      </c>
      <c r="G954" s="106">
        <v>0.9</v>
      </c>
      <c r="H954" s="103" t="s">
        <v>3239</v>
      </c>
    </row>
    <row r="955" spans="1:8" ht="13.5" customHeight="1" x14ac:dyDescent="0.25">
      <c r="A955" s="13" t="s">
        <v>2610</v>
      </c>
      <c r="B955" s="49" t="s">
        <v>2551</v>
      </c>
      <c r="C955" s="101" t="s">
        <v>2611</v>
      </c>
      <c r="D955" s="14" t="s">
        <v>3305</v>
      </c>
      <c r="E955" s="14" t="s">
        <v>3300</v>
      </c>
      <c r="F955" s="65" t="s">
        <v>841</v>
      </c>
      <c r="G955" s="106">
        <v>0.9</v>
      </c>
      <c r="H955" s="103" t="s">
        <v>3239</v>
      </c>
    </row>
    <row r="956" spans="1:8" ht="13.5" customHeight="1" x14ac:dyDescent="0.25">
      <c r="A956" s="24" t="s">
        <v>2612</v>
      </c>
      <c r="B956" s="38" t="s">
        <v>2551</v>
      </c>
      <c r="C956" s="100" t="s">
        <v>2613</v>
      </c>
      <c r="D956" s="25" t="s">
        <v>3305</v>
      </c>
      <c r="E956" s="25" t="s">
        <v>3300</v>
      </c>
      <c r="F956" s="65" t="s">
        <v>841</v>
      </c>
      <c r="G956" s="106">
        <v>0.9</v>
      </c>
      <c r="H956" s="103" t="s">
        <v>3239</v>
      </c>
    </row>
    <row r="957" spans="1:8" ht="13.5" customHeight="1" x14ac:dyDescent="0.25">
      <c r="A957" s="13" t="s">
        <v>2614</v>
      </c>
      <c r="B957" s="49" t="s">
        <v>2551</v>
      </c>
      <c r="C957" s="101" t="s">
        <v>2615</v>
      </c>
      <c r="D957" s="14" t="s">
        <v>3305</v>
      </c>
      <c r="E957" s="14" t="s">
        <v>3300</v>
      </c>
      <c r="F957" s="65" t="s">
        <v>841</v>
      </c>
      <c r="G957" s="106">
        <v>0.9</v>
      </c>
      <c r="H957" s="103" t="s">
        <v>3239</v>
      </c>
    </row>
    <row r="958" spans="1:8" ht="13.5" customHeight="1" x14ac:dyDescent="0.25">
      <c r="A958" s="24" t="s">
        <v>2616</v>
      </c>
      <c r="B958" s="38" t="s">
        <v>2551</v>
      </c>
      <c r="C958" s="100" t="s">
        <v>2617</v>
      </c>
      <c r="D958" s="25" t="s">
        <v>3305</v>
      </c>
      <c r="E958" s="25" t="s">
        <v>3300</v>
      </c>
      <c r="F958" s="65" t="s">
        <v>841</v>
      </c>
      <c r="G958" s="106">
        <v>0.9</v>
      </c>
      <c r="H958" s="103" t="s">
        <v>3239</v>
      </c>
    </row>
    <row r="959" spans="1:8" ht="13.5" customHeight="1" x14ac:dyDescent="0.25">
      <c r="A959" s="13" t="s">
        <v>2618</v>
      </c>
      <c r="B959" s="49" t="s">
        <v>2551</v>
      </c>
      <c r="C959" s="101" t="s">
        <v>2619</v>
      </c>
      <c r="D959" s="14" t="s">
        <v>3305</v>
      </c>
      <c r="E959" s="14" t="s">
        <v>3300</v>
      </c>
      <c r="F959" s="65" t="s">
        <v>841</v>
      </c>
      <c r="G959" s="106">
        <v>0.9</v>
      </c>
      <c r="H959" s="103" t="s">
        <v>3239</v>
      </c>
    </row>
    <row r="960" spans="1:8" ht="13.5" customHeight="1" x14ac:dyDescent="0.25">
      <c r="A960" s="24" t="s">
        <v>2620</v>
      </c>
      <c r="B960" s="38" t="s">
        <v>2551</v>
      </c>
      <c r="C960" s="100" t="s">
        <v>2621</v>
      </c>
      <c r="D960" s="25" t="s">
        <v>3305</v>
      </c>
      <c r="E960" s="25" t="s">
        <v>3300</v>
      </c>
      <c r="F960" s="65" t="s">
        <v>841</v>
      </c>
      <c r="G960" s="106">
        <v>0.9</v>
      </c>
      <c r="H960" s="103" t="s">
        <v>3239</v>
      </c>
    </row>
    <row r="961" spans="1:8" ht="13.5" customHeight="1" x14ac:dyDescent="0.25">
      <c r="A961" s="13" t="s">
        <v>2622</v>
      </c>
      <c r="B961" s="49" t="s">
        <v>2551</v>
      </c>
      <c r="C961" s="101" t="s">
        <v>2623</v>
      </c>
      <c r="D961" s="14" t="s">
        <v>3305</v>
      </c>
      <c r="E961" s="14" t="s">
        <v>3300</v>
      </c>
      <c r="F961" s="65" t="s">
        <v>841</v>
      </c>
      <c r="G961" s="106">
        <v>0.9</v>
      </c>
      <c r="H961" s="103" t="s">
        <v>3239</v>
      </c>
    </row>
    <row r="962" spans="1:8" ht="13.5" customHeight="1" x14ac:dyDescent="0.25">
      <c r="A962" s="24" t="s">
        <v>2624</v>
      </c>
      <c r="B962" s="38" t="s">
        <v>2551</v>
      </c>
      <c r="C962" s="100" t="s">
        <v>2625</v>
      </c>
      <c r="D962" s="25" t="s">
        <v>3305</v>
      </c>
      <c r="E962" s="25" t="s">
        <v>3300</v>
      </c>
      <c r="F962" s="65" t="s">
        <v>841</v>
      </c>
      <c r="G962" s="106">
        <v>0.9</v>
      </c>
      <c r="H962" s="103" t="s">
        <v>3239</v>
      </c>
    </row>
    <row r="963" spans="1:8" ht="13.5" customHeight="1" x14ac:dyDescent="0.25">
      <c r="A963" s="13" t="s">
        <v>2626</v>
      </c>
      <c r="B963" s="49" t="s">
        <v>2551</v>
      </c>
      <c r="C963" s="101" t="s">
        <v>2627</v>
      </c>
      <c r="D963" s="14" t="s">
        <v>3305</v>
      </c>
      <c r="E963" s="14" t="s">
        <v>3300</v>
      </c>
      <c r="F963" s="65" t="s">
        <v>841</v>
      </c>
      <c r="G963" s="106">
        <v>0.9</v>
      </c>
      <c r="H963" s="103" t="s">
        <v>3239</v>
      </c>
    </row>
    <row r="964" spans="1:8" ht="13.5" customHeight="1" x14ac:dyDescent="0.25">
      <c r="A964" s="24" t="s">
        <v>2628</v>
      </c>
      <c r="B964" s="38" t="s">
        <v>2551</v>
      </c>
      <c r="C964" s="100" t="s">
        <v>2629</v>
      </c>
      <c r="D964" s="25" t="s">
        <v>3305</v>
      </c>
      <c r="E964" s="25" t="s">
        <v>3300</v>
      </c>
      <c r="F964" s="65" t="s">
        <v>841</v>
      </c>
      <c r="G964" s="106">
        <v>0.9</v>
      </c>
      <c r="H964" s="103" t="s">
        <v>3239</v>
      </c>
    </row>
    <row r="965" spans="1:8" ht="13.5" customHeight="1" x14ac:dyDescent="0.25">
      <c r="A965" s="13" t="s">
        <v>2630</v>
      </c>
      <c r="B965" s="49" t="s">
        <v>2551</v>
      </c>
      <c r="C965" s="101" t="s">
        <v>2631</v>
      </c>
      <c r="D965" s="14" t="s">
        <v>3305</v>
      </c>
      <c r="E965" s="14" t="s">
        <v>3300</v>
      </c>
      <c r="F965" s="65" t="s">
        <v>841</v>
      </c>
      <c r="G965" s="106">
        <v>0.9</v>
      </c>
      <c r="H965" s="103" t="s">
        <v>3239</v>
      </c>
    </row>
    <row r="966" spans="1:8" ht="13.5" customHeight="1" x14ac:dyDescent="0.25">
      <c r="A966" s="24" t="s">
        <v>2632</v>
      </c>
      <c r="B966" s="38" t="s">
        <v>2551</v>
      </c>
      <c r="C966" s="100" t="s">
        <v>2633</v>
      </c>
      <c r="D966" s="25" t="s">
        <v>3305</v>
      </c>
      <c r="E966" s="25" t="s">
        <v>3300</v>
      </c>
      <c r="F966" s="65" t="s">
        <v>841</v>
      </c>
      <c r="G966" s="106">
        <v>0.9</v>
      </c>
      <c r="H966" s="103" t="s">
        <v>3239</v>
      </c>
    </row>
    <row r="967" spans="1:8" ht="13.5" customHeight="1" x14ac:dyDescent="0.25">
      <c r="A967" s="13" t="s">
        <v>2634</v>
      </c>
      <c r="B967" s="49" t="s">
        <v>2551</v>
      </c>
      <c r="C967" s="101" t="s">
        <v>2635</v>
      </c>
      <c r="D967" s="14" t="s">
        <v>3306</v>
      </c>
      <c r="E967" s="14" t="s">
        <v>3300</v>
      </c>
      <c r="F967" s="40" t="s">
        <v>477</v>
      </c>
      <c r="G967" s="102">
        <v>1</v>
      </c>
      <c r="H967" s="103" t="s">
        <v>3239</v>
      </c>
    </row>
    <row r="968" spans="1:8" ht="13.5" customHeight="1" x14ac:dyDescent="0.25">
      <c r="A968" s="24" t="s">
        <v>2637</v>
      </c>
      <c r="B968" s="38" t="s">
        <v>2638</v>
      </c>
      <c r="C968" s="100" t="s">
        <v>2639</v>
      </c>
      <c r="D968" s="25" t="s">
        <v>3307</v>
      </c>
      <c r="E968" s="25" t="s">
        <v>3308</v>
      </c>
      <c r="F968" s="65" t="s">
        <v>841</v>
      </c>
      <c r="G968" s="106">
        <v>0.9</v>
      </c>
      <c r="H968" s="107" t="s">
        <v>3279</v>
      </c>
    </row>
    <row r="969" spans="1:8" ht="13.5" customHeight="1" x14ac:dyDescent="0.25">
      <c r="A969" s="13" t="s">
        <v>2641</v>
      </c>
      <c r="B969" s="49" t="s">
        <v>2638</v>
      </c>
      <c r="C969" s="101" t="s">
        <v>2642</v>
      </c>
      <c r="D969" s="14" t="s">
        <v>3307</v>
      </c>
      <c r="E969" s="14" t="s">
        <v>3308</v>
      </c>
      <c r="F969" s="65" t="s">
        <v>841</v>
      </c>
      <c r="G969" s="106">
        <v>0.9</v>
      </c>
      <c r="H969" s="107" t="s">
        <v>3279</v>
      </c>
    </row>
    <row r="970" spans="1:8" ht="13.5" customHeight="1" x14ac:dyDescent="0.25">
      <c r="A970" s="24" t="s">
        <v>2643</v>
      </c>
      <c r="B970" s="38" t="s">
        <v>2638</v>
      </c>
      <c r="C970" s="100" t="s">
        <v>2644</v>
      </c>
      <c r="D970" s="25" t="s">
        <v>3307</v>
      </c>
      <c r="E970" s="25" t="s">
        <v>3308</v>
      </c>
      <c r="F970" s="65" t="s">
        <v>841</v>
      </c>
      <c r="G970" s="106">
        <v>0.9</v>
      </c>
      <c r="H970" s="107" t="s">
        <v>3279</v>
      </c>
    </row>
    <row r="971" spans="1:8" ht="13.5" customHeight="1" x14ac:dyDescent="0.25">
      <c r="A971" s="13" t="s">
        <v>2645</v>
      </c>
      <c r="B971" s="49" t="s">
        <v>2638</v>
      </c>
      <c r="C971" s="101" t="s">
        <v>2646</v>
      </c>
      <c r="D971" s="14" t="s">
        <v>3307</v>
      </c>
      <c r="E971" s="14" t="s">
        <v>3308</v>
      </c>
      <c r="F971" s="65" t="s">
        <v>841</v>
      </c>
      <c r="G971" s="106">
        <v>0.9</v>
      </c>
      <c r="H971" s="107" t="s">
        <v>3279</v>
      </c>
    </row>
    <row r="972" spans="1:8" ht="13.5" customHeight="1" x14ac:dyDescent="0.25">
      <c r="A972" s="24" t="s">
        <v>2647</v>
      </c>
      <c r="B972" s="38" t="s">
        <v>2638</v>
      </c>
      <c r="C972" s="100" t="s">
        <v>2648</v>
      </c>
      <c r="D972" s="25" t="s">
        <v>3307</v>
      </c>
      <c r="E972" s="25" t="s">
        <v>3308</v>
      </c>
      <c r="F972" s="65" t="s">
        <v>841</v>
      </c>
      <c r="G972" s="106">
        <v>0.9</v>
      </c>
      <c r="H972" s="107" t="s">
        <v>3279</v>
      </c>
    </row>
    <row r="973" spans="1:8" ht="13.5" customHeight="1" x14ac:dyDescent="0.25">
      <c r="A973" s="13" t="s">
        <v>2649</v>
      </c>
      <c r="B973" s="49" t="s">
        <v>2638</v>
      </c>
      <c r="C973" s="101" t="s">
        <v>2650</v>
      </c>
      <c r="D973" s="14" t="s">
        <v>3307</v>
      </c>
      <c r="E973" s="14" t="s">
        <v>3308</v>
      </c>
      <c r="F973" s="65" t="s">
        <v>841</v>
      </c>
      <c r="G973" s="106">
        <v>0.9</v>
      </c>
      <c r="H973" s="107" t="s">
        <v>3279</v>
      </c>
    </row>
    <row r="974" spans="1:8" ht="13.5" customHeight="1" x14ac:dyDescent="0.25">
      <c r="A974" s="24" t="s">
        <v>2651</v>
      </c>
      <c r="B974" s="38" t="s">
        <v>2638</v>
      </c>
      <c r="C974" s="100" t="s">
        <v>2652</v>
      </c>
      <c r="D974" s="25" t="s">
        <v>3307</v>
      </c>
      <c r="E974" s="25" t="s">
        <v>3308</v>
      </c>
      <c r="F974" s="65" t="s">
        <v>841</v>
      </c>
      <c r="G974" s="106">
        <v>0.9</v>
      </c>
      <c r="H974" s="107" t="s">
        <v>3279</v>
      </c>
    </row>
    <row r="975" spans="1:8" ht="13.5" customHeight="1" x14ac:dyDescent="0.25">
      <c r="A975" s="13" t="s">
        <v>2653</v>
      </c>
      <c r="B975" s="49" t="s">
        <v>2638</v>
      </c>
      <c r="C975" s="101" t="s">
        <v>2654</v>
      </c>
      <c r="D975" s="14" t="s">
        <v>3307</v>
      </c>
      <c r="E975" s="14" t="s">
        <v>3308</v>
      </c>
      <c r="F975" s="65" t="s">
        <v>841</v>
      </c>
      <c r="G975" s="106">
        <v>0.9</v>
      </c>
      <c r="H975" s="107" t="s">
        <v>3279</v>
      </c>
    </row>
    <row r="976" spans="1:8" ht="13.5" customHeight="1" x14ac:dyDescent="0.25">
      <c r="A976" s="24" t="s">
        <v>2655</v>
      </c>
      <c r="B976" s="38" t="s">
        <v>2638</v>
      </c>
      <c r="C976" s="100" t="s">
        <v>2656</v>
      </c>
      <c r="D976" s="25" t="s">
        <v>3307</v>
      </c>
      <c r="E976" s="25" t="s">
        <v>3308</v>
      </c>
      <c r="F976" s="65" t="s">
        <v>841</v>
      </c>
      <c r="G976" s="106">
        <v>0.9</v>
      </c>
      <c r="H976" s="107" t="s">
        <v>3279</v>
      </c>
    </row>
    <row r="977" spans="1:8" ht="13.5" customHeight="1" x14ac:dyDescent="0.25">
      <c r="A977" s="13" t="s">
        <v>2657</v>
      </c>
      <c r="B977" s="49" t="s">
        <v>2638</v>
      </c>
      <c r="C977" s="101" t="s">
        <v>2658</v>
      </c>
      <c r="D977" s="14" t="s">
        <v>3307</v>
      </c>
      <c r="E977" s="14" t="s">
        <v>3308</v>
      </c>
      <c r="F977" s="65" t="s">
        <v>841</v>
      </c>
      <c r="G977" s="106">
        <v>0.9</v>
      </c>
      <c r="H977" s="107" t="s">
        <v>3279</v>
      </c>
    </row>
    <row r="978" spans="1:8" ht="13.5" customHeight="1" x14ac:dyDescent="0.25">
      <c r="A978" s="24" t="s">
        <v>2659</v>
      </c>
      <c r="B978" s="38" t="s">
        <v>2638</v>
      </c>
      <c r="C978" s="100" t="s">
        <v>2660</v>
      </c>
      <c r="D978" s="25" t="s">
        <v>3307</v>
      </c>
      <c r="E978" s="25" t="s">
        <v>3308</v>
      </c>
      <c r="F978" s="65" t="s">
        <v>841</v>
      </c>
      <c r="G978" s="106">
        <v>0.9</v>
      </c>
      <c r="H978" s="107" t="s">
        <v>3279</v>
      </c>
    </row>
    <row r="979" spans="1:8" ht="13.5" customHeight="1" x14ac:dyDescent="0.25">
      <c r="A979" s="13" t="s">
        <v>2661</v>
      </c>
      <c r="B979" s="49" t="s">
        <v>2638</v>
      </c>
      <c r="C979" s="101" t="s">
        <v>2662</v>
      </c>
      <c r="D979" s="14" t="s">
        <v>3307</v>
      </c>
      <c r="E979" s="14" t="s">
        <v>3308</v>
      </c>
      <c r="F979" s="65" t="s">
        <v>841</v>
      </c>
      <c r="G979" s="106">
        <v>0.9</v>
      </c>
      <c r="H979" s="107" t="s">
        <v>3279</v>
      </c>
    </row>
    <row r="980" spans="1:8" ht="13.5" customHeight="1" x14ac:dyDescent="0.25">
      <c r="A980" s="24" t="s">
        <v>2663</v>
      </c>
      <c r="B980" s="38" t="s">
        <v>2638</v>
      </c>
      <c r="C980" s="100" t="s">
        <v>2664</v>
      </c>
      <c r="D980" s="25" t="s">
        <v>3307</v>
      </c>
      <c r="E980" s="25" t="s">
        <v>3308</v>
      </c>
      <c r="F980" s="65" t="s">
        <v>841</v>
      </c>
      <c r="G980" s="106">
        <v>0.9</v>
      </c>
      <c r="H980" s="107" t="s">
        <v>3279</v>
      </c>
    </row>
    <row r="981" spans="1:8" ht="13.5" customHeight="1" x14ac:dyDescent="0.25">
      <c r="A981" s="13" t="s">
        <v>2665</v>
      </c>
      <c r="B981" s="49" t="s">
        <v>2638</v>
      </c>
      <c r="C981" s="101" t="s">
        <v>2666</v>
      </c>
      <c r="D981" s="14" t="s">
        <v>3307</v>
      </c>
      <c r="E981" s="14" t="s">
        <v>3308</v>
      </c>
      <c r="F981" s="65" t="s">
        <v>841</v>
      </c>
      <c r="G981" s="106">
        <v>0.9</v>
      </c>
      <c r="H981" s="107" t="s">
        <v>3279</v>
      </c>
    </row>
    <row r="982" spans="1:8" ht="13.5" customHeight="1" x14ac:dyDescent="0.25">
      <c r="A982" s="24" t="s">
        <v>2667</v>
      </c>
      <c r="B982" s="38" t="s">
        <v>2638</v>
      </c>
      <c r="C982" s="100" t="s">
        <v>2668</v>
      </c>
      <c r="D982" s="25" t="s">
        <v>3307</v>
      </c>
      <c r="E982" s="25" t="s">
        <v>3308</v>
      </c>
      <c r="F982" s="65" t="s">
        <v>841</v>
      </c>
      <c r="G982" s="106">
        <v>0.9</v>
      </c>
      <c r="H982" s="107" t="s">
        <v>3279</v>
      </c>
    </row>
    <row r="983" spans="1:8" ht="13.5" customHeight="1" x14ac:dyDescent="0.25">
      <c r="A983" s="13" t="s">
        <v>2669</v>
      </c>
      <c r="B983" s="49" t="s">
        <v>2638</v>
      </c>
      <c r="C983" s="101" t="s">
        <v>2670</v>
      </c>
      <c r="D983" s="14" t="s">
        <v>3307</v>
      </c>
      <c r="E983" s="14" t="s">
        <v>3308</v>
      </c>
      <c r="F983" s="65" t="s">
        <v>841</v>
      </c>
      <c r="G983" s="106">
        <v>0.9</v>
      </c>
      <c r="H983" s="107" t="s">
        <v>3279</v>
      </c>
    </row>
    <row r="984" spans="1:8" ht="13.5" customHeight="1" x14ac:dyDescent="0.25">
      <c r="A984" s="24" t="s">
        <v>2671</v>
      </c>
      <c r="B984" s="38" t="s">
        <v>2638</v>
      </c>
      <c r="C984" s="100" t="s">
        <v>2672</v>
      </c>
      <c r="D984" s="25" t="s">
        <v>3307</v>
      </c>
      <c r="E984" s="25" t="s">
        <v>3308</v>
      </c>
      <c r="F984" s="65" t="s">
        <v>841</v>
      </c>
      <c r="G984" s="106">
        <v>0.9</v>
      </c>
      <c r="H984" s="107" t="s">
        <v>3279</v>
      </c>
    </row>
    <row r="985" spans="1:8" ht="13.5" customHeight="1" x14ac:dyDescent="0.25">
      <c r="A985" s="13" t="s">
        <v>2673</v>
      </c>
      <c r="B985" s="49" t="s">
        <v>2638</v>
      </c>
      <c r="C985" s="101" t="s">
        <v>2674</v>
      </c>
      <c r="D985" s="14" t="s">
        <v>3307</v>
      </c>
      <c r="E985" s="14" t="s">
        <v>3308</v>
      </c>
      <c r="F985" s="65" t="s">
        <v>841</v>
      </c>
      <c r="G985" s="106">
        <v>0.9</v>
      </c>
      <c r="H985" s="107" t="s">
        <v>3279</v>
      </c>
    </row>
    <row r="986" spans="1:8" ht="13.5" customHeight="1" x14ac:dyDescent="0.25">
      <c r="A986" s="24" t="s">
        <v>2675</v>
      </c>
      <c r="B986" s="38" t="s">
        <v>2638</v>
      </c>
      <c r="C986" s="100" t="s">
        <v>2676</v>
      </c>
      <c r="D986" s="25" t="s">
        <v>3307</v>
      </c>
      <c r="E986" s="25" t="s">
        <v>3308</v>
      </c>
      <c r="F986" s="65" t="s">
        <v>841</v>
      </c>
      <c r="G986" s="106">
        <v>0.9</v>
      </c>
      <c r="H986" s="107" t="s">
        <v>3279</v>
      </c>
    </row>
    <row r="987" spans="1:8" ht="13.5" customHeight="1" x14ac:dyDescent="0.25">
      <c r="A987" s="13" t="s">
        <v>2677</v>
      </c>
      <c r="B987" s="49" t="s">
        <v>2638</v>
      </c>
      <c r="C987" s="101" t="s">
        <v>2678</v>
      </c>
      <c r="D987" s="14" t="s">
        <v>3307</v>
      </c>
      <c r="E987" s="14" t="s">
        <v>3308</v>
      </c>
      <c r="F987" s="65" t="s">
        <v>841</v>
      </c>
      <c r="G987" s="106">
        <v>0.9</v>
      </c>
      <c r="H987" s="107" t="s">
        <v>3279</v>
      </c>
    </row>
    <row r="988" spans="1:8" ht="13.5" customHeight="1" x14ac:dyDescent="0.25">
      <c r="A988" s="24" t="s">
        <v>2679</v>
      </c>
      <c r="B988" s="38" t="s">
        <v>2638</v>
      </c>
      <c r="C988" s="100" t="s">
        <v>2680</v>
      </c>
      <c r="D988" s="25" t="s">
        <v>3309</v>
      </c>
      <c r="E988" s="25" t="s">
        <v>3308</v>
      </c>
      <c r="F988" s="65" t="s">
        <v>841</v>
      </c>
      <c r="G988" s="106">
        <v>0.9</v>
      </c>
      <c r="H988" s="107" t="s">
        <v>3279</v>
      </c>
    </row>
    <row r="989" spans="1:8" ht="13.5" customHeight="1" x14ac:dyDescent="0.25">
      <c r="A989" s="13" t="s">
        <v>2682</v>
      </c>
      <c r="B989" s="49" t="s">
        <v>2638</v>
      </c>
      <c r="C989" s="101" t="s">
        <v>2683</v>
      </c>
      <c r="D989" s="14" t="s">
        <v>3309</v>
      </c>
      <c r="E989" s="14" t="s">
        <v>3308</v>
      </c>
      <c r="F989" s="65" t="s">
        <v>841</v>
      </c>
      <c r="G989" s="106">
        <v>0.9</v>
      </c>
      <c r="H989" s="107" t="s">
        <v>3279</v>
      </c>
    </row>
    <row r="990" spans="1:8" ht="13.5" customHeight="1" x14ac:dyDescent="0.25">
      <c r="A990" s="24" t="s">
        <v>2684</v>
      </c>
      <c r="B990" s="38" t="s">
        <v>2638</v>
      </c>
      <c r="C990" s="100" t="s">
        <v>2685</v>
      </c>
      <c r="D990" s="25" t="s">
        <v>3309</v>
      </c>
      <c r="E990" s="25" t="s">
        <v>3308</v>
      </c>
      <c r="F990" s="65" t="s">
        <v>841</v>
      </c>
      <c r="G990" s="106">
        <v>0.9</v>
      </c>
      <c r="H990" s="107" t="s">
        <v>3279</v>
      </c>
    </row>
    <row r="991" spans="1:8" ht="13.5" customHeight="1" x14ac:dyDescent="0.25">
      <c r="A991" s="13" t="s">
        <v>2686</v>
      </c>
      <c r="B991" s="49" t="s">
        <v>2638</v>
      </c>
      <c r="C991" s="101" t="s">
        <v>2687</v>
      </c>
      <c r="D991" s="14" t="s">
        <v>3310</v>
      </c>
      <c r="E991" s="14" t="s">
        <v>3308</v>
      </c>
      <c r="F991" s="65" t="s">
        <v>841</v>
      </c>
      <c r="G991" s="106">
        <v>0.9</v>
      </c>
      <c r="H991" s="107" t="s">
        <v>3279</v>
      </c>
    </row>
    <row r="992" spans="1:8" ht="13.5" customHeight="1" x14ac:dyDescent="0.25">
      <c r="A992" s="24" t="s">
        <v>2689</v>
      </c>
      <c r="B992" s="38" t="s">
        <v>2638</v>
      </c>
      <c r="C992" s="100" t="s">
        <v>2690</v>
      </c>
      <c r="D992" s="25" t="s">
        <v>3310</v>
      </c>
      <c r="E992" s="25" t="s">
        <v>3308</v>
      </c>
      <c r="F992" s="65" t="s">
        <v>841</v>
      </c>
      <c r="G992" s="106">
        <v>0.9</v>
      </c>
      <c r="H992" s="107" t="s">
        <v>3279</v>
      </c>
    </row>
    <row r="993" spans="1:8" ht="13.5" customHeight="1" x14ac:dyDescent="0.25">
      <c r="A993" s="13" t="s">
        <v>2691</v>
      </c>
      <c r="B993" s="49" t="s">
        <v>2638</v>
      </c>
      <c r="C993" s="101" t="s">
        <v>2692</v>
      </c>
      <c r="D993" s="14" t="s">
        <v>3310</v>
      </c>
      <c r="E993" s="14" t="s">
        <v>3308</v>
      </c>
      <c r="F993" s="65" t="s">
        <v>841</v>
      </c>
      <c r="G993" s="106">
        <v>0.9</v>
      </c>
      <c r="H993" s="107" t="s">
        <v>3279</v>
      </c>
    </row>
    <row r="994" spans="1:8" ht="13.5" customHeight="1" x14ac:dyDescent="0.25">
      <c r="A994" s="24" t="s">
        <v>2693</v>
      </c>
      <c r="B994" s="38" t="s">
        <v>2638</v>
      </c>
      <c r="C994" s="100" t="s">
        <v>2694</v>
      </c>
      <c r="D994" s="25" t="s">
        <v>3311</v>
      </c>
      <c r="E994" s="25" t="s">
        <v>3308</v>
      </c>
      <c r="F994" s="64" t="s">
        <v>566</v>
      </c>
      <c r="G994" s="104">
        <v>1.1499999999999999</v>
      </c>
      <c r="H994" s="107" t="s">
        <v>3279</v>
      </c>
    </row>
    <row r="995" spans="1:8" ht="13.5" customHeight="1" x14ac:dyDescent="0.25">
      <c r="A995" s="13" t="s">
        <v>2696</v>
      </c>
      <c r="B995" s="49" t="s">
        <v>2638</v>
      </c>
      <c r="C995" s="101" t="s">
        <v>2697</v>
      </c>
      <c r="D995" s="14" t="s">
        <v>3311</v>
      </c>
      <c r="E995" s="14" t="s">
        <v>3308</v>
      </c>
      <c r="F995" s="64" t="s">
        <v>566</v>
      </c>
      <c r="G995" s="104">
        <v>1.1499999999999999</v>
      </c>
      <c r="H995" s="107" t="s">
        <v>3279</v>
      </c>
    </row>
    <row r="996" spans="1:8" ht="13.5" customHeight="1" x14ac:dyDescent="0.25">
      <c r="A996" s="24" t="s">
        <v>2698</v>
      </c>
      <c r="B996" s="38" t="s">
        <v>2638</v>
      </c>
      <c r="C996" s="100" t="s">
        <v>2699</v>
      </c>
      <c r="D996" s="25" t="s">
        <v>3311</v>
      </c>
      <c r="E996" s="25" t="s">
        <v>3308</v>
      </c>
      <c r="F996" s="64" t="s">
        <v>566</v>
      </c>
      <c r="G996" s="104">
        <v>1.1499999999999999</v>
      </c>
      <c r="H996" s="107" t="s">
        <v>3279</v>
      </c>
    </row>
    <row r="997" spans="1:8" ht="13.5" customHeight="1" x14ac:dyDescent="0.25">
      <c r="A997" s="13" t="s">
        <v>2700</v>
      </c>
      <c r="B997" s="49" t="s">
        <v>2638</v>
      </c>
      <c r="C997" s="101" t="s">
        <v>2701</v>
      </c>
      <c r="D997" s="14" t="s">
        <v>3311</v>
      </c>
      <c r="E997" s="14" t="s">
        <v>3308</v>
      </c>
      <c r="F997" s="40" t="s">
        <v>477</v>
      </c>
      <c r="G997" s="102">
        <v>1</v>
      </c>
      <c r="H997" s="107" t="s">
        <v>3279</v>
      </c>
    </row>
    <row r="998" spans="1:8" ht="13.5" customHeight="1" x14ac:dyDescent="0.25">
      <c r="A998" s="24" t="s">
        <v>2702</v>
      </c>
      <c r="B998" s="38" t="s">
        <v>2638</v>
      </c>
      <c r="C998" s="100" t="s">
        <v>2703</v>
      </c>
      <c r="D998" s="25" t="s">
        <v>3311</v>
      </c>
      <c r="E998" s="25" t="s">
        <v>3308</v>
      </c>
      <c r="F998" s="40" t="s">
        <v>477</v>
      </c>
      <c r="G998" s="102">
        <v>1</v>
      </c>
      <c r="H998" s="107" t="s">
        <v>3279</v>
      </c>
    </row>
    <row r="999" spans="1:8" ht="13.5" customHeight="1" x14ac:dyDescent="0.25">
      <c r="A999" s="13" t="s">
        <v>2704</v>
      </c>
      <c r="B999" s="49" t="s">
        <v>2638</v>
      </c>
      <c r="C999" s="101" t="s">
        <v>2705</v>
      </c>
      <c r="D999" s="14" t="s">
        <v>3311</v>
      </c>
      <c r="E999" s="14" t="s">
        <v>3308</v>
      </c>
      <c r="F999" s="40" t="s">
        <v>477</v>
      </c>
      <c r="G999" s="102">
        <v>1</v>
      </c>
      <c r="H999" s="107" t="s">
        <v>3279</v>
      </c>
    </row>
    <row r="1000" spans="1:8" ht="13.5" customHeight="1" x14ac:dyDescent="0.25">
      <c r="A1000" s="24" t="s">
        <v>2706</v>
      </c>
      <c r="B1000" s="38" t="s">
        <v>2638</v>
      </c>
      <c r="C1000" s="100" t="s">
        <v>2707</v>
      </c>
      <c r="D1000" s="25" t="s">
        <v>3312</v>
      </c>
      <c r="E1000" s="25" t="s">
        <v>3308</v>
      </c>
      <c r="F1000" s="40" t="s">
        <v>477</v>
      </c>
      <c r="G1000" s="102">
        <v>1</v>
      </c>
      <c r="H1000" s="107" t="s">
        <v>3279</v>
      </c>
    </row>
    <row r="1001" spans="1:8" ht="13.5" customHeight="1" x14ac:dyDescent="0.25">
      <c r="A1001" s="13" t="s">
        <v>2709</v>
      </c>
      <c r="B1001" s="49" t="s">
        <v>2638</v>
      </c>
      <c r="C1001" s="101" t="s">
        <v>2710</v>
      </c>
      <c r="D1001" s="14" t="s">
        <v>3312</v>
      </c>
      <c r="E1001" s="14" t="s">
        <v>3308</v>
      </c>
      <c r="F1001" s="40" t="s">
        <v>477</v>
      </c>
      <c r="G1001" s="102">
        <v>1</v>
      </c>
      <c r="H1001" s="107" t="s">
        <v>3279</v>
      </c>
    </row>
    <row r="1002" spans="1:8" ht="13.5" customHeight="1" x14ac:dyDescent="0.25">
      <c r="A1002" s="24" t="s">
        <v>2711</v>
      </c>
      <c r="B1002" s="38" t="s">
        <v>2638</v>
      </c>
      <c r="C1002" s="100" t="s">
        <v>2712</v>
      </c>
      <c r="D1002" s="25" t="s">
        <v>3312</v>
      </c>
      <c r="E1002" s="25" t="s">
        <v>3308</v>
      </c>
      <c r="F1002" s="40" t="s">
        <v>477</v>
      </c>
      <c r="G1002" s="102">
        <v>1</v>
      </c>
      <c r="H1002" s="107" t="s">
        <v>3279</v>
      </c>
    </row>
    <row r="1003" spans="1:8" ht="13.5" customHeight="1" x14ac:dyDescent="0.25">
      <c r="A1003" s="13" t="s">
        <v>2713</v>
      </c>
      <c r="B1003" s="49" t="s">
        <v>2638</v>
      </c>
      <c r="C1003" s="101" t="s">
        <v>2714</v>
      </c>
      <c r="D1003" s="14" t="s">
        <v>3312</v>
      </c>
      <c r="E1003" s="14" t="s">
        <v>3308</v>
      </c>
      <c r="F1003" s="40" t="s">
        <v>477</v>
      </c>
      <c r="G1003" s="102">
        <v>1</v>
      </c>
      <c r="H1003" s="107" t="s">
        <v>3279</v>
      </c>
    </row>
    <row r="1004" spans="1:8" ht="13.5" customHeight="1" x14ac:dyDescent="0.25">
      <c r="A1004" s="24" t="s">
        <v>2715</v>
      </c>
      <c r="B1004" s="38" t="s">
        <v>2638</v>
      </c>
      <c r="C1004" s="100" t="s">
        <v>2716</v>
      </c>
      <c r="D1004" s="25" t="s">
        <v>3312</v>
      </c>
      <c r="E1004" s="25" t="s">
        <v>3308</v>
      </c>
      <c r="F1004" s="40" t="s">
        <v>477</v>
      </c>
      <c r="G1004" s="102">
        <v>1</v>
      </c>
      <c r="H1004" s="107" t="s">
        <v>3279</v>
      </c>
    </row>
    <row r="1005" spans="1:8" ht="13.5" customHeight="1" x14ac:dyDescent="0.25">
      <c r="A1005" s="13" t="s">
        <v>2717</v>
      </c>
      <c r="B1005" s="49" t="s">
        <v>2638</v>
      </c>
      <c r="C1005" s="101" t="s">
        <v>2718</v>
      </c>
      <c r="D1005" s="14" t="s">
        <v>3312</v>
      </c>
      <c r="E1005" s="14" t="s">
        <v>3308</v>
      </c>
      <c r="F1005" s="40" t="s">
        <v>477</v>
      </c>
      <c r="G1005" s="102">
        <v>1</v>
      </c>
      <c r="H1005" s="107" t="s">
        <v>3279</v>
      </c>
    </row>
    <row r="1006" spans="1:8" ht="13.5" customHeight="1" x14ac:dyDescent="0.25">
      <c r="A1006" s="24" t="s">
        <v>2719</v>
      </c>
      <c r="B1006" s="38" t="s">
        <v>2638</v>
      </c>
      <c r="C1006" s="100" t="s">
        <v>2720</v>
      </c>
      <c r="D1006" s="25" t="s">
        <v>3313</v>
      </c>
      <c r="E1006" s="25" t="s">
        <v>3308</v>
      </c>
      <c r="F1006" s="65" t="s">
        <v>841</v>
      </c>
      <c r="G1006" s="106">
        <v>0.9</v>
      </c>
      <c r="H1006" s="107" t="s">
        <v>3279</v>
      </c>
    </row>
    <row r="1007" spans="1:8" ht="13.5" customHeight="1" x14ac:dyDescent="0.25">
      <c r="A1007" s="13" t="s">
        <v>2722</v>
      </c>
      <c r="B1007" s="49" t="s">
        <v>2638</v>
      </c>
      <c r="C1007" s="101" t="s">
        <v>2723</v>
      </c>
      <c r="D1007" s="14" t="s">
        <v>3313</v>
      </c>
      <c r="E1007" s="14" t="s">
        <v>3308</v>
      </c>
      <c r="F1007" s="65" t="s">
        <v>841</v>
      </c>
      <c r="G1007" s="106">
        <v>0.9</v>
      </c>
      <c r="H1007" s="107" t="s">
        <v>3279</v>
      </c>
    </row>
    <row r="1008" spans="1:8" ht="13.5" customHeight="1" x14ac:dyDescent="0.25">
      <c r="A1008" s="24" t="s">
        <v>2724</v>
      </c>
      <c r="B1008" s="38" t="s">
        <v>2638</v>
      </c>
      <c r="C1008" s="100" t="s">
        <v>2725</v>
      </c>
      <c r="D1008" s="25" t="s">
        <v>3313</v>
      </c>
      <c r="E1008" s="25" t="s">
        <v>3308</v>
      </c>
      <c r="F1008" s="65" t="s">
        <v>841</v>
      </c>
      <c r="G1008" s="106">
        <v>0.9</v>
      </c>
      <c r="H1008" s="107" t="s">
        <v>3279</v>
      </c>
    </row>
    <row r="1009" spans="1:8" ht="13.5" customHeight="1" x14ac:dyDescent="0.25">
      <c r="A1009" s="13" t="s">
        <v>2726</v>
      </c>
      <c r="B1009" s="49" t="s">
        <v>2638</v>
      </c>
      <c r="C1009" s="101" t="s">
        <v>2727</v>
      </c>
      <c r="D1009" s="14" t="s">
        <v>3313</v>
      </c>
      <c r="E1009" s="14" t="s">
        <v>3308</v>
      </c>
      <c r="F1009" s="65" t="s">
        <v>841</v>
      </c>
      <c r="G1009" s="106">
        <v>0.9</v>
      </c>
      <c r="H1009" s="107" t="s">
        <v>3279</v>
      </c>
    </row>
    <row r="1010" spans="1:8" ht="13.5" customHeight="1" x14ac:dyDescent="0.25">
      <c r="A1010" s="24" t="s">
        <v>2728</v>
      </c>
      <c r="B1010" s="38" t="s">
        <v>2638</v>
      </c>
      <c r="C1010" s="100" t="s">
        <v>2729</v>
      </c>
      <c r="D1010" s="25" t="s">
        <v>3313</v>
      </c>
      <c r="E1010" s="25" t="s">
        <v>3308</v>
      </c>
      <c r="F1010" s="65" t="s">
        <v>841</v>
      </c>
      <c r="G1010" s="106">
        <v>0.9</v>
      </c>
      <c r="H1010" s="107" t="s">
        <v>3279</v>
      </c>
    </row>
    <row r="1011" spans="1:8" ht="13.5" customHeight="1" x14ac:dyDescent="0.25">
      <c r="A1011" s="13" t="s">
        <v>2730</v>
      </c>
      <c r="B1011" s="49" t="s">
        <v>2638</v>
      </c>
      <c r="C1011" s="101" t="s">
        <v>2731</v>
      </c>
      <c r="D1011" s="14" t="s">
        <v>3313</v>
      </c>
      <c r="E1011" s="14" t="s">
        <v>3308</v>
      </c>
      <c r="F1011" s="65" t="s">
        <v>841</v>
      </c>
      <c r="G1011" s="106">
        <v>0.9</v>
      </c>
      <c r="H1011" s="107" t="s">
        <v>3279</v>
      </c>
    </row>
    <row r="1012" spans="1:8" ht="13.5" customHeight="1" x14ac:dyDescent="0.25">
      <c r="A1012" s="24" t="s">
        <v>2732</v>
      </c>
      <c r="B1012" s="38" t="s">
        <v>2638</v>
      </c>
      <c r="C1012" s="100" t="s">
        <v>2733</v>
      </c>
      <c r="D1012" s="25" t="s">
        <v>3313</v>
      </c>
      <c r="E1012" s="25" t="s">
        <v>3308</v>
      </c>
      <c r="F1012" s="65" t="s">
        <v>841</v>
      </c>
      <c r="G1012" s="106">
        <v>0.9</v>
      </c>
      <c r="H1012" s="107" t="s">
        <v>3279</v>
      </c>
    </row>
    <row r="1013" spans="1:8" ht="13.5" customHeight="1" x14ac:dyDescent="0.25">
      <c r="A1013" s="13" t="s">
        <v>2734</v>
      </c>
      <c r="B1013" s="49" t="s">
        <v>2638</v>
      </c>
      <c r="C1013" s="101" t="s">
        <v>2735</v>
      </c>
      <c r="D1013" s="14" t="s">
        <v>3313</v>
      </c>
      <c r="E1013" s="14" t="s">
        <v>3308</v>
      </c>
      <c r="F1013" s="65" t="s">
        <v>841</v>
      </c>
      <c r="G1013" s="106">
        <v>0.9</v>
      </c>
      <c r="H1013" s="107" t="s">
        <v>3279</v>
      </c>
    </row>
    <row r="1014" spans="1:8" ht="13.5" customHeight="1" x14ac:dyDescent="0.25">
      <c r="A1014" s="24" t="s">
        <v>2736</v>
      </c>
      <c r="B1014" s="38" t="s">
        <v>2638</v>
      </c>
      <c r="C1014" s="100" t="s">
        <v>2737</v>
      </c>
      <c r="D1014" s="25" t="s">
        <v>3313</v>
      </c>
      <c r="E1014" s="25" t="s">
        <v>3308</v>
      </c>
      <c r="F1014" s="65" t="s">
        <v>841</v>
      </c>
      <c r="G1014" s="106">
        <v>0.9</v>
      </c>
      <c r="H1014" s="107" t="s">
        <v>3279</v>
      </c>
    </row>
    <row r="1015" spans="1:8" ht="13.5" customHeight="1" x14ac:dyDescent="0.25">
      <c r="A1015" s="13" t="s">
        <v>2738</v>
      </c>
      <c r="B1015" s="49" t="s">
        <v>2638</v>
      </c>
      <c r="C1015" s="101" t="s">
        <v>2739</v>
      </c>
      <c r="D1015" s="14" t="s">
        <v>3313</v>
      </c>
      <c r="E1015" s="14" t="s">
        <v>3308</v>
      </c>
      <c r="F1015" s="65" t="s">
        <v>841</v>
      </c>
      <c r="G1015" s="106">
        <v>0.9</v>
      </c>
      <c r="H1015" s="107" t="s">
        <v>3279</v>
      </c>
    </row>
    <row r="1016" spans="1:8" ht="13.5" customHeight="1" x14ac:dyDescent="0.25">
      <c r="A1016" s="24" t="s">
        <v>2740</v>
      </c>
      <c r="B1016" s="38" t="s">
        <v>2638</v>
      </c>
      <c r="C1016" s="100" t="s">
        <v>2741</v>
      </c>
      <c r="D1016" s="25" t="s">
        <v>3313</v>
      </c>
      <c r="E1016" s="25" t="s">
        <v>3308</v>
      </c>
      <c r="F1016" s="65" t="s">
        <v>841</v>
      </c>
      <c r="G1016" s="106">
        <v>0.9</v>
      </c>
      <c r="H1016" s="107" t="s">
        <v>3279</v>
      </c>
    </row>
    <row r="1017" spans="1:8" ht="13.5" customHeight="1" x14ac:dyDescent="0.25">
      <c r="A1017" s="13" t="s">
        <v>2742</v>
      </c>
      <c r="B1017" s="49" t="s">
        <v>2638</v>
      </c>
      <c r="C1017" s="101" t="s">
        <v>2743</v>
      </c>
      <c r="D1017" s="14" t="s">
        <v>3313</v>
      </c>
      <c r="E1017" s="14" t="s">
        <v>3308</v>
      </c>
      <c r="F1017" s="65" t="s">
        <v>841</v>
      </c>
      <c r="G1017" s="106">
        <v>0.9</v>
      </c>
      <c r="H1017" s="107" t="s">
        <v>3279</v>
      </c>
    </row>
    <row r="1018" spans="1:8" ht="13.5" customHeight="1" x14ac:dyDescent="0.25">
      <c r="A1018" s="24" t="s">
        <v>2744</v>
      </c>
      <c r="B1018" s="38" t="s">
        <v>2638</v>
      </c>
      <c r="C1018" s="100" t="s">
        <v>2745</v>
      </c>
      <c r="D1018" s="25" t="s">
        <v>3313</v>
      </c>
      <c r="E1018" s="25" t="s">
        <v>3308</v>
      </c>
      <c r="F1018" s="65" t="s">
        <v>841</v>
      </c>
      <c r="G1018" s="106">
        <v>0.9</v>
      </c>
      <c r="H1018" s="107" t="s">
        <v>3279</v>
      </c>
    </row>
    <row r="1019" spans="1:8" ht="13.5" customHeight="1" x14ac:dyDescent="0.25">
      <c r="A1019" s="13" t="s">
        <v>2746</v>
      </c>
      <c r="B1019" s="49" t="s">
        <v>2638</v>
      </c>
      <c r="C1019" s="101" t="s">
        <v>2747</v>
      </c>
      <c r="D1019" s="14" t="s">
        <v>3313</v>
      </c>
      <c r="E1019" s="14" t="s">
        <v>3308</v>
      </c>
      <c r="F1019" s="65" t="s">
        <v>841</v>
      </c>
      <c r="G1019" s="106">
        <v>0.9</v>
      </c>
      <c r="H1019" s="107" t="s">
        <v>3279</v>
      </c>
    </row>
    <row r="1020" spans="1:8" ht="13.5" customHeight="1" x14ac:dyDescent="0.25">
      <c r="A1020" s="24" t="s">
        <v>2748</v>
      </c>
      <c r="B1020" s="38" t="s">
        <v>2638</v>
      </c>
      <c r="C1020" s="100" t="s">
        <v>2749</v>
      </c>
      <c r="D1020" s="25" t="s">
        <v>3313</v>
      </c>
      <c r="E1020" s="25" t="s">
        <v>3308</v>
      </c>
      <c r="F1020" s="65" t="s">
        <v>841</v>
      </c>
      <c r="G1020" s="106">
        <v>0.9</v>
      </c>
      <c r="H1020" s="107" t="s">
        <v>3279</v>
      </c>
    </row>
    <row r="1021" spans="1:8" ht="13.5" customHeight="1" x14ac:dyDescent="0.25">
      <c r="A1021" s="13" t="s">
        <v>2750</v>
      </c>
      <c r="B1021" s="49" t="s">
        <v>2638</v>
      </c>
      <c r="C1021" s="101" t="s">
        <v>2751</v>
      </c>
      <c r="D1021" s="14" t="s">
        <v>3313</v>
      </c>
      <c r="E1021" s="14" t="s">
        <v>3308</v>
      </c>
      <c r="F1021" s="65" t="s">
        <v>841</v>
      </c>
      <c r="G1021" s="106">
        <v>0.9</v>
      </c>
      <c r="H1021" s="107" t="s">
        <v>3279</v>
      </c>
    </row>
    <row r="1022" spans="1:8" ht="13.5" customHeight="1" x14ac:dyDescent="0.25">
      <c r="A1022" s="24" t="s">
        <v>2752</v>
      </c>
      <c r="B1022" s="38" t="s">
        <v>2753</v>
      </c>
      <c r="C1022" s="100" t="s">
        <v>2754</v>
      </c>
      <c r="D1022" s="25" t="s">
        <v>3314</v>
      </c>
      <c r="E1022" s="25" t="s">
        <v>3314</v>
      </c>
      <c r="F1022" s="65" t="s">
        <v>841</v>
      </c>
      <c r="G1022" s="106">
        <v>0.9</v>
      </c>
      <c r="H1022" s="103" t="s">
        <v>3239</v>
      </c>
    </row>
    <row r="1023" spans="1:8" ht="13.5" customHeight="1" x14ac:dyDescent="0.25">
      <c r="A1023" s="13" t="s">
        <v>2756</v>
      </c>
      <c r="B1023" s="49" t="s">
        <v>2753</v>
      </c>
      <c r="C1023" s="101" t="s">
        <v>2757</v>
      </c>
      <c r="D1023" s="14" t="s">
        <v>3314</v>
      </c>
      <c r="E1023" s="14" t="s">
        <v>3314</v>
      </c>
      <c r="F1023" s="65" t="s">
        <v>841</v>
      </c>
      <c r="G1023" s="106">
        <v>0.9</v>
      </c>
      <c r="H1023" s="103" t="s">
        <v>3239</v>
      </c>
    </row>
    <row r="1024" spans="1:8" ht="13.5" customHeight="1" x14ac:dyDescent="0.25">
      <c r="A1024" s="24" t="s">
        <v>2758</v>
      </c>
      <c r="B1024" s="38" t="s">
        <v>2753</v>
      </c>
      <c r="C1024" s="100" t="s">
        <v>2759</v>
      </c>
      <c r="D1024" s="25" t="s">
        <v>3314</v>
      </c>
      <c r="E1024" s="25" t="s">
        <v>3314</v>
      </c>
      <c r="F1024" s="65" t="s">
        <v>841</v>
      </c>
      <c r="G1024" s="106">
        <v>0.9</v>
      </c>
      <c r="H1024" s="103" t="s">
        <v>3239</v>
      </c>
    </row>
    <row r="1025" spans="1:8" ht="13.5" customHeight="1" x14ac:dyDescent="0.25">
      <c r="A1025" s="13" t="s">
        <v>2760</v>
      </c>
      <c r="B1025" s="49" t="s">
        <v>2753</v>
      </c>
      <c r="C1025" s="101" t="s">
        <v>2761</v>
      </c>
      <c r="D1025" s="14" t="s">
        <v>3314</v>
      </c>
      <c r="E1025" s="14" t="s">
        <v>3314</v>
      </c>
      <c r="F1025" s="65" t="s">
        <v>841</v>
      </c>
      <c r="G1025" s="106">
        <v>0.9</v>
      </c>
      <c r="H1025" s="103" t="s">
        <v>3239</v>
      </c>
    </row>
    <row r="1026" spans="1:8" ht="13.5" customHeight="1" x14ac:dyDescent="0.25">
      <c r="A1026" s="24" t="s">
        <v>2762</v>
      </c>
      <c r="B1026" s="38" t="s">
        <v>2753</v>
      </c>
      <c r="C1026" s="100" t="s">
        <v>2763</v>
      </c>
      <c r="D1026" s="25" t="s">
        <v>3314</v>
      </c>
      <c r="E1026" s="25" t="s">
        <v>3314</v>
      </c>
      <c r="F1026" s="65" t="s">
        <v>841</v>
      </c>
      <c r="G1026" s="106">
        <v>0.9</v>
      </c>
      <c r="H1026" s="103" t="s">
        <v>3239</v>
      </c>
    </row>
    <row r="1027" spans="1:8" ht="13.5" customHeight="1" x14ac:dyDescent="0.25">
      <c r="A1027" s="13" t="s">
        <v>2764</v>
      </c>
      <c r="B1027" s="49" t="s">
        <v>2753</v>
      </c>
      <c r="C1027" s="101" t="s">
        <v>2765</v>
      </c>
      <c r="D1027" s="14" t="s">
        <v>3314</v>
      </c>
      <c r="E1027" s="14" t="s">
        <v>3314</v>
      </c>
      <c r="F1027" s="65" t="s">
        <v>841</v>
      </c>
      <c r="G1027" s="106">
        <v>0.9</v>
      </c>
      <c r="H1027" s="103" t="s">
        <v>3239</v>
      </c>
    </row>
    <row r="1028" spans="1:8" ht="13.5" customHeight="1" x14ac:dyDescent="0.25">
      <c r="A1028" s="24" t="s">
        <v>2766</v>
      </c>
      <c r="B1028" s="38" t="s">
        <v>2753</v>
      </c>
      <c r="C1028" s="100" t="s">
        <v>2767</v>
      </c>
      <c r="D1028" s="25" t="s">
        <v>3314</v>
      </c>
      <c r="E1028" s="25" t="s">
        <v>3314</v>
      </c>
      <c r="F1028" s="65" t="s">
        <v>841</v>
      </c>
      <c r="G1028" s="106">
        <v>0.9</v>
      </c>
      <c r="H1028" s="103" t="s">
        <v>3239</v>
      </c>
    </row>
    <row r="1029" spans="1:8" ht="13.5" customHeight="1" x14ac:dyDescent="0.25">
      <c r="A1029" s="13" t="s">
        <v>2768</v>
      </c>
      <c r="B1029" s="49" t="s">
        <v>2753</v>
      </c>
      <c r="C1029" s="101" t="s">
        <v>2769</v>
      </c>
      <c r="D1029" s="14" t="s">
        <v>3314</v>
      </c>
      <c r="E1029" s="14" t="s">
        <v>3314</v>
      </c>
      <c r="F1029" s="65" t="s">
        <v>841</v>
      </c>
      <c r="G1029" s="106">
        <v>0.9</v>
      </c>
      <c r="H1029" s="103" t="s">
        <v>3239</v>
      </c>
    </row>
    <row r="1030" spans="1:8" ht="13.5" customHeight="1" x14ac:dyDescent="0.25">
      <c r="A1030" s="24" t="s">
        <v>2770</v>
      </c>
      <c r="B1030" s="38" t="s">
        <v>2753</v>
      </c>
      <c r="C1030" s="100" t="s">
        <v>2771</v>
      </c>
      <c r="D1030" s="25" t="s">
        <v>3314</v>
      </c>
      <c r="E1030" s="25" t="s">
        <v>3314</v>
      </c>
      <c r="F1030" s="65" t="s">
        <v>841</v>
      </c>
      <c r="G1030" s="106">
        <v>0.9</v>
      </c>
      <c r="H1030" s="103" t="s">
        <v>3239</v>
      </c>
    </row>
    <row r="1031" spans="1:8" ht="13.5" customHeight="1" x14ac:dyDescent="0.25">
      <c r="A1031" s="13" t="s">
        <v>2772</v>
      </c>
      <c r="B1031" s="49" t="s">
        <v>2773</v>
      </c>
      <c r="C1031" s="101" t="s">
        <v>2774</v>
      </c>
      <c r="D1031" s="14" t="s">
        <v>2775</v>
      </c>
      <c r="E1031" s="14" t="s">
        <v>2775</v>
      </c>
      <c r="F1031" s="65" t="s">
        <v>841</v>
      </c>
      <c r="G1031" s="106">
        <v>0.9</v>
      </c>
      <c r="H1031" s="103" t="s">
        <v>3239</v>
      </c>
    </row>
    <row r="1032" spans="1:8" ht="13.5" customHeight="1" x14ac:dyDescent="0.25">
      <c r="A1032" s="24" t="s">
        <v>2776</v>
      </c>
      <c r="B1032" s="38" t="s">
        <v>2773</v>
      </c>
      <c r="C1032" s="100" t="s">
        <v>2777</v>
      </c>
      <c r="D1032" s="25" t="s">
        <v>2775</v>
      </c>
      <c r="E1032" s="25" t="s">
        <v>2775</v>
      </c>
      <c r="F1032" s="65" t="s">
        <v>841</v>
      </c>
      <c r="G1032" s="106">
        <v>0.9</v>
      </c>
      <c r="H1032" s="103" t="s">
        <v>3239</v>
      </c>
    </row>
    <row r="1033" spans="1:8" ht="13.5" customHeight="1" x14ac:dyDescent="0.25">
      <c r="A1033" s="13" t="s">
        <v>2778</v>
      </c>
      <c r="B1033" s="49" t="s">
        <v>2773</v>
      </c>
      <c r="C1033" s="101" t="s">
        <v>2779</v>
      </c>
      <c r="D1033" s="14" t="s">
        <v>2775</v>
      </c>
      <c r="E1033" s="14" t="s">
        <v>2775</v>
      </c>
      <c r="F1033" s="65" t="s">
        <v>841</v>
      </c>
      <c r="G1033" s="106">
        <v>0.9</v>
      </c>
      <c r="H1033" s="103" t="s">
        <v>3239</v>
      </c>
    </row>
    <row r="1034" spans="1:8" ht="13.5" customHeight="1" x14ac:dyDescent="0.25">
      <c r="A1034" s="24" t="s">
        <v>2780</v>
      </c>
      <c r="B1034" s="38" t="s">
        <v>2773</v>
      </c>
      <c r="C1034" s="100" t="s">
        <v>2781</v>
      </c>
      <c r="D1034" s="25" t="s">
        <v>2775</v>
      </c>
      <c r="E1034" s="25" t="s">
        <v>2775</v>
      </c>
      <c r="F1034" s="65" t="s">
        <v>841</v>
      </c>
      <c r="G1034" s="106">
        <v>0.9</v>
      </c>
      <c r="H1034" s="103" t="s">
        <v>3239</v>
      </c>
    </row>
    <row r="1035" spans="1:8" ht="13.5" customHeight="1" x14ac:dyDescent="0.25">
      <c r="A1035" s="13" t="s">
        <v>2782</v>
      </c>
      <c r="B1035" s="49" t="s">
        <v>2773</v>
      </c>
      <c r="C1035" s="101" t="s">
        <v>2783</v>
      </c>
      <c r="D1035" s="14" t="s">
        <v>2775</v>
      </c>
      <c r="E1035" s="14" t="s">
        <v>2775</v>
      </c>
      <c r="F1035" s="65" t="s">
        <v>841</v>
      </c>
      <c r="G1035" s="106">
        <v>0.9</v>
      </c>
      <c r="H1035" s="103" t="s">
        <v>3239</v>
      </c>
    </row>
    <row r="1036" spans="1:8" ht="13.5" customHeight="1" x14ac:dyDescent="0.25">
      <c r="A1036" s="24" t="s">
        <v>2784</v>
      </c>
      <c r="B1036" s="38" t="s">
        <v>2773</v>
      </c>
      <c r="C1036" s="100" t="s">
        <v>2785</v>
      </c>
      <c r="D1036" s="25" t="s">
        <v>2775</v>
      </c>
      <c r="E1036" s="25" t="s">
        <v>2775</v>
      </c>
      <c r="F1036" s="65" t="s">
        <v>841</v>
      </c>
      <c r="G1036" s="106">
        <v>0.9</v>
      </c>
      <c r="H1036" s="103" t="s">
        <v>3239</v>
      </c>
    </row>
    <row r="1037" spans="1:8" ht="13.5" customHeight="1" x14ac:dyDescent="0.25">
      <c r="A1037" s="13" t="s">
        <v>2786</v>
      </c>
      <c r="B1037" s="49" t="s">
        <v>2773</v>
      </c>
      <c r="C1037" s="101" t="s">
        <v>2787</v>
      </c>
      <c r="D1037" s="14" t="s">
        <v>2775</v>
      </c>
      <c r="E1037" s="14" t="s">
        <v>2775</v>
      </c>
      <c r="F1037" s="65" t="s">
        <v>841</v>
      </c>
      <c r="G1037" s="106">
        <v>0.9</v>
      </c>
      <c r="H1037" s="103" t="s">
        <v>3239</v>
      </c>
    </row>
    <row r="1038" spans="1:8" ht="13.5" customHeight="1" x14ac:dyDescent="0.25">
      <c r="A1038" s="24" t="s">
        <v>2788</v>
      </c>
      <c r="B1038" s="38" t="s">
        <v>2773</v>
      </c>
      <c r="C1038" s="100" t="s">
        <v>2789</v>
      </c>
      <c r="D1038" s="25" t="s">
        <v>2775</v>
      </c>
      <c r="E1038" s="25" t="s">
        <v>2775</v>
      </c>
      <c r="F1038" s="65" t="s">
        <v>841</v>
      </c>
      <c r="G1038" s="106">
        <v>0.9</v>
      </c>
      <c r="H1038" s="103" t="s">
        <v>3239</v>
      </c>
    </row>
    <row r="1039" spans="1:8" ht="13.5" customHeight="1" x14ac:dyDescent="0.25">
      <c r="A1039" s="13" t="s">
        <v>2790</v>
      </c>
      <c r="B1039" s="49" t="s">
        <v>2773</v>
      </c>
      <c r="C1039" s="101" t="s">
        <v>2791</v>
      </c>
      <c r="D1039" s="14" t="s">
        <v>2775</v>
      </c>
      <c r="E1039" s="14" t="s">
        <v>2775</v>
      </c>
      <c r="F1039" s="65" t="s">
        <v>841</v>
      </c>
      <c r="G1039" s="106">
        <v>0.9</v>
      </c>
      <c r="H1039" s="103" t="s">
        <v>3239</v>
      </c>
    </row>
    <row r="1040" spans="1:8" ht="13.5" customHeight="1" x14ac:dyDescent="0.25">
      <c r="A1040" s="24" t="s">
        <v>2792</v>
      </c>
      <c r="B1040" s="38" t="s">
        <v>2773</v>
      </c>
      <c r="C1040" s="100" t="s">
        <v>2793</v>
      </c>
      <c r="D1040" s="25" t="s">
        <v>2775</v>
      </c>
      <c r="E1040" s="25" t="s">
        <v>2775</v>
      </c>
      <c r="F1040" s="65" t="s">
        <v>841</v>
      </c>
      <c r="G1040" s="106">
        <v>0.9</v>
      </c>
      <c r="H1040" s="103" t="s">
        <v>3239</v>
      </c>
    </row>
    <row r="1041" spans="1:8" ht="13.5" customHeight="1" x14ac:dyDescent="0.25">
      <c r="A1041" s="13" t="s">
        <v>2794</v>
      </c>
      <c r="B1041" s="49" t="s">
        <v>2773</v>
      </c>
      <c r="C1041" s="101" t="s">
        <v>2795</v>
      </c>
      <c r="D1041" s="14" t="s">
        <v>2775</v>
      </c>
      <c r="E1041" s="14" t="s">
        <v>2775</v>
      </c>
      <c r="F1041" s="65" t="s">
        <v>841</v>
      </c>
      <c r="G1041" s="106">
        <v>0.9</v>
      </c>
      <c r="H1041" s="103" t="s">
        <v>3239</v>
      </c>
    </row>
    <row r="1042" spans="1:8" ht="13.5" customHeight="1" x14ac:dyDescent="0.25">
      <c r="A1042" s="24" t="s">
        <v>2796</v>
      </c>
      <c r="B1042" s="38" t="s">
        <v>2773</v>
      </c>
      <c r="C1042" s="100" t="s">
        <v>2797</v>
      </c>
      <c r="D1042" s="25" t="s">
        <v>2775</v>
      </c>
      <c r="E1042" s="25" t="s">
        <v>2775</v>
      </c>
      <c r="F1042" s="65" t="s">
        <v>841</v>
      </c>
      <c r="G1042" s="106">
        <v>0.9</v>
      </c>
      <c r="H1042" s="103" t="s">
        <v>3239</v>
      </c>
    </row>
    <row r="1043" spans="1:8" ht="13.5" customHeight="1" x14ac:dyDescent="0.25">
      <c r="A1043" s="13" t="s">
        <v>2798</v>
      </c>
      <c r="B1043" s="49" t="s">
        <v>2773</v>
      </c>
      <c r="C1043" s="101" t="s">
        <v>2799</v>
      </c>
      <c r="D1043" s="14" t="s">
        <v>2775</v>
      </c>
      <c r="E1043" s="14" t="s">
        <v>2775</v>
      </c>
      <c r="F1043" s="65" t="s">
        <v>841</v>
      </c>
      <c r="G1043" s="106">
        <v>0.9</v>
      </c>
      <c r="H1043" s="103" t="s">
        <v>3239</v>
      </c>
    </row>
    <row r="1044" spans="1:8" ht="13.5" customHeight="1" x14ac:dyDescent="0.25">
      <c r="A1044" s="24" t="s">
        <v>2800</v>
      </c>
      <c r="B1044" s="38" t="s">
        <v>2773</v>
      </c>
      <c r="C1044" s="100" t="s">
        <v>2801</v>
      </c>
      <c r="D1044" s="25" t="s">
        <v>2775</v>
      </c>
      <c r="E1044" s="25" t="s">
        <v>2775</v>
      </c>
      <c r="F1044" s="65" t="s">
        <v>841</v>
      </c>
      <c r="G1044" s="106">
        <v>0.9</v>
      </c>
      <c r="H1044" s="103" t="s">
        <v>3239</v>
      </c>
    </row>
    <row r="1045" spans="1:8" ht="13.5" customHeight="1" x14ac:dyDescent="0.25">
      <c r="A1045" s="13" t="s">
        <v>2802</v>
      </c>
      <c r="B1045" s="49" t="s">
        <v>2773</v>
      </c>
      <c r="C1045" s="101" t="s">
        <v>2803</v>
      </c>
      <c r="D1045" s="14" t="s">
        <v>2775</v>
      </c>
      <c r="E1045" s="14" t="s">
        <v>2775</v>
      </c>
      <c r="F1045" s="65" t="s">
        <v>841</v>
      </c>
      <c r="G1045" s="106">
        <v>0.9</v>
      </c>
      <c r="H1045" s="103" t="s">
        <v>3239</v>
      </c>
    </row>
    <row r="1046" spans="1:8" ht="13.5" customHeight="1" x14ac:dyDescent="0.25">
      <c r="A1046" s="24" t="s">
        <v>2804</v>
      </c>
      <c r="B1046" s="38" t="s">
        <v>2773</v>
      </c>
      <c r="C1046" s="100" t="s">
        <v>2805</v>
      </c>
      <c r="D1046" s="25" t="s">
        <v>2775</v>
      </c>
      <c r="E1046" s="25" t="s">
        <v>2775</v>
      </c>
      <c r="F1046" s="65" t="s">
        <v>841</v>
      </c>
      <c r="G1046" s="106">
        <v>0.9</v>
      </c>
      <c r="H1046" s="103" t="s">
        <v>3239</v>
      </c>
    </row>
    <row r="1047" spans="1:8" ht="13.5" customHeight="1" x14ac:dyDescent="0.25">
      <c r="A1047" s="13" t="s">
        <v>2806</v>
      </c>
      <c r="B1047" s="49" t="s">
        <v>2773</v>
      </c>
      <c r="C1047" s="101" t="s">
        <v>2807</v>
      </c>
      <c r="D1047" s="14" t="s">
        <v>2775</v>
      </c>
      <c r="E1047" s="14" t="s">
        <v>2775</v>
      </c>
      <c r="F1047" s="65" t="s">
        <v>841</v>
      </c>
      <c r="G1047" s="106">
        <v>0.9</v>
      </c>
      <c r="H1047" s="103" t="s">
        <v>3239</v>
      </c>
    </row>
    <row r="1048" spans="1:8" ht="13.5" customHeight="1" x14ac:dyDescent="0.25">
      <c r="A1048" s="24" t="s">
        <v>2808</v>
      </c>
      <c r="B1048" s="38" t="s">
        <v>2773</v>
      </c>
      <c r="C1048" s="100" t="s">
        <v>2809</v>
      </c>
      <c r="D1048" s="25" t="s">
        <v>2775</v>
      </c>
      <c r="E1048" s="25" t="s">
        <v>2775</v>
      </c>
      <c r="F1048" s="65" t="s">
        <v>841</v>
      </c>
      <c r="G1048" s="106">
        <v>0.9</v>
      </c>
      <c r="H1048" s="103" t="s">
        <v>3239</v>
      </c>
    </row>
    <row r="1049" spans="1:8" ht="13.5" customHeight="1" x14ac:dyDescent="0.25">
      <c r="A1049" s="13" t="s">
        <v>2810</v>
      </c>
      <c r="B1049" s="49" t="s">
        <v>2773</v>
      </c>
      <c r="C1049" s="101" t="s">
        <v>2811</v>
      </c>
      <c r="D1049" s="14" t="s">
        <v>2775</v>
      </c>
      <c r="E1049" s="14" t="s">
        <v>2775</v>
      </c>
      <c r="F1049" s="65" t="s">
        <v>841</v>
      </c>
      <c r="G1049" s="106">
        <v>0.9</v>
      </c>
      <c r="H1049" s="103" t="s">
        <v>3239</v>
      </c>
    </row>
    <row r="1050" spans="1:8" ht="13.5" customHeight="1" x14ac:dyDescent="0.25">
      <c r="A1050" s="24" t="s">
        <v>2812</v>
      </c>
      <c r="B1050" s="38" t="s">
        <v>2773</v>
      </c>
      <c r="C1050" s="100" t="s">
        <v>2813</v>
      </c>
      <c r="D1050" s="25" t="s">
        <v>2775</v>
      </c>
      <c r="E1050" s="25" t="s">
        <v>2775</v>
      </c>
      <c r="F1050" s="65" t="s">
        <v>841</v>
      </c>
      <c r="G1050" s="106">
        <v>0.9</v>
      </c>
      <c r="H1050" s="103" t="s">
        <v>3239</v>
      </c>
    </row>
    <row r="1051" spans="1:8" ht="13.5" customHeight="1" x14ac:dyDescent="0.25">
      <c r="A1051" s="13" t="s">
        <v>2814</v>
      </c>
      <c r="B1051" s="49" t="s">
        <v>2773</v>
      </c>
      <c r="C1051" s="101" t="s">
        <v>2815</v>
      </c>
      <c r="D1051" s="14" t="s">
        <v>2775</v>
      </c>
      <c r="E1051" s="14" t="s">
        <v>2775</v>
      </c>
      <c r="F1051" s="65" t="s">
        <v>841</v>
      </c>
      <c r="G1051" s="106">
        <v>0.9</v>
      </c>
      <c r="H1051" s="103" t="s">
        <v>3239</v>
      </c>
    </row>
    <row r="1052" spans="1:8" ht="13.5" customHeight="1" x14ac:dyDescent="0.25">
      <c r="A1052" s="24" t="s">
        <v>2816</v>
      </c>
      <c r="B1052" s="38" t="s">
        <v>2773</v>
      </c>
      <c r="C1052" s="100" t="s">
        <v>2817</v>
      </c>
      <c r="D1052" s="25" t="s">
        <v>2775</v>
      </c>
      <c r="E1052" s="25" t="s">
        <v>2775</v>
      </c>
      <c r="F1052" s="65" t="s">
        <v>841</v>
      </c>
      <c r="G1052" s="106">
        <v>0.9</v>
      </c>
      <c r="H1052" s="103" t="s">
        <v>3239</v>
      </c>
    </row>
    <row r="1053" spans="1:8" ht="13.5" customHeight="1" x14ac:dyDescent="0.25">
      <c r="A1053" s="13" t="s">
        <v>2818</v>
      </c>
      <c r="B1053" s="49" t="s">
        <v>2773</v>
      </c>
      <c r="C1053" s="101" t="s">
        <v>2819</v>
      </c>
      <c r="D1053" s="14" t="s">
        <v>2775</v>
      </c>
      <c r="E1053" s="14" t="s">
        <v>2775</v>
      </c>
      <c r="F1053" s="65" t="s">
        <v>841</v>
      </c>
      <c r="G1053" s="106">
        <v>0.9</v>
      </c>
      <c r="H1053" s="103" t="s">
        <v>3239</v>
      </c>
    </row>
    <row r="1054" spans="1:8" ht="13.5" customHeight="1" x14ac:dyDescent="0.25">
      <c r="A1054" s="24" t="s">
        <v>2820</v>
      </c>
      <c r="B1054" s="38" t="s">
        <v>2821</v>
      </c>
      <c r="C1054" s="100" t="s">
        <v>2822</v>
      </c>
      <c r="D1054" s="25" t="s">
        <v>3315</v>
      </c>
      <c r="E1054" s="25" t="s">
        <v>3316</v>
      </c>
      <c r="F1054" s="64" t="s">
        <v>566</v>
      </c>
      <c r="G1054" s="104">
        <v>1.1499999999999999</v>
      </c>
      <c r="H1054" s="107" t="s">
        <v>3279</v>
      </c>
    </row>
    <row r="1055" spans="1:8" ht="13.5" customHeight="1" x14ac:dyDescent="0.25">
      <c r="A1055" s="13" t="s">
        <v>2824</v>
      </c>
      <c r="B1055" s="49" t="s">
        <v>2821</v>
      </c>
      <c r="C1055" s="101" t="s">
        <v>2825</v>
      </c>
      <c r="D1055" s="14" t="s">
        <v>3315</v>
      </c>
      <c r="E1055" s="14" t="s">
        <v>3316</v>
      </c>
      <c r="F1055" s="64" t="s">
        <v>566</v>
      </c>
      <c r="G1055" s="104">
        <v>1.1499999999999999</v>
      </c>
      <c r="H1055" s="107" t="s">
        <v>3279</v>
      </c>
    </row>
    <row r="1056" spans="1:8" ht="13.5" customHeight="1" x14ac:dyDescent="0.25">
      <c r="A1056" s="24" t="s">
        <v>2826</v>
      </c>
      <c r="B1056" s="38" t="s">
        <v>2821</v>
      </c>
      <c r="C1056" s="100" t="s">
        <v>2827</v>
      </c>
      <c r="D1056" s="25" t="s">
        <v>3315</v>
      </c>
      <c r="E1056" s="25" t="s">
        <v>3316</v>
      </c>
      <c r="F1056" s="64" t="s">
        <v>566</v>
      </c>
      <c r="G1056" s="104">
        <v>1.1499999999999999</v>
      </c>
      <c r="H1056" s="107" t="s">
        <v>3279</v>
      </c>
    </row>
    <row r="1057" spans="1:8" ht="13.5" customHeight="1" x14ac:dyDescent="0.25">
      <c r="A1057" s="13" t="s">
        <v>2828</v>
      </c>
      <c r="B1057" s="49" t="s">
        <v>2821</v>
      </c>
      <c r="C1057" s="101" t="s">
        <v>2829</v>
      </c>
      <c r="D1057" s="14" t="s">
        <v>3315</v>
      </c>
      <c r="E1057" s="14" t="s">
        <v>3316</v>
      </c>
      <c r="F1057" s="64" t="s">
        <v>566</v>
      </c>
      <c r="G1057" s="104">
        <v>1.1499999999999999</v>
      </c>
      <c r="H1057" s="107" t="s">
        <v>3279</v>
      </c>
    </row>
    <row r="1058" spans="1:8" ht="13.5" customHeight="1" x14ac:dyDescent="0.25">
      <c r="A1058" s="24" t="s">
        <v>2830</v>
      </c>
      <c r="B1058" s="38" t="s">
        <v>2821</v>
      </c>
      <c r="C1058" s="100" t="s">
        <v>2831</v>
      </c>
      <c r="D1058" s="25" t="s">
        <v>3315</v>
      </c>
      <c r="E1058" s="25" t="s">
        <v>3316</v>
      </c>
      <c r="F1058" s="64" t="s">
        <v>566</v>
      </c>
      <c r="G1058" s="104">
        <v>1.1499999999999999</v>
      </c>
      <c r="H1058" s="107" t="s">
        <v>3279</v>
      </c>
    </row>
    <row r="1059" spans="1:8" ht="13.5" customHeight="1" x14ac:dyDescent="0.25">
      <c r="A1059" s="13" t="s">
        <v>2832</v>
      </c>
      <c r="B1059" s="49" t="s">
        <v>2821</v>
      </c>
      <c r="C1059" s="101" t="s">
        <v>2833</v>
      </c>
      <c r="D1059" s="14" t="s">
        <v>3315</v>
      </c>
      <c r="E1059" s="14" t="s">
        <v>3316</v>
      </c>
      <c r="F1059" s="40" t="s">
        <v>477</v>
      </c>
      <c r="G1059" s="102">
        <v>1</v>
      </c>
      <c r="H1059" s="107" t="s">
        <v>3279</v>
      </c>
    </row>
    <row r="1060" spans="1:8" ht="13.5" customHeight="1" x14ac:dyDescent="0.25">
      <c r="A1060" s="24" t="s">
        <v>2834</v>
      </c>
      <c r="B1060" s="38" t="s">
        <v>2821</v>
      </c>
      <c r="C1060" s="100" t="s">
        <v>2835</v>
      </c>
      <c r="D1060" s="25" t="s">
        <v>3315</v>
      </c>
      <c r="E1060" s="25" t="s">
        <v>3316</v>
      </c>
      <c r="F1060" s="40" t="s">
        <v>477</v>
      </c>
      <c r="G1060" s="102">
        <v>1</v>
      </c>
      <c r="H1060" s="107" t="s">
        <v>3279</v>
      </c>
    </row>
    <row r="1061" spans="1:8" ht="13.5" customHeight="1" x14ac:dyDescent="0.25">
      <c r="A1061" s="13" t="s">
        <v>2836</v>
      </c>
      <c r="B1061" s="49" t="s">
        <v>2821</v>
      </c>
      <c r="C1061" s="101" t="s">
        <v>2837</v>
      </c>
      <c r="D1061" s="14" t="s">
        <v>3315</v>
      </c>
      <c r="E1061" s="14" t="s">
        <v>3316</v>
      </c>
      <c r="F1061" s="40" t="s">
        <v>477</v>
      </c>
      <c r="G1061" s="102">
        <v>1</v>
      </c>
      <c r="H1061" s="107" t="s">
        <v>3279</v>
      </c>
    </row>
    <row r="1062" spans="1:8" ht="13.5" customHeight="1" x14ac:dyDescent="0.25">
      <c r="A1062" s="24" t="s">
        <v>2838</v>
      </c>
      <c r="B1062" s="38" t="s">
        <v>2821</v>
      </c>
      <c r="C1062" s="100" t="s">
        <v>2839</v>
      </c>
      <c r="D1062" s="25" t="s">
        <v>3315</v>
      </c>
      <c r="E1062" s="25" t="s">
        <v>3316</v>
      </c>
      <c r="F1062" s="40" t="s">
        <v>477</v>
      </c>
      <c r="G1062" s="102">
        <v>1</v>
      </c>
      <c r="H1062" s="107" t="s">
        <v>3279</v>
      </c>
    </row>
    <row r="1063" spans="1:8" ht="13.5" customHeight="1" x14ac:dyDescent="0.25">
      <c r="A1063" s="13" t="s">
        <v>2840</v>
      </c>
      <c r="B1063" s="49" t="s">
        <v>2821</v>
      </c>
      <c r="C1063" s="101" t="s">
        <v>2841</v>
      </c>
      <c r="D1063" s="14" t="s">
        <v>3315</v>
      </c>
      <c r="E1063" s="14" t="s">
        <v>3316</v>
      </c>
      <c r="F1063" s="40" t="s">
        <v>477</v>
      </c>
      <c r="G1063" s="102">
        <v>1</v>
      </c>
      <c r="H1063" s="107" t="s">
        <v>3279</v>
      </c>
    </row>
    <row r="1064" spans="1:8" ht="13.5" customHeight="1" x14ac:dyDescent="0.25">
      <c r="A1064" s="24" t="s">
        <v>2842</v>
      </c>
      <c r="B1064" s="38" t="s">
        <v>2821</v>
      </c>
      <c r="C1064" s="100" t="s">
        <v>2843</v>
      </c>
      <c r="D1064" s="25" t="s">
        <v>3315</v>
      </c>
      <c r="E1064" s="25" t="s">
        <v>3316</v>
      </c>
      <c r="F1064" s="40" t="s">
        <v>477</v>
      </c>
      <c r="G1064" s="102">
        <v>1</v>
      </c>
      <c r="H1064" s="107" t="s">
        <v>3279</v>
      </c>
    </row>
    <row r="1065" spans="1:8" ht="13.5" customHeight="1" x14ac:dyDescent="0.25">
      <c r="A1065" s="13" t="s">
        <v>2844</v>
      </c>
      <c r="B1065" s="49" t="s">
        <v>2821</v>
      </c>
      <c r="C1065" s="101" t="s">
        <v>2845</v>
      </c>
      <c r="D1065" s="14" t="s">
        <v>3315</v>
      </c>
      <c r="E1065" s="14" t="s">
        <v>3316</v>
      </c>
      <c r="F1065" s="40" t="s">
        <v>477</v>
      </c>
      <c r="G1065" s="102">
        <v>1</v>
      </c>
      <c r="H1065" s="107" t="s">
        <v>3279</v>
      </c>
    </row>
    <row r="1066" spans="1:8" ht="13.5" customHeight="1" x14ac:dyDescent="0.25">
      <c r="A1066" s="24" t="s">
        <v>2846</v>
      </c>
      <c r="B1066" s="38" t="s">
        <v>2821</v>
      </c>
      <c r="C1066" s="100" t="s">
        <v>2847</v>
      </c>
      <c r="D1066" s="25" t="s">
        <v>3315</v>
      </c>
      <c r="E1066" s="25" t="s">
        <v>3316</v>
      </c>
      <c r="F1066" s="40" t="s">
        <v>477</v>
      </c>
      <c r="G1066" s="102">
        <v>1</v>
      </c>
      <c r="H1066" s="107" t="s">
        <v>3279</v>
      </c>
    </row>
    <row r="1067" spans="1:8" ht="13.5" customHeight="1" x14ac:dyDescent="0.25">
      <c r="A1067" s="13" t="s">
        <v>2848</v>
      </c>
      <c r="B1067" s="49" t="s">
        <v>2821</v>
      </c>
      <c r="C1067" s="101" t="s">
        <v>2849</v>
      </c>
      <c r="D1067" s="14" t="s">
        <v>3315</v>
      </c>
      <c r="E1067" s="14" t="s">
        <v>3316</v>
      </c>
      <c r="F1067" s="40" t="s">
        <v>477</v>
      </c>
      <c r="G1067" s="102">
        <v>1</v>
      </c>
      <c r="H1067" s="107" t="s">
        <v>3279</v>
      </c>
    </row>
    <row r="1068" spans="1:8" ht="13.5" customHeight="1" x14ac:dyDescent="0.25">
      <c r="A1068" s="24" t="s">
        <v>2850</v>
      </c>
      <c r="B1068" s="38" t="s">
        <v>2821</v>
      </c>
      <c r="C1068" s="100" t="s">
        <v>2851</v>
      </c>
      <c r="D1068" s="25" t="s">
        <v>3315</v>
      </c>
      <c r="E1068" s="25" t="s">
        <v>3316</v>
      </c>
      <c r="F1068" s="40" t="s">
        <v>477</v>
      </c>
      <c r="G1068" s="102">
        <v>1</v>
      </c>
      <c r="H1068" s="107" t="s">
        <v>3279</v>
      </c>
    </row>
    <row r="1069" spans="1:8" ht="13.5" customHeight="1" x14ac:dyDescent="0.25">
      <c r="A1069" s="13" t="s">
        <v>2852</v>
      </c>
      <c r="B1069" s="49" t="s">
        <v>2821</v>
      </c>
      <c r="C1069" s="101" t="s">
        <v>2853</v>
      </c>
      <c r="D1069" s="14" t="s">
        <v>3315</v>
      </c>
      <c r="E1069" s="14" t="s">
        <v>3316</v>
      </c>
      <c r="F1069" s="40" t="s">
        <v>477</v>
      </c>
      <c r="G1069" s="102">
        <v>1</v>
      </c>
      <c r="H1069" s="107" t="s">
        <v>3279</v>
      </c>
    </row>
    <row r="1070" spans="1:8" ht="13.5" customHeight="1" x14ac:dyDescent="0.25">
      <c r="A1070" s="24" t="s">
        <v>2854</v>
      </c>
      <c r="B1070" s="38" t="s">
        <v>2821</v>
      </c>
      <c r="C1070" s="100" t="s">
        <v>2855</v>
      </c>
      <c r="D1070" s="25" t="s">
        <v>3315</v>
      </c>
      <c r="E1070" s="25" t="s">
        <v>3316</v>
      </c>
      <c r="F1070" s="40" t="s">
        <v>477</v>
      </c>
      <c r="G1070" s="102">
        <v>1</v>
      </c>
      <c r="H1070" s="107" t="s">
        <v>3279</v>
      </c>
    </row>
    <row r="1071" spans="1:8" ht="13.5" customHeight="1" x14ac:dyDescent="0.25">
      <c r="A1071" s="13" t="s">
        <v>2856</v>
      </c>
      <c r="B1071" s="49" t="s">
        <v>2821</v>
      </c>
      <c r="C1071" s="101" t="s">
        <v>2857</v>
      </c>
      <c r="D1071" s="14" t="s">
        <v>3315</v>
      </c>
      <c r="E1071" s="14" t="s">
        <v>3316</v>
      </c>
      <c r="F1071" s="40" t="s">
        <v>477</v>
      </c>
      <c r="G1071" s="102">
        <v>1</v>
      </c>
      <c r="H1071" s="107" t="s">
        <v>3279</v>
      </c>
    </row>
    <row r="1072" spans="1:8" ht="13.5" customHeight="1" x14ac:dyDescent="0.25">
      <c r="A1072" s="24" t="s">
        <v>2858</v>
      </c>
      <c r="B1072" s="38" t="s">
        <v>2821</v>
      </c>
      <c r="C1072" s="100" t="s">
        <v>2859</v>
      </c>
      <c r="D1072" s="25" t="s">
        <v>3315</v>
      </c>
      <c r="E1072" s="25" t="s">
        <v>3316</v>
      </c>
      <c r="F1072" s="40" t="s">
        <v>477</v>
      </c>
      <c r="G1072" s="102">
        <v>1</v>
      </c>
      <c r="H1072" s="107" t="s">
        <v>3279</v>
      </c>
    </row>
    <row r="1073" spans="1:8" ht="13.5" customHeight="1" x14ac:dyDescent="0.25">
      <c r="A1073" s="13" t="s">
        <v>2860</v>
      </c>
      <c r="B1073" s="49" t="s">
        <v>2821</v>
      </c>
      <c r="C1073" s="101" t="s">
        <v>2861</v>
      </c>
      <c r="D1073" s="14" t="s">
        <v>3315</v>
      </c>
      <c r="E1073" s="14" t="s">
        <v>3316</v>
      </c>
      <c r="F1073" s="40" t="s">
        <v>477</v>
      </c>
      <c r="G1073" s="102">
        <v>1</v>
      </c>
      <c r="H1073" s="107" t="s">
        <v>3279</v>
      </c>
    </row>
    <row r="1074" spans="1:8" ht="13.5" customHeight="1" x14ac:dyDescent="0.25">
      <c r="A1074" s="24" t="s">
        <v>2862</v>
      </c>
      <c r="B1074" s="38" t="s">
        <v>2821</v>
      </c>
      <c r="C1074" s="100" t="s">
        <v>2863</v>
      </c>
      <c r="D1074" s="25" t="s">
        <v>3315</v>
      </c>
      <c r="E1074" s="25" t="s">
        <v>3316</v>
      </c>
      <c r="F1074" s="40" t="s">
        <v>477</v>
      </c>
      <c r="G1074" s="102">
        <v>1</v>
      </c>
      <c r="H1074" s="107" t="s">
        <v>3279</v>
      </c>
    </row>
    <row r="1075" spans="1:8" ht="13.5" customHeight="1" x14ac:dyDescent="0.25">
      <c r="A1075" s="13" t="s">
        <v>2864</v>
      </c>
      <c r="B1075" s="49" t="s">
        <v>2821</v>
      </c>
      <c r="C1075" s="101" t="s">
        <v>2865</v>
      </c>
      <c r="D1075" s="14" t="s">
        <v>3315</v>
      </c>
      <c r="E1075" s="14" t="s">
        <v>3316</v>
      </c>
      <c r="F1075" s="40" t="s">
        <v>477</v>
      </c>
      <c r="G1075" s="102">
        <v>1</v>
      </c>
      <c r="H1075" s="107" t="s">
        <v>3279</v>
      </c>
    </row>
    <row r="1076" spans="1:8" ht="13.5" customHeight="1" x14ac:dyDescent="0.25">
      <c r="A1076" s="24" t="s">
        <v>2866</v>
      </c>
      <c r="B1076" s="38" t="s">
        <v>2821</v>
      </c>
      <c r="C1076" s="100" t="s">
        <v>2867</v>
      </c>
      <c r="D1076" s="25" t="s">
        <v>3315</v>
      </c>
      <c r="E1076" s="25" t="s">
        <v>3316</v>
      </c>
      <c r="F1076" s="40" t="s">
        <v>477</v>
      </c>
      <c r="G1076" s="102">
        <v>1</v>
      </c>
      <c r="H1076" s="107" t="s">
        <v>3279</v>
      </c>
    </row>
    <row r="1077" spans="1:8" ht="13.5" customHeight="1" x14ac:dyDescent="0.25">
      <c r="A1077" s="13" t="s">
        <v>2868</v>
      </c>
      <c r="B1077" s="49" t="s">
        <v>2821</v>
      </c>
      <c r="C1077" s="101" t="s">
        <v>2869</v>
      </c>
      <c r="D1077" s="14" t="s">
        <v>3315</v>
      </c>
      <c r="E1077" s="14" t="s">
        <v>3316</v>
      </c>
      <c r="F1077" s="40" t="s">
        <v>477</v>
      </c>
      <c r="G1077" s="102">
        <v>1</v>
      </c>
      <c r="H1077" s="107" t="s">
        <v>3279</v>
      </c>
    </row>
    <row r="1078" spans="1:8" ht="13.5" customHeight="1" x14ac:dyDescent="0.25">
      <c r="A1078" s="24" t="s">
        <v>2870</v>
      </c>
      <c r="B1078" s="38" t="s">
        <v>2821</v>
      </c>
      <c r="C1078" s="100" t="s">
        <v>2871</v>
      </c>
      <c r="D1078" s="25" t="s">
        <v>3315</v>
      </c>
      <c r="E1078" s="25" t="s">
        <v>3316</v>
      </c>
      <c r="F1078" s="40" t="s">
        <v>477</v>
      </c>
      <c r="G1078" s="102">
        <v>1</v>
      </c>
      <c r="H1078" s="107" t="s">
        <v>3279</v>
      </c>
    </row>
    <row r="1079" spans="1:8" ht="13.5" customHeight="1" x14ac:dyDescent="0.25">
      <c r="A1079" s="13" t="s">
        <v>2872</v>
      </c>
      <c r="B1079" s="49" t="s">
        <v>2821</v>
      </c>
      <c r="C1079" s="101" t="s">
        <v>2873</v>
      </c>
      <c r="D1079" s="14" t="s">
        <v>3315</v>
      </c>
      <c r="E1079" s="14" t="s">
        <v>3316</v>
      </c>
      <c r="F1079" s="40" t="s">
        <v>477</v>
      </c>
      <c r="G1079" s="102">
        <v>1</v>
      </c>
      <c r="H1079" s="107" t="s">
        <v>3279</v>
      </c>
    </row>
    <row r="1080" spans="1:8" ht="13.5" customHeight="1" x14ac:dyDescent="0.25">
      <c r="A1080" s="24" t="s">
        <v>2874</v>
      </c>
      <c r="B1080" s="38" t="s">
        <v>2821</v>
      </c>
      <c r="C1080" s="100" t="s">
        <v>2875</v>
      </c>
      <c r="D1080" s="25" t="s">
        <v>3315</v>
      </c>
      <c r="E1080" s="25" t="s">
        <v>3316</v>
      </c>
      <c r="F1080" s="40" t="s">
        <v>477</v>
      </c>
      <c r="G1080" s="102">
        <v>1</v>
      </c>
      <c r="H1080" s="107" t="s">
        <v>3279</v>
      </c>
    </row>
    <row r="1081" spans="1:8" ht="13.5" customHeight="1" x14ac:dyDescent="0.25">
      <c r="A1081" s="13" t="s">
        <v>2876</v>
      </c>
      <c r="B1081" s="49" t="s">
        <v>2821</v>
      </c>
      <c r="C1081" s="101" t="s">
        <v>2877</v>
      </c>
      <c r="D1081" s="14" t="s">
        <v>3315</v>
      </c>
      <c r="E1081" s="14" t="s">
        <v>3316</v>
      </c>
      <c r="F1081" s="40" t="s">
        <v>477</v>
      </c>
      <c r="G1081" s="102">
        <v>1</v>
      </c>
      <c r="H1081" s="107" t="s">
        <v>3279</v>
      </c>
    </row>
    <row r="1082" spans="1:8" ht="13.5" customHeight="1" x14ac:dyDescent="0.25">
      <c r="A1082" s="24" t="s">
        <v>2878</v>
      </c>
      <c r="B1082" s="38" t="s">
        <v>2821</v>
      </c>
      <c r="C1082" s="100" t="s">
        <v>2879</v>
      </c>
      <c r="D1082" s="25" t="s">
        <v>3315</v>
      </c>
      <c r="E1082" s="25" t="s">
        <v>3316</v>
      </c>
      <c r="F1082" s="40" t="s">
        <v>477</v>
      </c>
      <c r="G1082" s="102">
        <v>1</v>
      </c>
      <c r="H1082" s="107" t="s">
        <v>3279</v>
      </c>
    </row>
    <row r="1083" spans="1:8" ht="13.5" customHeight="1" x14ac:dyDescent="0.25">
      <c r="A1083" s="13" t="s">
        <v>2880</v>
      </c>
      <c r="B1083" s="49" t="s">
        <v>2821</v>
      </c>
      <c r="C1083" s="101" t="s">
        <v>2881</v>
      </c>
      <c r="D1083" s="14" t="s">
        <v>3315</v>
      </c>
      <c r="E1083" s="14" t="s">
        <v>3316</v>
      </c>
      <c r="F1083" s="40" t="s">
        <v>477</v>
      </c>
      <c r="G1083" s="102">
        <v>1</v>
      </c>
      <c r="H1083" s="107" t="s">
        <v>3279</v>
      </c>
    </row>
    <row r="1084" spans="1:8" ht="13.5" customHeight="1" x14ac:dyDescent="0.25">
      <c r="A1084" s="24" t="s">
        <v>2882</v>
      </c>
      <c r="B1084" s="38" t="s">
        <v>2821</v>
      </c>
      <c r="C1084" s="100" t="s">
        <v>2883</v>
      </c>
      <c r="D1084" s="25" t="s">
        <v>3315</v>
      </c>
      <c r="E1084" s="25" t="s">
        <v>3316</v>
      </c>
      <c r="F1084" s="40" t="s">
        <v>477</v>
      </c>
      <c r="G1084" s="102">
        <v>1</v>
      </c>
      <c r="H1084" s="107" t="s">
        <v>3279</v>
      </c>
    </row>
    <row r="1085" spans="1:8" ht="13.5" customHeight="1" x14ac:dyDescent="0.25">
      <c r="A1085" s="13" t="s">
        <v>2884</v>
      </c>
      <c r="B1085" s="49" t="s">
        <v>2821</v>
      </c>
      <c r="C1085" s="101" t="s">
        <v>2885</v>
      </c>
      <c r="D1085" s="14" t="s">
        <v>3315</v>
      </c>
      <c r="E1085" s="14" t="s">
        <v>3316</v>
      </c>
      <c r="F1085" s="40" t="s">
        <v>477</v>
      </c>
      <c r="G1085" s="102">
        <v>1</v>
      </c>
      <c r="H1085" s="107" t="s">
        <v>3279</v>
      </c>
    </row>
    <row r="1086" spans="1:8" ht="13.5" customHeight="1" x14ac:dyDescent="0.25">
      <c r="A1086" s="24" t="s">
        <v>2886</v>
      </c>
      <c r="B1086" s="38" t="s">
        <v>2821</v>
      </c>
      <c r="C1086" s="100" t="s">
        <v>2887</v>
      </c>
      <c r="D1086" s="25" t="s">
        <v>3315</v>
      </c>
      <c r="E1086" s="25" t="s">
        <v>3316</v>
      </c>
      <c r="F1086" s="40" t="s">
        <v>477</v>
      </c>
      <c r="G1086" s="102">
        <v>1</v>
      </c>
      <c r="H1086" s="107" t="s">
        <v>3279</v>
      </c>
    </row>
    <row r="1087" spans="1:8" ht="13.5" customHeight="1" x14ac:dyDescent="0.25">
      <c r="A1087" s="13" t="s">
        <v>2888</v>
      </c>
      <c r="B1087" s="49" t="s">
        <v>2821</v>
      </c>
      <c r="C1087" s="101" t="s">
        <v>2889</v>
      </c>
      <c r="D1087" s="14" t="s">
        <v>3315</v>
      </c>
      <c r="E1087" s="14" t="s">
        <v>3316</v>
      </c>
      <c r="F1087" s="40" t="s">
        <v>477</v>
      </c>
      <c r="G1087" s="102">
        <v>1</v>
      </c>
      <c r="H1087" s="107" t="s">
        <v>3279</v>
      </c>
    </row>
    <row r="1088" spans="1:8" ht="13.5" customHeight="1" x14ac:dyDescent="0.25">
      <c r="A1088" s="24" t="s">
        <v>2890</v>
      </c>
      <c r="B1088" s="38" t="s">
        <v>2821</v>
      </c>
      <c r="C1088" s="100" t="s">
        <v>2891</v>
      </c>
      <c r="D1088" s="25" t="s">
        <v>3315</v>
      </c>
      <c r="E1088" s="25" t="s">
        <v>3316</v>
      </c>
      <c r="F1088" s="40" t="s">
        <v>477</v>
      </c>
      <c r="G1088" s="102">
        <v>1</v>
      </c>
      <c r="H1088" s="107" t="s">
        <v>3279</v>
      </c>
    </row>
    <row r="1089" spans="1:8" ht="13.5" customHeight="1" x14ac:dyDescent="0.25">
      <c r="A1089" s="13" t="s">
        <v>2892</v>
      </c>
      <c r="B1089" s="49" t="s">
        <v>2821</v>
      </c>
      <c r="C1089" s="101" t="s">
        <v>2893</v>
      </c>
      <c r="D1089" s="14" t="s">
        <v>3315</v>
      </c>
      <c r="E1089" s="14" t="s">
        <v>3316</v>
      </c>
      <c r="F1089" s="40" t="s">
        <v>477</v>
      </c>
      <c r="G1089" s="102">
        <v>1</v>
      </c>
      <c r="H1089" s="107" t="s">
        <v>3279</v>
      </c>
    </row>
    <row r="1090" spans="1:8" ht="13.5" customHeight="1" x14ac:dyDescent="0.25">
      <c r="A1090" s="24" t="s">
        <v>2894</v>
      </c>
      <c r="B1090" s="38" t="s">
        <v>2821</v>
      </c>
      <c r="C1090" s="100" t="s">
        <v>2895</v>
      </c>
      <c r="D1090" s="25" t="s">
        <v>3315</v>
      </c>
      <c r="E1090" s="25" t="s">
        <v>3316</v>
      </c>
      <c r="F1090" s="40" t="s">
        <v>477</v>
      </c>
      <c r="G1090" s="102">
        <v>1</v>
      </c>
      <c r="H1090" s="107" t="s">
        <v>3279</v>
      </c>
    </row>
    <row r="1091" spans="1:8" ht="13.5" customHeight="1" x14ac:dyDescent="0.25">
      <c r="A1091" s="13" t="s">
        <v>2896</v>
      </c>
      <c r="B1091" s="49" t="s">
        <v>2821</v>
      </c>
      <c r="C1091" s="101" t="s">
        <v>2897</v>
      </c>
      <c r="D1091" s="14" t="s">
        <v>3315</v>
      </c>
      <c r="E1091" s="14" t="s">
        <v>3316</v>
      </c>
      <c r="F1091" s="40" t="s">
        <v>477</v>
      </c>
      <c r="G1091" s="102">
        <v>1</v>
      </c>
      <c r="H1091" s="107" t="s">
        <v>3279</v>
      </c>
    </row>
    <row r="1092" spans="1:8" ht="13.5" customHeight="1" x14ac:dyDescent="0.25">
      <c r="A1092" s="24" t="s">
        <v>2898</v>
      </c>
      <c r="B1092" s="38" t="s">
        <v>2821</v>
      </c>
      <c r="C1092" s="100" t="s">
        <v>2899</v>
      </c>
      <c r="D1092" s="25" t="s">
        <v>3315</v>
      </c>
      <c r="E1092" s="25" t="s">
        <v>3316</v>
      </c>
      <c r="F1092" s="40" t="s">
        <v>477</v>
      </c>
      <c r="G1092" s="102">
        <v>1</v>
      </c>
      <c r="H1092" s="107" t="s">
        <v>3279</v>
      </c>
    </row>
    <row r="1093" spans="1:8" ht="13.5" customHeight="1" x14ac:dyDescent="0.25">
      <c r="A1093" s="13" t="s">
        <v>2900</v>
      </c>
      <c r="B1093" s="49" t="s">
        <v>2821</v>
      </c>
      <c r="C1093" s="101" t="s">
        <v>2901</v>
      </c>
      <c r="D1093" s="14" t="s">
        <v>3315</v>
      </c>
      <c r="E1093" s="14" t="s">
        <v>3316</v>
      </c>
      <c r="F1093" s="40" t="s">
        <v>477</v>
      </c>
      <c r="G1093" s="102">
        <v>1</v>
      </c>
      <c r="H1093" s="107" t="s">
        <v>3279</v>
      </c>
    </row>
    <row r="1094" spans="1:8" ht="13.5" customHeight="1" x14ac:dyDescent="0.25">
      <c r="A1094" s="24" t="s">
        <v>2902</v>
      </c>
      <c r="B1094" s="38" t="s">
        <v>2821</v>
      </c>
      <c r="C1094" s="100" t="s">
        <v>2903</v>
      </c>
      <c r="D1094" s="25" t="s">
        <v>3315</v>
      </c>
      <c r="E1094" s="25" t="s">
        <v>3316</v>
      </c>
      <c r="F1094" s="40" t="s">
        <v>477</v>
      </c>
      <c r="G1094" s="102">
        <v>1</v>
      </c>
      <c r="H1094" s="107" t="s">
        <v>3279</v>
      </c>
    </row>
    <row r="1095" spans="1:8" ht="13.5" customHeight="1" x14ac:dyDescent="0.25">
      <c r="A1095" s="13" t="s">
        <v>2904</v>
      </c>
      <c r="B1095" s="49" t="s">
        <v>2821</v>
      </c>
      <c r="C1095" s="101" t="s">
        <v>2905</v>
      </c>
      <c r="D1095" s="14" t="s">
        <v>3317</v>
      </c>
      <c r="E1095" s="14" t="s">
        <v>3316</v>
      </c>
      <c r="F1095" s="40" t="s">
        <v>477</v>
      </c>
      <c r="G1095" s="102">
        <v>1</v>
      </c>
      <c r="H1095" s="107" t="s">
        <v>3279</v>
      </c>
    </row>
    <row r="1096" spans="1:8" ht="13.5" customHeight="1" x14ac:dyDescent="0.25">
      <c r="A1096" s="24" t="s">
        <v>2906</v>
      </c>
      <c r="B1096" s="38" t="s">
        <v>2821</v>
      </c>
      <c r="C1096" s="100" t="s">
        <v>2907</v>
      </c>
      <c r="D1096" s="25" t="s">
        <v>3317</v>
      </c>
      <c r="E1096" s="25" t="s">
        <v>3316</v>
      </c>
      <c r="F1096" s="40" t="s">
        <v>477</v>
      </c>
      <c r="G1096" s="102">
        <v>1</v>
      </c>
      <c r="H1096" s="107" t="s">
        <v>3279</v>
      </c>
    </row>
    <row r="1097" spans="1:8" ht="13.5" customHeight="1" x14ac:dyDescent="0.25">
      <c r="A1097" s="13" t="s">
        <v>2908</v>
      </c>
      <c r="B1097" s="49" t="s">
        <v>2821</v>
      </c>
      <c r="C1097" s="101" t="s">
        <v>2909</v>
      </c>
      <c r="D1097" s="14" t="s">
        <v>3317</v>
      </c>
      <c r="E1097" s="14" t="s">
        <v>3316</v>
      </c>
      <c r="F1097" s="40" t="s">
        <v>477</v>
      </c>
      <c r="G1097" s="102">
        <v>1</v>
      </c>
      <c r="H1097" s="107" t="s">
        <v>3279</v>
      </c>
    </row>
    <row r="1098" spans="1:8" ht="13.5" customHeight="1" x14ac:dyDescent="0.25">
      <c r="A1098" s="24" t="s">
        <v>2910</v>
      </c>
      <c r="B1098" s="38" t="s">
        <v>2821</v>
      </c>
      <c r="C1098" s="100" t="s">
        <v>2911</v>
      </c>
      <c r="D1098" s="25" t="s">
        <v>3317</v>
      </c>
      <c r="E1098" s="25" t="s">
        <v>3316</v>
      </c>
      <c r="F1098" s="40" t="s">
        <v>477</v>
      </c>
      <c r="G1098" s="102">
        <v>1</v>
      </c>
      <c r="H1098" s="107" t="s">
        <v>3279</v>
      </c>
    </row>
    <row r="1099" spans="1:8" ht="13.5" customHeight="1" x14ac:dyDescent="0.25">
      <c r="A1099" s="13" t="s">
        <v>2912</v>
      </c>
      <c r="B1099" s="49" t="s">
        <v>2821</v>
      </c>
      <c r="C1099" s="101" t="s">
        <v>2913</v>
      </c>
      <c r="D1099" s="14" t="s">
        <v>3317</v>
      </c>
      <c r="E1099" s="14" t="s">
        <v>3316</v>
      </c>
      <c r="F1099" s="40" t="s">
        <v>477</v>
      </c>
      <c r="G1099" s="102">
        <v>1</v>
      </c>
      <c r="H1099" s="107" t="s">
        <v>3279</v>
      </c>
    </row>
    <row r="1100" spans="1:8" ht="13.5" customHeight="1" x14ac:dyDescent="0.25">
      <c r="A1100" s="24" t="s">
        <v>2914</v>
      </c>
      <c r="B1100" s="38" t="s">
        <v>2821</v>
      </c>
      <c r="C1100" s="100" t="s">
        <v>2915</v>
      </c>
      <c r="D1100" s="25" t="s">
        <v>3317</v>
      </c>
      <c r="E1100" s="25" t="s">
        <v>3316</v>
      </c>
      <c r="F1100" s="40" t="s">
        <v>477</v>
      </c>
      <c r="G1100" s="102">
        <v>1</v>
      </c>
      <c r="H1100" s="107" t="s">
        <v>3279</v>
      </c>
    </row>
    <row r="1101" spans="1:8" ht="13.5" customHeight="1" x14ac:dyDescent="0.25">
      <c r="A1101" s="13" t="s">
        <v>2916</v>
      </c>
      <c r="B1101" s="49" t="s">
        <v>2821</v>
      </c>
      <c r="C1101" s="101" t="s">
        <v>2917</v>
      </c>
      <c r="D1101" s="14" t="s">
        <v>3317</v>
      </c>
      <c r="E1101" s="14" t="s">
        <v>3316</v>
      </c>
      <c r="F1101" s="40" t="s">
        <v>477</v>
      </c>
      <c r="G1101" s="102">
        <v>1</v>
      </c>
      <c r="H1101" s="107" t="s">
        <v>3279</v>
      </c>
    </row>
    <row r="1102" spans="1:8" ht="13.5" customHeight="1" x14ac:dyDescent="0.25">
      <c r="A1102" s="24" t="s">
        <v>2918</v>
      </c>
      <c r="B1102" s="38" t="s">
        <v>2821</v>
      </c>
      <c r="C1102" s="100" t="s">
        <v>2919</v>
      </c>
      <c r="D1102" s="25" t="s">
        <v>3317</v>
      </c>
      <c r="E1102" s="25" t="s">
        <v>3316</v>
      </c>
      <c r="F1102" s="40" t="s">
        <v>477</v>
      </c>
      <c r="G1102" s="102">
        <v>1</v>
      </c>
      <c r="H1102" s="107" t="s">
        <v>3279</v>
      </c>
    </row>
    <row r="1103" spans="1:8" ht="13.5" customHeight="1" x14ac:dyDescent="0.25">
      <c r="A1103" s="13" t="s">
        <v>2920</v>
      </c>
      <c r="B1103" s="49" t="s">
        <v>2821</v>
      </c>
      <c r="C1103" s="101" t="s">
        <v>2921</v>
      </c>
      <c r="D1103" s="14" t="s">
        <v>3317</v>
      </c>
      <c r="E1103" s="14" t="s">
        <v>3316</v>
      </c>
      <c r="F1103" s="40" t="s">
        <v>477</v>
      </c>
      <c r="G1103" s="102">
        <v>1</v>
      </c>
      <c r="H1103" s="107" t="s">
        <v>3279</v>
      </c>
    </row>
    <row r="1104" spans="1:8" ht="13.5" customHeight="1" x14ac:dyDescent="0.25">
      <c r="A1104" s="24" t="s">
        <v>2922</v>
      </c>
      <c r="B1104" s="38" t="s">
        <v>2821</v>
      </c>
      <c r="C1104" s="100" t="s">
        <v>2923</v>
      </c>
      <c r="D1104" s="25" t="s">
        <v>3317</v>
      </c>
      <c r="E1104" s="25" t="s">
        <v>3316</v>
      </c>
      <c r="F1104" s="40" t="s">
        <v>477</v>
      </c>
      <c r="G1104" s="102">
        <v>1</v>
      </c>
      <c r="H1104" s="107" t="s">
        <v>3279</v>
      </c>
    </row>
    <row r="1105" spans="1:8" ht="13.5" customHeight="1" x14ac:dyDescent="0.25">
      <c r="A1105" s="13" t="s">
        <v>2924</v>
      </c>
      <c r="B1105" s="49" t="s">
        <v>2821</v>
      </c>
      <c r="C1105" s="101" t="s">
        <v>2925</v>
      </c>
      <c r="D1105" s="14" t="s">
        <v>3317</v>
      </c>
      <c r="E1105" s="14" t="s">
        <v>3316</v>
      </c>
      <c r="F1105" s="40" t="s">
        <v>477</v>
      </c>
      <c r="G1105" s="102">
        <v>1</v>
      </c>
      <c r="H1105" s="107" t="s">
        <v>3279</v>
      </c>
    </row>
    <row r="1106" spans="1:8" ht="13.5" customHeight="1" x14ac:dyDescent="0.25">
      <c r="A1106" s="24" t="s">
        <v>2926</v>
      </c>
      <c r="B1106" s="38" t="s">
        <v>2821</v>
      </c>
      <c r="C1106" s="100" t="s">
        <v>2927</v>
      </c>
      <c r="D1106" s="25" t="s">
        <v>3318</v>
      </c>
      <c r="E1106" s="25" t="s">
        <v>3316</v>
      </c>
      <c r="F1106" s="65" t="s">
        <v>841</v>
      </c>
      <c r="G1106" s="106">
        <v>0.9</v>
      </c>
      <c r="H1106" s="107" t="s">
        <v>3279</v>
      </c>
    </row>
    <row r="1107" spans="1:8" ht="13.5" customHeight="1" x14ac:dyDescent="0.25">
      <c r="A1107" s="13" t="s">
        <v>2929</v>
      </c>
      <c r="B1107" s="49" t="s">
        <v>2930</v>
      </c>
      <c r="C1107" s="101" t="s">
        <v>2931</v>
      </c>
      <c r="D1107" s="14" t="s">
        <v>3319</v>
      </c>
      <c r="E1107" s="14" t="s">
        <v>3320</v>
      </c>
      <c r="F1107" s="65" t="s">
        <v>841</v>
      </c>
      <c r="G1107" s="106">
        <v>0.9</v>
      </c>
      <c r="H1107" s="107" t="s">
        <v>3279</v>
      </c>
    </row>
    <row r="1108" spans="1:8" ht="13.5" customHeight="1" x14ac:dyDescent="0.25">
      <c r="A1108" s="24" t="s">
        <v>2933</v>
      </c>
      <c r="B1108" s="38" t="s">
        <v>2930</v>
      </c>
      <c r="C1108" s="100" t="s">
        <v>2934</v>
      </c>
      <c r="D1108" s="25" t="s">
        <v>3319</v>
      </c>
      <c r="E1108" s="25" t="s">
        <v>3320</v>
      </c>
      <c r="F1108" s="65" t="s">
        <v>841</v>
      </c>
      <c r="G1108" s="106">
        <v>0.9</v>
      </c>
      <c r="H1108" s="107" t="s">
        <v>3279</v>
      </c>
    </row>
    <row r="1109" spans="1:8" ht="13.5" customHeight="1" x14ac:dyDescent="0.25">
      <c r="A1109" s="13" t="s">
        <v>2935</v>
      </c>
      <c r="B1109" s="49" t="s">
        <v>2930</v>
      </c>
      <c r="C1109" s="101" t="s">
        <v>2936</v>
      </c>
      <c r="D1109" s="14" t="s">
        <v>3319</v>
      </c>
      <c r="E1109" s="14" t="s">
        <v>3320</v>
      </c>
      <c r="F1109" s="65" t="s">
        <v>841</v>
      </c>
      <c r="G1109" s="106">
        <v>0.9</v>
      </c>
      <c r="H1109" s="107" t="s">
        <v>3279</v>
      </c>
    </row>
    <row r="1110" spans="1:8" ht="13.5" customHeight="1" x14ac:dyDescent="0.25">
      <c r="A1110" s="24" t="s">
        <v>2937</v>
      </c>
      <c r="B1110" s="38" t="s">
        <v>2930</v>
      </c>
      <c r="C1110" s="100" t="s">
        <v>2938</v>
      </c>
      <c r="D1110" s="25" t="s">
        <v>3319</v>
      </c>
      <c r="E1110" s="25" t="s">
        <v>3320</v>
      </c>
      <c r="F1110" s="65" t="s">
        <v>841</v>
      </c>
      <c r="G1110" s="106">
        <v>0.9</v>
      </c>
      <c r="H1110" s="107" t="s">
        <v>3279</v>
      </c>
    </row>
    <row r="1111" spans="1:8" ht="13.5" customHeight="1" x14ac:dyDescent="0.25">
      <c r="A1111" s="13" t="s">
        <v>2939</v>
      </c>
      <c r="B1111" s="49" t="s">
        <v>2930</v>
      </c>
      <c r="C1111" s="101" t="s">
        <v>2940</v>
      </c>
      <c r="D1111" s="14" t="s">
        <v>3319</v>
      </c>
      <c r="E1111" s="14" t="s">
        <v>3320</v>
      </c>
      <c r="F1111" s="65" t="s">
        <v>841</v>
      </c>
      <c r="G1111" s="106">
        <v>0.9</v>
      </c>
      <c r="H1111" s="107" t="s">
        <v>3279</v>
      </c>
    </row>
    <row r="1112" spans="1:8" ht="13.5" customHeight="1" x14ac:dyDescent="0.25">
      <c r="A1112" s="24" t="s">
        <v>2941</v>
      </c>
      <c r="B1112" s="38" t="s">
        <v>2930</v>
      </c>
      <c r="C1112" s="100" t="s">
        <v>2942</v>
      </c>
      <c r="D1112" s="25" t="s">
        <v>3319</v>
      </c>
      <c r="E1112" s="25" t="s">
        <v>3320</v>
      </c>
      <c r="F1112" s="65" t="s">
        <v>841</v>
      </c>
      <c r="G1112" s="106">
        <v>0.9</v>
      </c>
      <c r="H1112" s="107" t="s">
        <v>3279</v>
      </c>
    </row>
    <row r="1113" spans="1:8" ht="13.5" customHeight="1" x14ac:dyDescent="0.25">
      <c r="A1113" s="13" t="s">
        <v>2943</v>
      </c>
      <c r="B1113" s="49" t="s">
        <v>2930</v>
      </c>
      <c r="C1113" s="101" t="s">
        <v>2944</v>
      </c>
      <c r="D1113" s="14" t="s">
        <v>3319</v>
      </c>
      <c r="E1113" s="14" t="s">
        <v>3320</v>
      </c>
      <c r="F1113" s="65" t="s">
        <v>841</v>
      </c>
      <c r="G1113" s="106">
        <v>0.9</v>
      </c>
      <c r="H1113" s="107" t="s">
        <v>3279</v>
      </c>
    </row>
    <row r="1114" spans="1:8" ht="13.5" customHeight="1" x14ac:dyDescent="0.25">
      <c r="A1114" s="24" t="s">
        <v>2945</v>
      </c>
      <c r="B1114" s="38" t="s">
        <v>2930</v>
      </c>
      <c r="C1114" s="100" t="s">
        <v>2946</v>
      </c>
      <c r="D1114" s="25" t="s">
        <v>3319</v>
      </c>
      <c r="E1114" s="25" t="s">
        <v>3320</v>
      </c>
      <c r="F1114" s="65" t="s">
        <v>841</v>
      </c>
      <c r="G1114" s="106">
        <v>0.9</v>
      </c>
      <c r="H1114" s="107" t="s">
        <v>3279</v>
      </c>
    </row>
    <row r="1115" spans="1:8" ht="13.5" customHeight="1" x14ac:dyDescent="0.25">
      <c r="A1115" s="13" t="s">
        <v>2947</v>
      </c>
      <c r="B1115" s="49" t="s">
        <v>2930</v>
      </c>
      <c r="C1115" s="101" t="s">
        <v>2948</v>
      </c>
      <c r="D1115" s="14" t="s">
        <v>3319</v>
      </c>
      <c r="E1115" s="14" t="s">
        <v>3320</v>
      </c>
      <c r="F1115" s="65" t="s">
        <v>841</v>
      </c>
      <c r="G1115" s="106">
        <v>0.9</v>
      </c>
      <c r="H1115" s="107" t="s">
        <v>3279</v>
      </c>
    </row>
    <row r="1116" spans="1:8" ht="13.5" customHeight="1" x14ac:dyDescent="0.25">
      <c r="A1116" s="24" t="s">
        <v>2949</v>
      </c>
      <c r="B1116" s="38" t="s">
        <v>2930</v>
      </c>
      <c r="C1116" s="100" t="s">
        <v>2950</v>
      </c>
      <c r="D1116" s="25" t="s">
        <v>3319</v>
      </c>
      <c r="E1116" s="25" t="s">
        <v>3320</v>
      </c>
      <c r="F1116" s="65" t="s">
        <v>841</v>
      </c>
      <c r="G1116" s="106">
        <v>0.9</v>
      </c>
      <c r="H1116" s="107" t="s">
        <v>3279</v>
      </c>
    </row>
    <row r="1117" spans="1:8" ht="13.5" customHeight="1" x14ac:dyDescent="0.25">
      <c r="A1117" s="13" t="s">
        <v>2951</v>
      </c>
      <c r="B1117" s="49" t="s">
        <v>2930</v>
      </c>
      <c r="C1117" s="101" t="s">
        <v>2952</v>
      </c>
      <c r="D1117" s="14" t="s">
        <v>3321</v>
      </c>
      <c r="E1117" s="14" t="s">
        <v>3320</v>
      </c>
      <c r="F1117" s="65" t="s">
        <v>841</v>
      </c>
      <c r="G1117" s="106">
        <v>0.9</v>
      </c>
      <c r="H1117" s="107" t="s">
        <v>3279</v>
      </c>
    </row>
    <row r="1118" spans="1:8" ht="13.5" customHeight="1" x14ac:dyDescent="0.25">
      <c r="A1118" s="24" t="s">
        <v>2954</v>
      </c>
      <c r="B1118" s="38" t="s">
        <v>2930</v>
      </c>
      <c r="C1118" s="100" t="s">
        <v>2955</v>
      </c>
      <c r="D1118" s="25" t="s">
        <v>3321</v>
      </c>
      <c r="E1118" s="25" t="s">
        <v>3320</v>
      </c>
      <c r="F1118" s="65" t="s">
        <v>841</v>
      </c>
      <c r="G1118" s="106">
        <v>0.9</v>
      </c>
      <c r="H1118" s="107" t="s">
        <v>3279</v>
      </c>
    </row>
    <row r="1119" spans="1:8" ht="13.5" customHeight="1" x14ac:dyDescent="0.25">
      <c r="A1119" s="13" t="s">
        <v>2956</v>
      </c>
      <c r="B1119" s="49" t="s">
        <v>2930</v>
      </c>
      <c r="C1119" s="101" t="s">
        <v>2957</v>
      </c>
      <c r="D1119" s="14" t="s">
        <v>3321</v>
      </c>
      <c r="E1119" s="14" t="s">
        <v>3320</v>
      </c>
      <c r="F1119" s="65" t="s">
        <v>841</v>
      </c>
      <c r="G1119" s="106">
        <v>0.9</v>
      </c>
      <c r="H1119" s="107" t="s">
        <v>3279</v>
      </c>
    </row>
    <row r="1120" spans="1:8" ht="13.5" customHeight="1" x14ac:dyDescent="0.25">
      <c r="A1120" s="24" t="s">
        <v>2958</v>
      </c>
      <c r="B1120" s="38" t="s">
        <v>2930</v>
      </c>
      <c r="C1120" s="100" t="s">
        <v>2959</v>
      </c>
      <c r="D1120" s="25" t="s">
        <v>3321</v>
      </c>
      <c r="E1120" s="25" t="s">
        <v>3320</v>
      </c>
      <c r="F1120" s="65" t="s">
        <v>841</v>
      </c>
      <c r="G1120" s="106">
        <v>0.9</v>
      </c>
      <c r="H1120" s="107" t="s">
        <v>3279</v>
      </c>
    </row>
    <row r="1121" spans="1:8" ht="13.5" customHeight="1" x14ac:dyDescent="0.25">
      <c r="A1121" s="13" t="s">
        <v>2960</v>
      </c>
      <c r="B1121" s="49" t="s">
        <v>2930</v>
      </c>
      <c r="C1121" s="101" t="s">
        <v>2961</v>
      </c>
      <c r="D1121" s="14" t="s">
        <v>3322</v>
      </c>
      <c r="E1121" s="14" t="s">
        <v>3320</v>
      </c>
      <c r="F1121" s="65" t="s">
        <v>841</v>
      </c>
      <c r="G1121" s="106">
        <v>0.9</v>
      </c>
      <c r="H1121" s="107" t="s">
        <v>3279</v>
      </c>
    </row>
    <row r="1122" spans="1:8" ht="13.5" customHeight="1" x14ac:dyDescent="0.25">
      <c r="A1122" s="24" t="s">
        <v>2963</v>
      </c>
      <c r="B1122" s="38" t="s">
        <v>2930</v>
      </c>
      <c r="C1122" s="100" t="s">
        <v>2964</v>
      </c>
      <c r="D1122" s="25" t="s">
        <v>3322</v>
      </c>
      <c r="E1122" s="25" t="s">
        <v>3320</v>
      </c>
      <c r="F1122" s="65" t="s">
        <v>841</v>
      </c>
      <c r="G1122" s="106">
        <v>0.9</v>
      </c>
      <c r="H1122" s="107" t="s">
        <v>3279</v>
      </c>
    </row>
    <row r="1123" spans="1:8" ht="13.5" customHeight="1" x14ac:dyDescent="0.25">
      <c r="A1123" s="13" t="s">
        <v>2965</v>
      </c>
      <c r="B1123" s="49" t="s">
        <v>2930</v>
      </c>
      <c r="C1123" s="101" t="s">
        <v>2966</v>
      </c>
      <c r="D1123" s="14" t="s">
        <v>3322</v>
      </c>
      <c r="E1123" s="14" t="s">
        <v>3320</v>
      </c>
      <c r="F1123" s="65" t="s">
        <v>841</v>
      </c>
      <c r="G1123" s="106">
        <v>0.9</v>
      </c>
      <c r="H1123" s="107" t="s">
        <v>3279</v>
      </c>
    </row>
    <row r="1124" spans="1:8" ht="13.5" customHeight="1" x14ac:dyDescent="0.25">
      <c r="A1124" s="24" t="s">
        <v>2967</v>
      </c>
      <c r="B1124" s="38" t="s">
        <v>2930</v>
      </c>
      <c r="C1124" s="100" t="s">
        <v>2968</v>
      </c>
      <c r="D1124" s="25" t="s">
        <v>3323</v>
      </c>
      <c r="E1124" s="25" t="s">
        <v>3320</v>
      </c>
      <c r="F1124" s="40" t="s">
        <v>477</v>
      </c>
      <c r="G1124" s="102">
        <v>1</v>
      </c>
      <c r="H1124" s="107" t="s">
        <v>3279</v>
      </c>
    </row>
    <row r="1125" spans="1:8" ht="13.5" customHeight="1" x14ac:dyDescent="0.25">
      <c r="A1125" s="13" t="s">
        <v>2970</v>
      </c>
      <c r="B1125" s="49" t="s">
        <v>2930</v>
      </c>
      <c r="C1125" s="101" t="s">
        <v>2971</v>
      </c>
      <c r="D1125" s="14" t="s">
        <v>3323</v>
      </c>
      <c r="E1125" s="14" t="s">
        <v>3320</v>
      </c>
      <c r="F1125" s="40" t="s">
        <v>477</v>
      </c>
      <c r="G1125" s="102">
        <v>1</v>
      </c>
      <c r="H1125" s="107" t="s">
        <v>3279</v>
      </c>
    </row>
    <row r="1126" spans="1:8" ht="13.5" customHeight="1" x14ac:dyDescent="0.25">
      <c r="A1126" s="24" t="s">
        <v>2972</v>
      </c>
      <c r="B1126" s="38" t="s">
        <v>2930</v>
      </c>
      <c r="C1126" s="100" t="s">
        <v>2973</v>
      </c>
      <c r="D1126" s="25" t="s">
        <v>3323</v>
      </c>
      <c r="E1126" s="25" t="s">
        <v>3320</v>
      </c>
      <c r="F1126" s="40" t="s">
        <v>477</v>
      </c>
      <c r="G1126" s="102">
        <v>1</v>
      </c>
      <c r="H1126" s="107" t="s">
        <v>3279</v>
      </c>
    </row>
    <row r="1127" spans="1:8" ht="13.5" customHeight="1" x14ac:dyDescent="0.25">
      <c r="A1127" s="13" t="s">
        <v>2974</v>
      </c>
      <c r="B1127" s="49" t="s">
        <v>2930</v>
      </c>
      <c r="C1127" s="101" t="s">
        <v>2975</v>
      </c>
      <c r="D1127" s="14" t="s">
        <v>3323</v>
      </c>
      <c r="E1127" s="14" t="s">
        <v>3320</v>
      </c>
      <c r="F1127" s="40" t="s">
        <v>477</v>
      </c>
      <c r="G1127" s="102">
        <v>1</v>
      </c>
      <c r="H1127" s="107" t="s">
        <v>3279</v>
      </c>
    </row>
    <row r="1128" spans="1:8" ht="13.5" customHeight="1" x14ac:dyDescent="0.25">
      <c r="A1128" s="24" t="s">
        <v>2976</v>
      </c>
      <c r="B1128" s="38" t="s">
        <v>2930</v>
      </c>
      <c r="C1128" s="100" t="s">
        <v>2977</v>
      </c>
      <c r="D1128" s="25" t="s">
        <v>3323</v>
      </c>
      <c r="E1128" s="25" t="s">
        <v>3320</v>
      </c>
      <c r="F1128" s="40" t="s">
        <v>477</v>
      </c>
      <c r="G1128" s="102">
        <v>1</v>
      </c>
      <c r="H1128" s="107" t="s">
        <v>3279</v>
      </c>
    </row>
    <row r="1129" spans="1:8" ht="13.5" customHeight="1" x14ac:dyDescent="0.25">
      <c r="A1129" s="13" t="s">
        <v>2978</v>
      </c>
      <c r="B1129" s="49" t="s">
        <v>2930</v>
      </c>
      <c r="C1129" s="101" t="s">
        <v>2979</v>
      </c>
      <c r="D1129" s="14" t="s">
        <v>3323</v>
      </c>
      <c r="E1129" s="14" t="s">
        <v>3320</v>
      </c>
      <c r="F1129" s="40" t="s">
        <v>477</v>
      </c>
      <c r="G1129" s="102">
        <v>1</v>
      </c>
      <c r="H1129" s="107" t="s">
        <v>3279</v>
      </c>
    </row>
    <row r="1130" spans="1:8" ht="13.5" customHeight="1" x14ac:dyDescent="0.25">
      <c r="A1130" s="24" t="s">
        <v>2980</v>
      </c>
      <c r="B1130" s="38" t="s">
        <v>2930</v>
      </c>
      <c r="C1130" s="100" t="s">
        <v>2981</v>
      </c>
      <c r="D1130" s="25" t="s">
        <v>3323</v>
      </c>
      <c r="E1130" s="25" t="s">
        <v>3320</v>
      </c>
      <c r="F1130" s="40" t="s">
        <v>477</v>
      </c>
      <c r="G1130" s="102">
        <v>1</v>
      </c>
      <c r="H1130" s="107" t="s">
        <v>3279</v>
      </c>
    </row>
    <row r="1131" spans="1:8" ht="13.5" customHeight="1" x14ac:dyDescent="0.25">
      <c r="A1131" s="13" t="s">
        <v>2982</v>
      </c>
      <c r="B1131" s="49" t="s">
        <v>2930</v>
      </c>
      <c r="C1131" s="101" t="s">
        <v>2983</v>
      </c>
      <c r="D1131" s="14" t="s">
        <v>3323</v>
      </c>
      <c r="E1131" s="14" t="s">
        <v>3320</v>
      </c>
      <c r="F1131" s="40" t="s">
        <v>477</v>
      </c>
      <c r="G1131" s="102">
        <v>1</v>
      </c>
      <c r="H1131" s="107" t="s">
        <v>3279</v>
      </c>
    </row>
    <row r="1132" spans="1:8" ht="13.5" customHeight="1" x14ac:dyDescent="0.25">
      <c r="A1132" s="24" t="s">
        <v>2984</v>
      </c>
      <c r="B1132" s="38" t="s">
        <v>2930</v>
      </c>
      <c r="C1132" s="100" t="s">
        <v>2985</v>
      </c>
      <c r="D1132" s="25" t="s">
        <v>3323</v>
      </c>
      <c r="E1132" s="25" t="s">
        <v>3320</v>
      </c>
      <c r="F1132" s="40" t="s">
        <v>477</v>
      </c>
      <c r="G1132" s="102">
        <v>1</v>
      </c>
      <c r="H1132" s="107" t="s">
        <v>3279</v>
      </c>
    </row>
    <row r="1133" spans="1:8" ht="13.5" customHeight="1" x14ac:dyDescent="0.25">
      <c r="A1133" s="13" t="s">
        <v>2986</v>
      </c>
      <c r="B1133" s="49" t="s">
        <v>2930</v>
      </c>
      <c r="C1133" s="101" t="s">
        <v>2987</v>
      </c>
      <c r="D1133" s="14" t="s">
        <v>3323</v>
      </c>
      <c r="E1133" s="14" t="s">
        <v>3320</v>
      </c>
      <c r="F1133" s="40" t="s">
        <v>477</v>
      </c>
      <c r="G1133" s="102">
        <v>1</v>
      </c>
      <c r="H1133" s="107" t="s">
        <v>3279</v>
      </c>
    </row>
    <row r="1134" spans="1:8" ht="13.5" customHeight="1" x14ac:dyDescent="0.25">
      <c r="A1134" s="24" t="s">
        <v>2988</v>
      </c>
      <c r="B1134" s="38" t="s">
        <v>2930</v>
      </c>
      <c r="C1134" s="100" t="s">
        <v>2989</v>
      </c>
      <c r="D1134" s="25" t="s">
        <v>3323</v>
      </c>
      <c r="E1134" s="25" t="s">
        <v>3320</v>
      </c>
      <c r="F1134" s="40" t="s">
        <v>477</v>
      </c>
      <c r="G1134" s="102">
        <v>1</v>
      </c>
      <c r="H1134" s="107" t="s">
        <v>3279</v>
      </c>
    </row>
    <row r="1135" spans="1:8" ht="13.5" customHeight="1" x14ac:dyDescent="0.25">
      <c r="A1135" s="13" t="s">
        <v>2990</v>
      </c>
      <c r="B1135" s="49" t="s">
        <v>2991</v>
      </c>
      <c r="C1135" s="101" t="s">
        <v>2992</v>
      </c>
      <c r="D1135" s="14" t="s">
        <v>3324</v>
      </c>
      <c r="E1135" s="14" t="s">
        <v>3325</v>
      </c>
      <c r="F1135" s="65" t="s">
        <v>841</v>
      </c>
      <c r="G1135" s="106">
        <v>0.9</v>
      </c>
      <c r="H1135" s="103" t="s">
        <v>3239</v>
      </c>
    </row>
    <row r="1136" spans="1:8" ht="13.5" customHeight="1" x14ac:dyDescent="0.25">
      <c r="A1136" s="24" t="s">
        <v>2994</v>
      </c>
      <c r="B1136" s="38" t="s">
        <v>2991</v>
      </c>
      <c r="C1136" s="100" t="s">
        <v>2995</v>
      </c>
      <c r="D1136" s="25" t="s">
        <v>3324</v>
      </c>
      <c r="E1136" s="25" t="s">
        <v>3325</v>
      </c>
      <c r="F1136" s="65" t="s">
        <v>841</v>
      </c>
      <c r="G1136" s="106">
        <v>0.9</v>
      </c>
      <c r="H1136" s="103" t="s">
        <v>3239</v>
      </c>
    </row>
    <row r="1137" spans="1:8" ht="13.5" customHeight="1" x14ac:dyDescent="0.25">
      <c r="A1137" s="13" t="s">
        <v>2996</v>
      </c>
      <c r="B1137" s="49" t="s">
        <v>2991</v>
      </c>
      <c r="C1137" s="101" t="s">
        <v>2997</v>
      </c>
      <c r="D1137" s="14" t="s">
        <v>3324</v>
      </c>
      <c r="E1137" s="14" t="s">
        <v>3325</v>
      </c>
      <c r="F1137" s="65" t="s">
        <v>841</v>
      </c>
      <c r="G1137" s="106">
        <v>0.9</v>
      </c>
      <c r="H1137" s="103" t="s">
        <v>3239</v>
      </c>
    </row>
    <row r="1138" spans="1:8" ht="13.5" customHeight="1" x14ac:dyDescent="0.25">
      <c r="A1138" s="24" t="s">
        <v>2998</v>
      </c>
      <c r="B1138" s="38" t="s">
        <v>2991</v>
      </c>
      <c r="C1138" s="100" t="s">
        <v>2999</v>
      </c>
      <c r="D1138" s="25" t="s">
        <v>3324</v>
      </c>
      <c r="E1138" s="25" t="s">
        <v>3325</v>
      </c>
      <c r="F1138" s="65" t="s">
        <v>841</v>
      </c>
      <c r="G1138" s="106">
        <v>0.9</v>
      </c>
      <c r="H1138" s="103" t="s">
        <v>3239</v>
      </c>
    </row>
    <row r="1139" spans="1:8" ht="13.5" customHeight="1" x14ac:dyDescent="0.25">
      <c r="A1139" s="13" t="s">
        <v>3000</v>
      </c>
      <c r="B1139" s="49" t="s">
        <v>2991</v>
      </c>
      <c r="C1139" s="101" t="s">
        <v>3001</v>
      </c>
      <c r="D1139" s="14" t="s">
        <v>3324</v>
      </c>
      <c r="E1139" s="14" t="s">
        <v>3325</v>
      </c>
      <c r="F1139" s="65" t="s">
        <v>841</v>
      </c>
      <c r="G1139" s="106">
        <v>0.9</v>
      </c>
      <c r="H1139" s="103" t="s">
        <v>3239</v>
      </c>
    </row>
    <row r="1140" spans="1:8" ht="13.5" customHeight="1" x14ac:dyDescent="0.25">
      <c r="A1140" s="24" t="s">
        <v>3002</v>
      </c>
      <c r="B1140" s="38" t="s">
        <v>2991</v>
      </c>
      <c r="C1140" s="100" t="s">
        <v>3003</v>
      </c>
      <c r="D1140" s="25" t="s">
        <v>3324</v>
      </c>
      <c r="E1140" s="25" t="s">
        <v>3325</v>
      </c>
      <c r="F1140" s="65" t="s">
        <v>841</v>
      </c>
      <c r="G1140" s="106">
        <v>0.9</v>
      </c>
      <c r="H1140" s="103" t="s">
        <v>3239</v>
      </c>
    </row>
    <row r="1141" spans="1:8" ht="13.5" customHeight="1" x14ac:dyDescent="0.25">
      <c r="A1141" s="13" t="s">
        <v>3004</v>
      </c>
      <c r="B1141" s="49" t="s">
        <v>2991</v>
      </c>
      <c r="C1141" s="101" t="s">
        <v>3005</v>
      </c>
      <c r="D1141" s="14" t="s">
        <v>3324</v>
      </c>
      <c r="E1141" s="14" t="s">
        <v>3325</v>
      </c>
      <c r="F1141" s="65" t="s">
        <v>841</v>
      </c>
      <c r="G1141" s="106">
        <v>0.9</v>
      </c>
      <c r="H1141" s="103" t="s">
        <v>3239</v>
      </c>
    </row>
    <row r="1142" spans="1:8" ht="13.5" customHeight="1" x14ac:dyDescent="0.25">
      <c r="A1142" s="24" t="s">
        <v>3006</v>
      </c>
      <c r="B1142" s="38" t="s">
        <v>2991</v>
      </c>
      <c r="C1142" s="100" t="s">
        <v>3007</v>
      </c>
      <c r="D1142" s="25" t="s">
        <v>3324</v>
      </c>
      <c r="E1142" s="25" t="s">
        <v>3325</v>
      </c>
      <c r="F1142" s="65" t="s">
        <v>841</v>
      </c>
      <c r="G1142" s="106">
        <v>0.9</v>
      </c>
      <c r="H1142" s="103" t="s">
        <v>3239</v>
      </c>
    </row>
    <row r="1143" spans="1:8" ht="13.5" customHeight="1" x14ac:dyDescent="0.25">
      <c r="A1143" s="13" t="s">
        <v>3008</v>
      </c>
      <c r="B1143" s="49" t="s">
        <v>2991</v>
      </c>
      <c r="C1143" s="101" t="s">
        <v>3009</v>
      </c>
      <c r="D1143" s="14" t="s">
        <v>3324</v>
      </c>
      <c r="E1143" s="14" t="s">
        <v>3325</v>
      </c>
      <c r="F1143" s="65" t="s">
        <v>841</v>
      </c>
      <c r="G1143" s="106">
        <v>0.9</v>
      </c>
      <c r="H1143" s="103" t="s">
        <v>3239</v>
      </c>
    </row>
    <row r="1144" spans="1:8" ht="13.5" customHeight="1" x14ac:dyDescent="0.25">
      <c r="A1144" s="24" t="s">
        <v>3010</v>
      </c>
      <c r="B1144" s="38" t="s">
        <v>2991</v>
      </c>
      <c r="C1144" s="100" t="s">
        <v>3011</v>
      </c>
      <c r="D1144" s="25" t="s">
        <v>3326</v>
      </c>
      <c r="E1144" s="25" t="s">
        <v>3325</v>
      </c>
      <c r="F1144" s="40" t="s">
        <v>477</v>
      </c>
      <c r="G1144" s="102">
        <v>1</v>
      </c>
      <c r="H1144" s="103" t="s">
        <v>3239</v>
      </c>
    </row>
    <row r="1145" spans="1:8" ht="13.5" customHeight="1" x14ac:dyDescent="0.25">
      <c r="A1145" s="13" t="s">
        <v>3013</v>
      </c>
      <c r="B1145" s="49" t="s">
        <v>2991</v>
      </c>
      <c r="C1145" s="101" t="s">
        <v>3014</v>
      </c>
      <c r="D1145" s="14" t="s">
        <v>3326</v>
      </c>
      <c r="E1145" s="14" t="s">
        <v>3325</v>
      </c>
      <c r="F1145" s="40" t="s">
        <v>477</v>
      </c>
      <c r="G1145" s="102">
        <v>1</v>
      </c>
      <c r="H1145" s="103" t="s">
        <v>3239</v>
      </c>
    </row>
    <row r="1146" spans="1:8" ht="13.5" customHeight="1" x14ac:dyDescent="0.25">
      <c r="A1146" s="24" t="s">
        <v>3015</v>
      </c>
      <c r="B1146" s="38" t="s">
        <v>2991</v>
      </c>
      <c r="C1146" s="100" t="s">
        <v>3016</v>
      </c>
      <c r="D1146" s="25" t="s">
        <v>3326</v>
      </c>
      <c r="E1146" s="25" t="s">
        <v>3325</v>
      </c>
      <c r="F1146" s="40" t="s">
        <v>477</v>
      </c>
      <c r="G1146" s="102">
        <v>1</v>
      </c>
      <c r="H1146" s="103" t="s">
        <v>3239</v>
      </c>
    </row>
    <row r="1147" spans="1:8" ht="13.5" customHeight="1" x14ac:dyDescent="0.25">
      <c r="A1147" s="13" t="s">
        <v>3017</v>
      </c>
      <c r="B1147" s="49" t="s">
        <v>2991</v>
      </c>
      <c r="C1147" s="101" t="s">
        <v>3018</v>
      </c>
      <c r="D1147" s="14" t="s">
        <v>3326</v>
      </c>
      <c r="E1147" s="14" t="s">
        <v>3325</v>
      </c>
      <c r="F1147" s="40" t="s">
        <v>477</v>
      </c>
      <c r="G1147" s="102">
        <v>1</v>
      </c>
      <c r="H1147" s="103" t="s">
        <v>3239</v>
      </c>
    </row>
    <row r="1148" spans="1:8" ht="13.5" customHeight="1" x14ac:dyDescent="0.25">
      <c r="A1148" s="24" t="s">
        <v>3019</v>
      </c>
      <c r="B1148" s="38" t="s">
        <v>2991</v>
      </c>
      <c r="C1148" s="100" t="s">
        <v>3020</v>
      </c>
      <c r="D1148" s="25" t="s">
        <v>3326</v>
      </c>
      <c r="E1148" s="25" t="s">
        <v>3325</v>
      </c>
      <c r="F1148" s="40" t="s">
        <v>477</v>
      </c>
      <c r="G1148" s="102">
        <v>1</v>
      </c>
      <c r="H1148" s="103" t="s">
        <v>3239</v>
      </c>
    </row>
    <row r="1149" spans="1:8" ht="13.5" customHeight="1" x14ac:dyDescent="0.25">
      <c r="A1149" s="13" t="s">
        <v>3021</v>
      </c>
      <c r="B1149" s="49" t="s">
        <v>2991</v>
      </c>
      <c r="C1149" s="101" t="s">
        <v>3022</v>
      </c>
      <c r="D1149" s="14" t="s">
        <v>3326</v>
      </c>
      <c r="E1149" s="14" t="s">
        <v>3325</v>
      </c>
      <c r="F1149" s="40" t="s">
        <v>477</v>
      </c>
      <c r="G1149" s="102">
        <v>1</v>
      </c>
      <c r="H1149" s="103" t="s">
        <v>3239</v>
      </c>
    </row>
    <row r="1150" spans="1:8" ht="13.5" customHeight="1" x14ac:dyDescent="0.25">
      <c r="A1150" s="24" t="s">
        <v>3023</v>
      </c>
      <c r="B1150" s="38" t="s">
        <v>2991</v>
      </c>
      <c r="C1150" s="100" t="s">
        <v>3024</v>
      </c>
      <c r="D1150" s="25" t="s">
        <v>3326</v>
      </c>
      <c r="E1150" s="25" t="s">
        <v>3325</v>
      </c>
      <c r="F1150" s="40" t="s">
        <v>477</v>
      </c>
      <c r="G1150" s="102">
        <v>1</v>
      </c>
      <c r="H1150" s="103" t="s">
        <v>3239</v>
      </c>
    </row>
    <row r="1151" spans="1:8" ht="13.5" customHeight="1" x14ac:dyDescent="0.25">
      <c r="A1151" s="13" t="s">
        <v>3025</v>
      </c>
      <c r="B1151" s="49" t="s">
        <v>2991</v>
      </c>
      <c r="C1151" s="101" t="s">
        <v>3026</v>
      </c>
      <c r="D1151" s="14" t="s">
        <v>3326</v>
      </c>
      <c r="E1151" s="14" t="s">
        <v>3325</v>
      </c>
      <c r="F1151" s="40" t="s">
        <v>477</v>
      </c>
      <c r="G1151" s="102">
        <v>1</v>
      </c>
      <c r="H1151" s="103" t="s">
        <v>3239</v>
      </c>
    </row>
    <row r="1152" spans="1:8" ht="13.5" customHeight="1" x14ac:dyDescent="0.25">
      <c r="A1152" s="24" t="s">
        <v>3027</v>
      </c>
      <c r="B1152" s="38" t="s">
        <v>2991</v>
      </c>
      <c r="C1152" s="100" t="s">
        <v>3028</v>
      </c>
      <c r="D1152" s="25" t="s">
        <v>3326</v>
      </c>
      <c r="E1152" s="25" t="s">
        <v>3325</v>
      </c>
      <c r="F1152" s="40" t="s">
        <v>477</v>
      </c>
      <c r="G1152" s="102">
        <v>1</v>
      </c>
      <c r="H1152" s="103" t="s">
        <v>3239</v>
      </c>
    </row>
    <row r="1153" spans="1:8" ht="13.5" customHeight="1" x14ac:dyDescent="0.25">
      <c r="A1153" s="13" t="s">
        <v>3029</v>
      </c>
      <c r="B1153" s="49" t="s">
        <v>2991</v>
      </c>
      <c r="C1153" s="101" t="s">
        <v>3030</v>
      </c>
      <c r="D1153" s="14" t="s">
        <v>3326</v>
      </c>
      <c r="E1153" s="14" t="s">
        <v>3325</v>
      </c>
      <c r="F1153" s="40" t="s">
        <v>477</v>
      </c>
      <c r="G1153" s="102">
        <v>1</v>
      </c>
      <c r="H1153" s="103" t="s">
        <v>3239</v>
      </c>
    </row>
    <row r="1154" spans="1:8" ht="13.5" customHeight="1" x14ac:dyDescent="0.25">
      <c r="A1154" s="24" t="s">
        <v>3031</v>
      </c>
      <c r="B1154" s="38" t="s">
        <v>2991</v>
      </c>
      <c r="C1154" s="100" t="s">
        <v>3032</v>
      </c>
      <c r="D1154" s="25" t="s">
        <v>3327</v>
      </c>
      <c r="E1154" s="25" t="s">
        <v>3325</v>
      </c>
      <c r="F1154" s="65" t="s">
        <v>841</v>
      </c>
      <c r="G1154" s="106">
        <v>0.9</v>
      </c>
      <c r="H1154" s="103" t="s">
        <v>3239</v>
      </c>
    </row>
    <row r="1155" spans="1:8" ht="13.5" customHeight="1" x14ac:dyDescent="0.25">
      <c r="A1155" s="13" t="s">
        <v>3033</v>
      </c>
      <c r="B1155" s="49" t="s">
        <v>2991</v>
      </c>
      <c r="C1155" s="101" t="s">
        <v>3034</v>
      </c>
      <c r="D1155" s="14" t="s">
        <v>3327</v>
      </c>
      <c r="E1155" s="14" t="s">
        <v>3325</v>
      </c>
      <c r="F1155" s="65" t="s">
        <v>841</v>
      </c>
      <c r="G1155" s="106">
        <v>0.9</v>
      </c>
      <c r="H1155" s="103" t="s">
        <v>3239</v>
      </c>
    </row>
    <row r="1156" spans="1:8" ht="13.5" customHeight="1" x14ac:dyDescent="0.25">
      <c r="A1156" s="24" t="s">
        <v>3035</v>
      </c>
      <c r="B1156" s="38" t="s">
        <v>2991</v>
      </c>
      <c r="C1156" s="100" t="s">
        <v>3036</v>
      </c>
      <c r="D1156" s="25" t="s">
        <v>3327</v>
      </c>
      <c r="E1156" s="25" t="s">
        <v>3325</v>
      </c>
      <c r="F1156" s="65" t="s">
        <v>841</v>
      </c>
      <c r="G1156" s="106">
        <v>0.9</v>
      </c>
      <c r="H1156" s="103" t="s">
        <v>3239</v>
      </c>
    </row>
    <row r="1157" spans="1:8" ht="13.5" customHeight="1" x14ac:dyDescent="0.25">
      <c r="A1157" s="13" t="s">
        <v>3037</v>
      </c>
      <c r="B1157" s="49" t="s">
        <v>2991</v>
      </c>
      <c r="C1157" s="101" t="s">
        <v>3038</v>
      </c>
      <c r="D1157" s="14" t="s">
        <v>3327</v>
      </c>
      <c r="E1157" s="14" t="s">
        <v>3325</v>
      </c>
      <c r="F1157" s="65" t="s">
        <v>841</v>
      </c>
      <c r="G1157" s="106">
        <v>0.9</v>
      </c>
      <c r="H1157" s="103" t="s">
        <v>3239</v>
      </c>
    </row>
    <row r="1158" spans="1:8" ht="13.5" customHeight="1" x14ac:dyDescent="0.25">
      <c r="A1158" s="24" t="s">
        <v>3039</v>
      </c>
      <c r="B1158" s="38" t="s">
        <v>2991</v>
      </c>
      <c r="C1158" s="100" t="s">
        <v>3040</v>
      </c>
      <c r="D1158" s="25" t="s">
        <v>3327</v>
      </c>
      <c r="E1158" s="25" t="s">
        <v>3325</v>
      </c>
      <c r="F1158" s="65" t="s">
        <v>841</v>
      </c>
      <c r="G1158" s="106">
        <v>0.9</v>
      </c>
      <c r="H1158" s="103" t="s">
        <v>3239</v>
      </c>
    </row>
    <row r="1159" spans="1:8" ht="13.5" customHeight="1" x14ac:dyDescent="0.25">
      <c r="A1159" s="13" t="s">
        <v>3041</v>
      </c>
      <c r="B1159" s="49" t="s">
        <v>2991</v>
      </c>
      <c r="C1159" s="101" t="s">
        <v>3042</v>
      </c>
      <c r="D1159" s="14" t="s">
        <v>3327</v>
      </c>
      <c r="E1159" s="14" t="s">
        <v>3325</v>
      </c>
      <c r="F1159" s="65" t="s">
        <v>841</v>
      </c>
      <c r="G1159" s="106">
        <v>0.9</v>
      </c>
      <c r="H1159" s="103" t="s">
        <v>3239</v>
      </c>
    </row>
    <row r="1160" spans="1:8" ht="13.5" customHeight="1" x14ac:dyDescent="0.25">
      <c r="A1160" s="24" t="s">
        <v>3043</v>
      </c>
      <c r="B1160" s="38" t="s">
        <v>2991</v>
      </c>
      <c r="C1160" s="100" t="s">
        <v>3044</v>
      </c>
      <c r="D1160" s="25" t="s">
        <v>3327</v>
      </c>
      <c r="E1160" s="25" t="s">
        <v>3325</v>
      </c>
      <c r="F1160" s="65" t="s">
        <v>841</v>
      </c>
      <c r="G1160" s="106">
        <v>0.9</v>
      </c>
      <c r="H1160" s="103" t="s">
        <v>3239</v>
      </c>
    </row>
    <row r="1161" spans="1:8" ht="13.5" customHeight="1" x14ac:dyDescent="0.25">
      <c r="A1161" s="13" t="s">
        <v>3045</v>
      </c>
      <c r="B1161" s="49" t="s">
        <v>2991</v>
      </c>
      <c r="C1161" s="101" t="s">
        <v>3046</v>
      </c>
      <c r="D1161" s="14" t="s">
        <v>3327</v>
      </c>
      <c r="E1161" s="14" t="s">
        <v>3325</v>
      </c>
      <c r="F1161" s="65" t="s">
        <v>841</v>
      </c>
      <c r="G1161" s="106">
        <v>0.9</v>
      </c>
      <c r="H1161" s="103" t="s">
        <v>3239</v>
      </c>
    </row>
    <row r="1162" spans="1:8" ht="13.5" customHeight="1" x14ac:dyDescent="0.25">
      <c r="A1162" s="24" t="s">
        <v>3047</v>
      </c>
      <c r="B1162" s="38" t="s">
        <v>2991</v>
      </c>
      <c r="C1162" s="100" t="s">
        <v>3048</v>
      </c>
      <c r="D1162" s="25" t="s">
        <v>3327</v>
      </c>
      <c r="E1162" s="25" t="s">
        <v>3325</v>
      </c>
      <c r="F1162" s="65" t="s">
        <v>841</v>
      </c>
      <c r="G1162" s="106">
        <v>0.9</v>
      </c>
      <c r="H1162" s="103" t="s">
        <v>3239</v>
      </c>
    </row>
    <row r="1163" spans="1:8" ht="13.5" customHeight="1" x14ac:dyDescent="0.25">
      <c r="A1163" s="13" t="s">
        <v>3049</v>
      </c>
      <c r="B1163" s="49" t="s">
        <v>2991</v>
      </c>
      <c r="C1163" s="101" t="s">
        <v>3050</v>
      </c>
      <c r="D1163" s="14" t="s">
        <v>3327</v>
      </c>
      <c r="E1163" s="14" t="s">
        <v>3325</v>
      </c>
      <c r="F1163" s="65" t="s">
        <v>841</v>
      </c>
      <c r="G1163" s="106">
        <v>0.9</v>
      </c>
      <c r="H1163" s="103" t="s">
        <v>3239</v>
      </c>
    </row>
    <row r="1164" spans="1:8" ht="13.5" customHeight="1" x14ac:dyDescent="0.25">
      <c r="A1164" s="24" t="s">
        <v>3051</v>
      </c>
      <c r="B1164" s="38" t="s">
        <v>2991</v>
      </c>
      <c r="C1164" s="100" t="s">
        <v>3052</v>
      </c>
      <c r="D1164" s="25" t="s">
        <v>3327</v>
      </c>
      <c r="E1164" s="25" t="s">
        <v>3325</v>
      </c>
      <c r="F1164" s="65" t="s">
        <v>841</v>
      </c>
      <c r="G1164" s="106">
        <v>0.9</v>
      </c>
      <c r="H1164" s="103" t="s">
        <v>3239</v>
      </c>
    </row>
    <row r="1165" spans="1:8" ht="13.5" customHeight="1" x14ac:dyDescent="0.25">
      <c r="A1165" s="13" t="s">
        <v>3053</v>
      </c>
      <c r="B1165" s="49" t="s">
        <v>2991</v>
      </c>
      <c r="C1165" s="101" t="s">
        <v>3054</v>
      </c>
      <c r="D1165" s="14" t="s">
        <v>3327</v>
      </c>
      <c r="E1165" s="14" t="s">
        <v>3325</v>
      </c>
      <c r="F1165" s="65" t="s">
        <v>841</v>
      </c>
      <c r="G1165" s="106">
        <v>0.9</v>
      </c>
      <c r="H1165" s="103" t="s">
        <v>3239</v>
      </c>
    </row>
    <row r="1166" spans="1:8" ht="13.5" customHeight="1" x14ac:dyDescent="0.25">
      <c r="A1166" s="24" t="s">
        <v>3055</v>
      </c>
      <c r="B1166" s="38" t="s">
        <v>2991</v>
      </c>
      <c r="C1166" s="100" t="s">
        <v>3056</v>
      </c>
      <c r="D1166" s="25" t="s">
        <v>3327</v>
      </c>
      <c r="E1166" s="25" t="s">
        <v>3325</v>
      </c>
      <c r="F1166" s="65" t="s">
        <v>841</v>
      </c>
      <c r="G1166" s="106">
        <v>0.9</v>
      </c>
      <c r="H1166" s="103" t="s">
        <v>3239</v>
      </c>
    </row>
    <row r="1167" spans="1:8" ht="13.5" customHeight="1" x14ac:dyDescent="0.25">
      <c r="A1167" s="13" t="s">
        <v>3057</v>
      </c>
      <c r="B1167" s="49" t="s">
        <v>2991</v>
      </c>
      <c r="C1167" s="101" t="s">
        <v>3058</v>
      </c>
      <c r="D1167" s="14" t="s">
        <v>3327</v>
      </c>
      <c r="E1167" s="14" t="s">
        <v>3325</v>
      </c>
      <c r="F1167" s="65" t="s">
        <v>841</v>
      </c>
      <c r="G1167" s="106">
        <v>0.9</v>
      </c>
      <c r="H1167" s="103" t="s">
        <v>3239</v>
      </c>
    </row>
    <row r="1168" spans="1:8" ht="13.5" customHeight="1" x14ac:dyDescent="0.25">
      <c r="A1168" s="24" t="s">
        <v>3059</v>
      </c>
      <c r="B1168" s="38" t="s">
        <v>2991</v>
      </c>
      <c r="C1168" s="100" t="s">
        <v>3060</v>
      </c>
      <c r="D1168" s="25" t="s">
        <v>3327</v>
      </c>
      <c r="E1168" s="25" t="s">
        <v>3325</v>
      </c>
      <c r="F1168" s="65" t="s">
        <v>841</v>
      </c>
      <c r="G1168" s="106">
        <v>0.9</v>
      </c>
      <c r="H1168" s="103" t="s">
        <v>3239</v>
      </c>
    </row>
    <row r="1169" spans="1:8" ht="13.5" customHeight="1" x14ac:dyDescent="0.25">
      <c r="A1169" s="13" t="s">
        <v>3061</v>
      </c>
      <c r="B1169" s="49" t="s">
        <v>2991</v>
      </c>
      <c r="C1169" s="101" t="s">
        <v>3062</v>
      </c>
      <c r="D1169" s="14" t="s">
        <v>3327</v>
      </c>
      <c r="E1169" s="14" t="s">
        <v>3325</v>
      </c>
      <c r="F1169" s="65" t="s">
        <v>841</v>
      </c>
      <c r="G1169" s="106">
        <v>0.9</v>
      </c>
      <c r="H1169" s="103" t="s">
        <v>3239</v>
      </c>
    </row>
    <row r="1170" spans="1:8" ht="13.5" customHeight="1" x14ac:dyDescent="0.25">
      <c r="A1170" s="24" t="s">
        <v>3063</v>
      </c>
      <c r="B1170" s="38" t="s">
        <v>2991</v>
      </c>
      <c r="C1170" s="100" t="s">
        <v>3064</v>
      </c>
      <c r="D1170" s="25" t="s">
        <v>3327</v>
      </c>
      <c r="E1170" s="25" t="s">
        <v>3325</v>
      </c>
      <c r="F1170" s="65" t="s">
        <v>841</v>
      </c>
      <c r="G1170" s="106">
        <v>0.9</v>
      </c>
      <c r="H1170" s="103" t="s">
        <v>3239</v>
      </c>
    </row>
    <row r="1171" spans="1:8" ht="13.5" customHeight="1" x14ac:dyDescent="0.25">
      <c r="A1171" s="13" t="s">
        <v>3065</v>
      </c>
      <c r="B1171" s="49" t="s">
        <v>2991</v>
      </c>
      <c r="C1171" s="101" t="s">
        <v>3066</v>
      </c>
      <c r="D1171" s="14" t="s">
        <v>3327</v>
      </c>
      <c r="E1171" s="14" t="s">
        <v>3325</v>
      </c>
      <c r="F1171" s="65" t="s">
        <v>841</v>
      </c>
      <c r="G1171" s="106">
        <v>0.9</v>
      </c>
      <c r="H1171" s="103" t="s">
        <v>3239</v>
      </c>
    </row>
    <row r="1172" spans="1:8" ht="13.5" customHeight="1" x14ac:dyDescent="0.25">
      <c r="A1172" s="24" t="s">
        <v>3067</v>
      </c>
      <c r="B1172" s="38" t="s">
        <v>3068</v>
      </c>
      <c r="C1172" s="100" t="s">
        <v>3069</v>
      </c>
      <c r="D1172" s="25" t="s">
        <v>3328</v>
      </c>
      <c r="E1172" s="25" t="s">
        <v>3328</v>
      </c>
      <c r="F1172" s="65" t="s">
        <v>841</v>
      </c>
      <c r="G1172" s="106">
        <v>0.9</v>
      </c>
      <c r="H1172" s="103" t="s">
        <v>3239</v>
      </c>
    </row>
    <row r="1173" spans="1:8" ht="13.5" customHeight="1" x14ac:dyDescent="0.25">
      <c r="A1173" s="13" t="s">
        <v>3071</v>
      </c>
      <c r="B1173" s="49" t="s">
        <v>3072</v>
      </c>
      <c r="C1173" s="101" t="s">
        <v>3073</v>
      </c>
      <c r="D1173" s="14" t="s">
        <v>3329</v>
      </c>
      <c r="E1173" s="14" t="s">
        <v>3329</v>
      </c>
      <c r="F1173" s="65" t="s">
        <v>841</v>
      </c>
      <c r="G1173" s="106">
        <v>0.9</v>
      </c>
      <c r="H1173" s="103" t="s">
        <v>3239</v>
      </c>
    </row>
    <row r="1176" spans="1:8" ht="21.75" customHeight="1" x14ac:dyDescent="0.25">
      <c r="A1176" s="121" t="s">
        <v>3330</v>
      </c>
      <c r="B1176" s="121"/>
      <c r="C1176" s="121"/>
      <c r="D1176" s="121"/>
      <c r="E1176" s="121"/>
      <c r="F1176" s="121"/>
      <c r="G1176" s="121"/>
      <c r="H1176" s="121"/>
    </row>
    <row r="1177" spans="1:8" ht="21.75" customHeight="1" x14ac:dyDescent="0.25">
      <c r="A1177" s="71" t="s">
        <v>3199</v>
      </c>
      <c r="B1177" s="71" t="s">
        <v>3200</v>
      </c>
      <c r="C1177" s="71" t="s">
        <v>3331</v>
      </c>
      <c r="D1177" s="71" t="s">
        <v>3332</v>
      </c>
      <c r="E1177" s="71" t="s">
        <v>841</v>
      </c>
      <c r="F1177" s="71" t="s">
        <v>477</v>
      </c>
      <c r="G1177" s="71" t="s">
        <v>566</v>
      </c>
      <c r="H1177" s="71" t="s">
        <v>3333</v>
      </c>
    </row>
    <row r="1178" spans="1:8" ht="15.75" customHeight="1" x14ac:dyDescent="0.25">
      <c r="A1178" s="38" t="s">
        <v>660</v>
      </c>
      <c r="B1178" s="108" t="s">
        <v>3242</v>
      </c>
      <c r="C1178" s="38">
        <v>420</v>
      </c>
      <c r="D1178" s="109" t="s">
        <v>3334</v>
      </c>
      <c r="E1178" s="109">
        <v>62</v>
      </c>
      <c r="F1178" s="109">
        <v>216</v>
      </c>
      <c r="G1178" s="109">
        <v>142</v>
      </c>
      <c r="H1178" s="110" t="s">
        <v>3243</v>
      </c>
    </row>
    <row r="1179" spans="1:8" ht="15.75" customHeight="1" x14ac:dyDescent="0.25">
      <c r="A1179" s="49" t="s">
        <v>1665</v>
      </c>
      <c r="B1179" s="111" t="s">
        <v>3335</v>
      </c>
      <c r="C1179" s="49">
        <v>226</v>
      </c>
      <c r="D1179" s="112" t="s">
        <v>3336</v>
      </c>
      <c r="E1179" s="112">
        <v>188</v>
      </c>
      <c r="F1179" s="112">
        <v>36</v>
      </c>
      <c r="G1179" s="112">
        <v>2</v>
      </c>
      <c r="H1179" s="113" t="s">
        <v>3279</v>
      </c>
    </row>
    <row r="1180" spans="1:8" ht="15.75" customHeight="1" x14ac:dyDescent="0.25">
      <c r="A1180" s="38" t="s">
        <v>2121</v>
      </c>
      <c r="B1180" s="108" t="s">
        <v>3283</v>
      </c>
      <c r="C1180" s="38">
        <v>70</v>
      </c>
      <c r="D1180" s="109" t="s">
        <v>3337</v>
      </c>
      <c r="E1180" s="109">
        <v>0</v>
      </c>
      <c r="F1180" s="109">
        <v>27</v>
      </c>
      <c r="G1180" s="109">
        <v>43</v>
      </c>
      <c r="H1180" s="110" t="s">
        <v>3243</v>
      </c>
    </row>
    <row r="1181" spans="1:8" ht="15.75" customHeight="1" x14ac:dyDescent="0.25">
      <c r="A1181" s="49" t="s">
        <v>2403</v>
      </c>
      <c r="B1181" s="111" t="s">
        <v>3338</v>
      </c>
      <c r="C1181" s="49">
        <v>65</v>
      </c>
      <c r="D1181" s="112" t="s">
        <v>3339</v>
      </c>
      <c r="E1181" s="112">
        <v>65</v>
      </c>
      <c r="F1181" s="112">
        <v>0</v>
      </c>
      <c r="G1181" s="112">
        <v>0</v>
      </c>
      <c r="H1181" s="114" t="s">
        <v>3239</v>
      </c>
    </row>
    <row r="1182" spans="1:8" ht="15.75" customHeight="1" x14ac:dyDescent="0.25">
      <c r="A1182" s="38" t="s">
        <v>2638</v>
      </c>
      <c r="B1182" s="108" t="s">
        <v>3340</v>
      </c>
      <c r="C1182" s="38">
        <v>54</v>
      </c>
      <c r="D1182" s="109" t="s">
        <v>3341</v>
      </c>
      <c r="E1182" s="109">
        <v>42</v>
      </c>
      <c r="F1182" s="109">
        <v>9</v>
      </c>
      <c r="G1182" s="109">
        <v>3</v>
      </c>
      <c r="H1182" s="113" t="s">
        <v>3279</v>
      </c>
    </row>
    <row r="1183" spans="1:8" ht="15.75" customHeight="1" x14ac:dyDescent="0.25">
      <c r="A1183" s="49" t="s">
        <v>2821</v>
      </c>
      <c r="B1183" s="111" t="s">
        <v>3316</v>
      </c>
      <c r="C1183" s="49">
        <v>53</v>
      </c>
      <c r="D1183" s="112" t="s">
        <v>3342</v>
      </c>
      <c r="E1183" s="112">
        <v>1</v>
      </c>
      <c r="F1183" s="112">
        <v>47</v>
      </c>
      <c r="G1183" s="112">
        <v>5</v>
      </c>
      <c r="H1183" s="113" t="s">
        <v>3279</v>
      </c>
    </row>
    <row r="1184" spans="1:8" ht="15.75" customHeight="1" x14ac:dyDescent="0.25">
      <c r="A1184" s="38" t="s">
        <v>2302</v>
      </c>
      <c r="B1184" s="108" t="s">
        <v>3289</v>
      </c>
      <c r="C1184" s="38">
        <v>47</v>
      </c>
      <c r="D1184" s="109" t="s">
        <v>3343</v>
      </c>
      <c r="E1184" s="109">
        <v>33</v>
      </c>
      <c r="F1184" s="109">
        <v>14</v>
      </c>
      <c r="G1184" s="109">
        <v>0</v>
      </c>
      <c r="H1184" s="114" t="s">
        <v>3239</v>
      </c>
    </row>
    <row r="1185" spans="1:8" ht="15.75" customHeight="1" x14ac:dyDescent="0.25">
      <c r="A1185" s="49" t="s">
        <v>1567</v>
      </c>
      <c r="B1185" s="111" t="s">
        <v>3274</v>
      </c>
      <c r="C1185" s="49">
        <v>47</v>
      </c>
      <c r="D1185" s="112" t="s">
        <v>3343</v>
      </c>
      <c r="E1185" s="112">
        <v>1</v>
      </c>
      <c r="F1185" s="112">
        <v>0</v>
      </c>
      <c r="G1185" s="112">
        <v>46</v>
      </c>
      <c r="H1185" s="110" t="s">
        <v>3243</v>
      </c>
    </row>
    <row r="1186" spans="1:8" ht="15.75" customHeight="1" x14ac:dyDescent="0.25">
      <c r="A1186" s="38" t="s">
        <v>2551</v>
      </c>
      <c r="B1186" s="108" t="s">
        <v>3344</v>
      </c>
      <c r="C1186" s="38">
        <v>40</v>
      </c>
      <c r="D1186" s="109" t="s">
        <v>3345</v>
      </c>
      <c r="E1186" s="109">
        <v>29</v>
      </c>
      <c r="F1186" s="109">
        <v>11</v>
      </c>
      <c r="G1186" s="109">
        <v>0</v>
      </c>
      <c r="H1186" s="114" t="s">
        <v>3239</v>
      </c>
    </row>
    <row r="1187" spans="1:8" ht="15.75" customHeight="1" x14ac:dyDescent="0.25">
      <c r="A1187" s="49" t="s">
        <v>2991</v>
      </c>
      <c r="B1187" s="111" t="s">
        <v>3325</v>
      </c>
      <c r="C1187" s="49">
        <v>37</v>
      </c>
      <c r="D1187" s="112" t="s">
        <v>3346</v>
      </c>
      <c r="E1187" s="112">
        <v>27</v>
      </c>
      <c r="F1187" s="112">
        <v>10</v>
      </c>
      <c r="G1187" s="112">
        <v>0</v>
      </c>
      <c r="H1187" s="114" t="s">
        <v>3239</v>
      </c>
    </row>
    <row r="1188" spans="1:8" ht="15.75" customHeight="1" x14ac:dyDescent="0.25">
      <c r="A1188" s="38" t="s">
        <v>2930</v>
      </c>
      <c r="B1188" s="108" t="s">
        <v>3320</v>
      </c>
      <c r="C1188" s="38">
        <v>28</v>
      </c>
      <c r="D1188" s="109" t="s">
        <v>3347</v>
      </c>
      <c r="E1188" s="109">
        <v>17</v>
      </c>
      <c r="F1188" s="109">
        <v>11</v>
      </c>
      <c r="G1188" s="109">
        <v>0</v>
      </c>
      <c r="H1188" s="113" t="s">
        <v>3279</v>
      </c>
    </row>
    <row r="1189" spans="1:8" ht="15.75" customHeight="1" x14ac:dyDescent="0.25">
      <c r="A1189" s="49" t="s">
        <v>2773</v>
      </c>
      <c r="B1189" s="111" t="s">
        <v>2775</v>
      </c>
      <c r="C1189" s="49">
        <v>23</v>
      </c>
      <c r="D1189" s="112" t="s">
        <v>3348</v>
      </c>
      <c r="E1189" s="112">
        <v>23</v>
      </c>
      <c r="F1189" s="112">
        <v>0</v>
      </c>
      <c r="G1189" s="112">
        <v>0</v>
      </c>
      <c r="H1189" s="114" t="s">
        <v>3239</v>
      </c>
    </row>
    <row r="1190" spans="1:8" ht="15.75" customHeight="1" x14ac:dyDescent="0.25">
      <c r="A1190" s="38" t="s">
        <v>2267</v>
      </c>
      <c r="B1190" s="108" t="s">
        <v>3287</v>
      </c>
      <c r="C1190" s="38">
        <v>16</v>
      </c>
      <c r="D1190" s="109" t="s">
        <v>3349</v>
      </c>
      <c r="E1190" s="109">
        <v>7</v>
      </c>
      <c r="F1190" s="109">
        <v>9</v>
      </c>
      <c r="G1190" s="109">
        <v>0</v>
      </c>
      <c r="H1190" s="114" t="s">
        <v>3239</v>
      </c>
    </row>
    <row r="1191" spans="1:8" ht="15.75" customHeight="1" x14ac:dyDescent="0.25">
      <c r="A1191" s="49" t="s">
        <v>1534</v>
      </c>
      <c r="B1191" s="111" t="s">
        <v>3350</v>
      </c>
      <c r="C1191" s="49">
        <v>14</v>
      </c>
      <c r="D1191" s="112" t="s">
        <v>3351</v>
      </c>
      <c r="E1191" s="112">
        <v>0</v>
      </c>
      <c r="F1191" s="112">
        <v>2</v>
      </c>
      <c r="G1191" s="112">
        <v>12</v>
      </c>
      <c r="H1191" s="110" t="s">
        <v>3243</v>
      </c>
    </row>
    <row r="1192" spans="1:8" ht="15.75" customHeight="1" x14ac:dyDescent="0.25">
      <c r="A1192" s="38" t="s">
        <v>2753</v>
      </c>
      <c r="B1192" s="108" t="s">
        <v>3352</v>
      </c>
      <c r="C1192" s="38">
        <v>9</v>
      </c>
      <c r="D1192" s="109" t="s">
        <v>3353</v>
      </c>
      <c r="E1192" s="109">
        <v>9</v>
      </c>
      <c r="F1192" s="109">
        <v>0</v>
      </c>
      <c r="G1192" s="109">
        <v>0</v>
      </c>
      <c r="H1192" s="114" t="s">
        <v>3239</v>
      </c>
    </row>
    <row r="1193" spans="1:8" ht="15.75" customHeight="1" x14ac:dyDescent="0.25">
      <c r="A1193" s="49" t="s">
        <v>1516</v>
      </c>
      <c r="B1193" s="111" t="s">
        <v>3267</v>
      </c>
      <c r="C1193" s="49">
        <v>8</v>
      </c>
      <c r="D1193" s="112" t="s">
        <v>3354</v>
      </c>
      <c r="E1193" s="112">
        <v>0</v>
      </c>
      <c r="F1193" s="112">
        <v>0</v>
      </c>
      <c r="G1193" s="112">
        <v>8</v>
      </c>
      <c r="H1193" s="114" t="s">
        <v>3239</v>
      </c>
    </row>
    <row r="1194" spans="1:8" ht="15.75" customHeight="1" x14ac:dyDescent="0.25">
      <c r="A1194" s="38" t="s">
        <v>2537</v>
      </c>
      <c r="B1194" s="108" t="s">
        <v>3298</v>
      </c>
      <c r="C1194" s="38">
        <v>6</v>
      </c>
      <c r="D1194" s="109" t="s">
        <v>3355</v>
      </c>
      <c r="E1194" s="109">
        <v>6</v>
      </c>
      <c r="F1194" s="109">
        <v>0</v>
      </c>
      <c r="G1194" s="109">
        <v>0</v>
      </c>
      <c r="H1194" s="114" t="s">
        <v>3239</v>
      </c>
    </row>
    <row r="1195" spans="1:8" ht="15.75" customHeight="1" x14ac:dyDescent="0.25">
      <c r="A1195" s="49" t="s">
        <v>475</v>
      </c>
      <c r="B1195" s="111" t="s">
        <v>3356</v>
      </c>
      <c r="C1195" s="49">
        <v>4</v>
      </c>
      <c r="D1195" s="112" t="s">
        <v>3357</v>
      </c>
      <c r="E1195" s="112">
        <v>0</v>
      </c>
      <c r="F1195" s="112">
        <v>2</v>
      </c>
      <c r="G1195" s="112">
        <v>2</v>
      </c>
      <c r="H1195" s="114" t="s">
        <v>3239</v>
      </c>
    </row>
    <row r="1196" spans="1:8" ht="15.75" customHeight="1" x14ac:dyDescent="0.25">
      <c r="A1196" s="38" t="s">
        <v>3068</v>
      </c>
      <c r="B1196" s="108" t="s">
        <v>3328</v>
      </c>
      <c r="C1196" s="38">
        <v>1</v>
      </c>
      <c r="D1196" s="109" t="s">
        <v>3358</v>
      </c>
      <c r="E1196" s="109">
        <v>1</v>
      </c>
      <c r="F1196" s="109">
        <v>0</v>
      </c>
      <c r="G1196" s="109">
        <v>0</v>
      </c>
      <c r="H1196" s="114" t="s">
        <v>3239</v>
      </c>
    </row>
    <row r="1197" spans="1:8" ht="15.75" customHeight="1" x14ac:dyDescent="0.25">
      <c r="A1197" s="49" t="s">
        <v>3072</v>
      </c>
      <c r="B1197" s="111" t="s">
        <v>3359</v>
      </c>
      <c r="C1197" s="49">
        <v>1</v>
      </c>
      <c r="D1197" s="112" t="s">
        <v>3358</v>
      </c>
      <c r="E1197" s="112">
        <v>1</v>
      </c>
      <c r="F1197" s="112">
        <v>0</v>
      </c>
      <c r="G1197" s="112">
        <v>0</v>
      </c>
      <c r="H1197" s="114" t="s">
        <v>3239</v>
      </c>
    </row>
  </sheetData>
  <mergeCells count="4">
    <mergeCell ref="A1:H1"/>
    <mergeCell ref="A2:H2"/>
    <mergeCell ref="A3:H3"/>
    <mergeCell ref="A1176:H117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01_PARÂMETROS</vt:lpstr>
      <vt:lpstr>02_METODOLOGIA</vt:lpstr>
      <vt:lpstr>03_FONTE_FAP</vt:lpstr>
      <vt:lpstr>04_MOTOR_CÁLCULO</vt:lpstr>
      <vt:lpstr>05_TESTES_ADERÊNCIA</vt:lpstr>
      <vt:lpstr>06_AUDITORIA_CONSISTÊNCIA</vt:lpstr>
      <vt:lpstr>07_CONSULTA_CNAE</vt:lpstr>
      <vt:lpstr>08_RESULTADOS</vt:lpstr>
      <vt:lpstr>09_SEM_DADOS_FAP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jardel@companyprime.com.br</dc:creator>
  <dc:description/>
  <cp:lastModifiedBy>Jardel  Monti</cp:lastModifiedBy>
  <cp:revision>0</cp:revision>
  <dcterms:created xsi:type="dcterms:W3CDTF">2026-09-04T20:05:57Z</dcterms:created>
  <dcterms:modified xsi:type="dcterms:W3CDTF">2026-09-04T20:54:24Z</dcterms:modified>
  <dc:language>en-US</dc:language>
</cp:coreProperties>
</file>